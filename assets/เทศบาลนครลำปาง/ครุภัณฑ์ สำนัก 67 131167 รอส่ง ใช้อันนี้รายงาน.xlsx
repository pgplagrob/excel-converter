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OneDrive - Lampang City Municipality\Desktop\ครุภัณฑ์\"/>
    </mc:Choice>
  </mc:AlternateContent>
  <xr:revisionPtr revIDLastSave="0" documentId="13_ncr:1_{B766EDE4-15BD-4AFE-A498-D63EA9F3757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งบทรัพย์สิน 67" sheetId="34" r:id="rId1"/>
    <sheet name="ต่ำกว่าเกณฑ์67" sheetId="33" r:id="rId2"/>
    <sheet name="งบ67" sheetId="35" r:id="rId3"/>
    <sheet name="สำนักงาน" sheetId="16" r:id="rId4"/>
    <sheet name="คอมพิวเตอร์" sheetId="20" r:id="rId5"/>
    <sheet name="ไฟฟ้าและวิทยุ" sheetId="26" r:id="rId6"/>
    <sheet name="การศึกษา" sheetId="17" r:id="rId7"/>
    <sheet name="ยานพาหนะ" sheetId="18" r:id="rId8"/>
    <sheet name="งานบ้าน" sheetId="19" r:id="rId9"/>
    <sheet name="โฆษณา" sheetId="21" r:id="rId10"/>
    <sheet name="การเกษตร" sheetId="23" r:id="rId11"/>
    <sheet name="วิทยาศาสตร์" sheetId="24" r:id="rId12"/>
    <sheet name="ก่อสร้าง" sheetId="30" r:id="rId13"/>
    <sheet name="กีฬา" sheetId="28" r:id="rId14"/>
    <sheet name="โรงงาน" sheetId="31" r:id="rId15"/>
    <sheet name="อื่นๆ" sheetId="22" r:id="rId16"/>
  </sheets>
  <externalReferences>
    <externalReference r:id="rId17"/>
  </externalReferences>
  <definedNames>
    <definedName name="_xlnm._FilterDatabase" localSheetId="12" hidden="1">ก่อสร้าง!$A$4:$N$4</definedName>
    <definedName name="_xlnm._FilterDatabase" localSheetId="10" hidden="1">การเกษตร!$A$4:$N$4</definedName>
    <definedName name="_xlnm._FilterDatabase" localSheetId="6" hidden="1">การศึกษา!$A$4:$N$4</definedName>
    <definedName name="_xlnm._FilterDatabase" localSheetId="13" hidden="1">กีฬา!$A$4:$N$4</definedName>
    <definedName name="_xlnm._FilterDatabase" localSheetId="4" hidden="1">คอมพิวเตอร์!$A$4:$N$295</definedName>
    <definedName name="_xlnm._FilterDatabase" localSheetId="9" hidden="1">โฆษณา!$A$4:$N$4</definedName>
    <definedName name="_xlnm._FilterDatabase" localSheetId="8" hidden="1">งานบ้าน!$A$4:$N$4</definedName>
    <definedName name="_xlnm._FilterDatabase" localSheetId="5" hidden="1">ไฟฟ้าและวิทยุ!$A$4:$N$180</definedName>
    <definedName name="_xlnm._FilterDatabase" localSheetId="7" hidden="1">ยานพาหนะ!$A$4:$N$4</definedName>
    <definedName name="_xlnm._FilterDatabase" localSheetId="14" hidden="1">โรงงาน!$A$4:$N$4</definedName>
    <definedName name="_xlnm._FilterDatabase" localSheetId="11" hidden="1">วิทยาศาสตร์!$A$4:$N$4</definedName>
    <definedName name="_xlnm._FilterDatabase" localSheetId="3" hidden="1">สำนักงาน!$A$4:$N$870</definedName>
    <definedName name="_xlnm._FilterDatabase" localSheetId="15" hidden="1">อื่นๆ!$A$4:$N$4</definedName>
    <definedName name="BT_FLAG">[1]RECEIVE_TYPE!$D$2:$D$3</definedName>
    <definedName name="CATEGORY">[1]ASSET_CATEGORY!$A$2:$A$9</definedName>
    <definedName name="DEPRE">[1]CONFIG!$C$2:$C$3</definedName>
    <definedName name="DISPLAY">[1]CONFIG!$B$2:$B$3</definedName>
    <definedName name="EXPENSE_JOB_NAME">[1]EXPENSE_JOB!$B$2:$B$37</definedName>
    <definedName name="GETBY">[1]RECEIVE_TYPE!$B$2:$B$5</definedName>
    <definedName name="_xlnm.Print_Titles" localSheetId="12">ก่อสร้าง!$4:$5</definedName>
    <definedName name="_xlnm.Print_Titles" localSheetId="10">การเกษตร!$4:$5</definedName>
    <definedName name="_xlnm.Print_Titles" localSheetId="6">การศึกษา!$4:$5</definedName>
    <definedName name="_xlnm.Print_Titles" localSheetId="13">กีฬา!$4:$5</definedName>
    <definedName name="_xlnm.Print_Titles" localSheetId="4">คอมพิวเตอร์!$4:$5</definedName>
    <definedName name="_xlnm.Print_Titles" localSheetId="9">โฆษณา!$4:$5</definedName>
    <definedName name="_xlnm.Print_Titles" localSheetId="2">งบ67!$1:$5</definedName>
    <definedName name="_xlnm.Print_Titles" localSheetId="8">งานบ้าน!$4:$5</definedName>
    <definedName name="_xlnm.Print_Titles" localSheetId="1">ต่ำกว่าเกณฑ์67!$3:$6</definedName>
    <definedName name="_xlnm.Print_Titles" localSheetId="5">ไฟฟ้าและวิทยุ!$4:$5</definedName>
    <definedName name="_xlnm.Print_Titles" localSheetId="7">ยานพาหนะ!$4:$5</definedName>
    <definedName name="_xlnm.Print_Titles" localSheetId="14">โรงงาน!$4:$5</definedName>
    <definedName name="_xlnm.Print_Titles" localSheetId="11">วิทยาศาสตร์!$4:$5</definedName>
    <definedName name="_xlnm.Print_Titles" localSheetId="3">สำนักงาน!$4:$5</definedName>
    <definedName name="_xlnm.Print_Titles" localSheetId="15">อื่นๆ!$4:$5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0" i="35" l="1"/>
  <c r="O49" i="21"/>
  <c r="F52" i="21"/>
  <c r="O173" i="26"/>
  <c r="D177" i="35" s="1"/>
  <c r="O131" i="26"/>
  <c r="D176" i="35" s="1"/>
  <c r="O59" i="26"/>
  <c r="D173" i="35" s="1"/>
  <c r="O43" i="26"/>
  <c r="D172" i="35" s="1"/>
  <c r="F181" i="26"/>
  <c r="D185" i="35"/>
  <c r="O176" i="26"/>
  <c r="D180" i="35" s="1"/>
  <c r="O40" i="26"/>
  <c r="D169" i="35" s="1"/>
  <c r="O7" i="26"/>
  <c r="D170" i="35" s="1"/>
  <c r="O8" i="26"/>
  <c r="D168" i="35" s="1"/>
  <c r="O6" i="26"/>
  <c r="D167" i="35" s="1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C14" i="34" s="1"/>
  <c r="O43" i="20"/>
  <c r="O75" i="20"/>
  <c r="O9" i="20"/>
  <c r="O7" i="20"/>
  <c r="O6" i="20"/>
  <c r="O8" i="20"/>
  <c r="F296" i="20"/>
  <c r="D14" i="34" s="1"/>
  <c r="G166" i="35" l="1"/>
  <c r="G324" i="35"/>
  <c r="G323" i="35"/>
  <c r="F17" i="22" l="1"/>
  <c r="D19" i="34" s="1"/>
  <c r="A51" i="21"/>
  <c r="C8" i="34" s="1"/>
  <c r="F11" i="17" l="1"/>
  <c r="D15" i="34" s="1"/>
  <c r="D7" i="34"/>
  <c r="A8" i="26"/>
  <c r="A9" i="26"/>
  <c r="A10" i="26"/>
  <c r="A11" i="26"/>
  <c r="A12" i="26"/>
  <c r="A13" i="26"/>
  <c r="A14" i="26"/>
  <c r="A15" i="26"/>
  <c r="A7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C7" i="34" s="1"/>
  <c r="A7" i="16" l="1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C5" i="34" s="1"/>
  <c r="G47" i="35"/>
  <c r="F871" i="16"/>
  <c r="D5" i="34" s="1"/>
  <c r="O866" i="16"/>
  <c r="D91" i="35"/>
  <c r="O862" i="16"/>
  <c r="D88" i="35" s="1"/>
  <c r="D85" i="35"/>
  <c r="O855" i="16"/>
  <c r="D77" i="35" s="1"/>
  <c r="O852" i="16"/>
  <c r="D76" i="35" s="1"/>
  <c r="O851" i="16"/>
  <c r="D74" i="35" s="1"/>
  <c r="O769" i="16"/>
  <c r="D92" i="35" s="1"/>
  <c r="O768" i="16"/>
  <c r="D72" i="35" s="1"/>
  <c r="O757" i="16"/>
  <c r="D69" i="35" s="1"/>
  <c r="O753" i="16"/>
  <c r="D68" i="35" s="1"/>
  <c r="D67" i="35"/>
  <c r="O751" i="16"/>
  <c r="D55" i="35" s="1"/>
  <c r="O582" i="16"/>
  <c r="D54" i="35" s="1"/>
  <c r="O580" i="16"/>
  <c r="D53" i="35" s="1"/>
  <c r="O579" i="16"/>
  <c r="D51" i="35" s="1"/>
  <c r="O523" i="16"/>
  <c r="D50" i="35" s="1"/>
  <c r="O511" i="16"/>
  <c r="D49" i="35" s="1"/>
  <c r="O499" i="16"/>
  <c r="D48" i="35" s="1"/>
  <c r="P182" i="16"/>
  <c r="O24" i="16"/>
  <c r="D46" i="35" s="1"/>
  <c r="O870" i="16" l="1"/>
  <c r="D47" i="35" s="1"/>
  <c r="G45" i="35" s="1"/>
  <c r="G165" i="35" l="1"/>
  <c r="D27" i="35"/>
  <c r="C27" i="35"/>
  <c r="G94" i="35"/>
  <c r="D95" i="35"/>
  <c r="G93" i="35" s="1"/>
  <c r="D110" i="35"/>
  <c r="O46" i="19"/>
  <c r="D252" i="35" s="1"/>
  <c r="O44" i="19"/>
  <c r="D250" i="35" s="1"/>
  <c r="D248" i="35"/>
  <c r="O41" i="19"/>
  <c r="D247" i="35" s="1"/>
  <c r="O36" i="19"/>
  <c r="D246" i="35" s="1"/>
  <c r="O6" i="19"/>
  <c r="D245" i="35" s="1"/>
  <c r="G243" i="35"/>
  <c r="O17" i="21"/>
  <c r="D193" i="35" s="1"/>
  <c r="D8" i="34"/>
  <c r="D198" i="35"/>
  <c r="D195" i="35"/>
  <c r="O15" i="21"/>
  <c r="D192" i="35" s="1"/>
  <c r="P6" i="21"/>
  <c r="D190" i="35" s="1"/>
  <c r="G189" i="35"/>
  <c r="D199" i="35"/>
  <c r="D194" i="35"/>
  <c r="G125" i="35"/>
  <c r="G202" i="35"/>
  <c r="D231" i="35"/>
  <c r="O6" i="24"/>
  <c r="D212" i="35" s="1"/>
  <c r="O9" i="24"/>
  <c r="D242" i="35" s="1"/>
  <c r="G134" i="35"/>
  <c r="G349" i="35"/>
  <c r="G289" i="35"/>
  <c r="D302" i="35"/>
  <c r="O15" i="28"/>
  <c r="D297" i="35" s="1"/>
  <c r="D299" i="35"/>
  <c r="O31" i="28"/>
  <c r="D296" i="35" s="1"/>
  <c r="O13" i="28"/>
  <c r="D301" i="35" s="1"/>
  <c r="D300" i="35"/>
  <c r="O6" i="28"/>
  <c r="D294" i="35" s="1"/>
  <c r="O8" i="28"/>
  <c r="D292" i="35" s="1"/>
  <c r="E357" i="35"/>
  <c r="C357" i="35"/>
  <c r="O9" i="22"/>
  <c r="D353" i="35" s="1"/>
  <c r="O16" i="22"/>
  <c r="D355" i="35" s="1"/>
  <c r="D354" i="35"/>
  <c r="O7" i="22"/>
  <c r="D351" i="35" s="1"/>
  <c r="G203" i="35" l="1"/>
  <c r="G288" i="35"/>
  <c r="G348" i="35"/>
  <c r="G190" i="35"/>
  <c r="G244" i="35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F91" i="35"/>
  <c r="N78" i="33"/>
  <c r="F85" i="35" s="1"/>
  <c r="N73" i="33"/>
  <c r="F75" i="35" s="1"/>
  <c r="N70" i="33"/>
  <c r="F68" i="35" s="1"/>
  <c r="F333" i="35"/>
  <c r="F332" i="35"/>
  <c r="N55" i="33"/>
  <c r="F54" i="35" s="1"/>
  <c r="N47" i="33"/>
  <c r="F52" i="35" s="1"/>
  <c r="O37" i="33"/>
  <c r="F48" i="35" s="1"/>
  <c r="N7" i="33"/>
  <c r="F47" i="35" s="1"/>
  <c r="A8" i="33"/>
  <c r="A7" i="33"/>
  <c r="F51" i="35"/>
  <c r="F357" i="35" l="1"/>
  <c r="E84" i="33"/>
  <c r="F18" i="24" l="1"/>
  <c r="D13" i="34" s="1"/>
  <c r="A50" i="21" l="1"/>
  <c r="A28" i="21" l="1"/>
  <c r="F9" i="23" l="1"/>
  <c r="D9" i="34" s="1"/>
  <c r="D126" i="35" l="1"/>
  <c r="A6" i="16"/>
  <c r="A6" i="18"/>
  <c r="C6" i="34" s="1"/>
  <c r="A13" i="22"/>
  <c r="A14" i="22"/>
  <c r="A15" i="22"/>
  <c r="A16" i="22"/>
  <c r="C19" i="34" s="1"/>
  <c r="F7" i="18"/>
  <c r="D6" i="34" s="1"/>
  <c r="F51" i="19"/>
  <c r="D16" i="34" s="1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C16" i="34" s="1"/>
  <c r="A6" i="19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6" i="21"/>
  <c r="A7" i="23"/>
  <c r="A8" i="23"/>
  <c r="C9" i="34" s="1"/>
  <c r="A7" i="24"/>
  <c r="A8" i="24"/>
  <c r="A9" i="24"/>
  <c r="A10" i="24"/>
  <c r="A11" i="24"/>
  <c r="A12" i="24"/>
  <c r="A13" i="24"/>
  <c r="A14" i="24"/>
  <c r="A15" i="24"/>
  <c r="A16" i="24"/>
  <c r="A17" i="24"/>
  <c r="C13" i="34" s="1"/>
  <c r="A6" i="24"/>
  <c r="F7" i="30"/>
  <c r="A6" i="30"/>
  <c r="C11" i="34" s="1"/>
  <c r="F283" i="28"/>
  <c r="D17" i="34" s="1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30" i="28"/>
  <c r="A280" i="28"/>
  <c r="A281" i="28"/>
  <c r="A282" i="28"/>
  <c r="C17" i="34" s="1"/>
  <c r="D11" i="34" l="1"/>
  <c r="D134" i="35"/>
  <c r="G133" i="35" s="1"/>
  <c r="G124" i="35"/>
  <c r="A7" i="22"/>
  <c r="A8" i="22"/>
  <c r="A9" i="22"/>
  <c r="A10" i="22"/>
  <c r="A11" i="22"/>
  <c r="A12" i="22"/>
  <c r="A6" i="22"/>
  <c r="A7" i="31"/>
  <c r="C10" i="34" s="1"/>
  <c r="A6" i="31"/>
  <c r="F8" i="31"/>
  <c r="D10" i="34" l="1"/>
  <c r="D20" i="34" s="1"/>
  <c r="D263" i="35"/>
  <c r="D357" i="35" s="1"/>
  <c r="A6" i="26"/>
  <c r="A8" i="28" l="1"/>
  <c r="A9" i="28"/>
  <c r="A7" i="28"/>
  <c r="A6" i="28"/>
  <c r="A7" i="17" l="1"/>
  <c r="A8" i="17"/>
  <c r="A9" i="17"/>
  <c r="A10" i="17"/>
  <c r="A6" i="17"/>
  <c r="A6" i="23"/>
  <c r="A6" i="20"/>
  <c r="C15" i="34" l="1"/>
  <c r="C20" i="34" s="1"/>
</calcChain>
</file>

<file path=xl/sharedStrings.xml><?xml version="1.0" encoding="utf-8"?>
<sst xmlns="http://schemas.openxmlformats.org/spreadsheetml/2006/main" count="12160" uniqueCount="5019">
  <si>
    <t>ลำดับที่</t>
  </si>
  <si>
    <t>รายการ</t>
  </si>
  <si>
    <t>ราคาที่ได้มา</t>
  </si>
  <si>
    <t>หมายเหตุ</t>
  </si>
  <si>
    <t>สถานที่ใช้งาน</t>
  </si>
  <si>
    <t>416-66-2267</t>
  </si>
  <si>
    <t>สำนักการศึกษา</t>
  </si>
  <si>
    <t>เครื่องพิมพ์เลเซอร์ Brother Laser Color HL-3270CDW</t>
  </si>
  <si>
    <t>416-66-2268</t>
  </si>
  <si>
    <t>416-66-2269</t>
  </si>
  <si>
    <t>416-66-2270</t>
  </si>
  <si>
    <t>416-66-2271</t>
  </si>
  <si>
    <t>416-66-2272</t>
  </si>
  <si>
    <t>416-66-2273</t>
  </si>
  <si>
    <t>416-66-2274</t>
  </si>
  <si>
    <t>416-66-2275</t>
  </si>
  <si>
    <t>เครื่องพิมพ์เลเซอร์หรือ LED สี ชนิด Network แบบที่ 1 ยี่ห้อ Brother รุ่น HL-L 3270 CDW</t>
  </si>
  <si>
    <t>416-66-2471</t>
  </si>
  <si>
    <t>อุทยานการเรียนรู้นครลำปาง</t>
  </si>
  <si>
    <t>416-66-2472</t>
  </si>
  <si>
    <t>416-66-2473</t>
  </si>
  <si>
    <t>งานกีฬาและนันทนาการ</t>
  </si>
  <si>
    <t>เครื่องพิมพ์ Multifuntion แบบฉีดหมึก พร้อมติดตั้งถังหมึกพิมพ์ ยี่ห้อ Brother รุ่น DCP-T720 W</t>
  </si>
  <si>
    <t>416-66-2474</t>
  </si>
  <si>
    <t>มิวเซียม</t>
  </si>
  <si>
    <t>416-66-2475</t>
  </si>
  <si>
    <t>คอมพิวเตอร์แท็ปเล็ต แบบที่ 2 ยี่ห้อ APPLE รุ่น IPAD 1PG10</t>
  </si>
  <si>
    <t>416-66-2476</t>
  </si>
  <si>
    <t>416-66-2477</t>
  </si>
  <si>
    <t>เครื่องสำรองไฟฟ้า ขนาด 800 VA ยี่ห้อ ZIRCON รุ่น ICT-2</t>
  </si>
  <si>
    <t>416-66-2478</t>
  </si>
  <si>
    <t>416-66-2479</t>
  </si>
  <si>
    <t>416-66-2480</t>
  </si>
  <si>
    <t>416-66-2481</t>
  </si>
  <si>
    <t>เก้าอี้รับรองโครงขาผลิตจากเหล็กชุบโครเมียม ขนาดไม่น้อยกว่า 56x54x80 ซม.</t>
  </si>
  <si>
    <t>401-67-7646</t>
  </si>
  <si>
    <t>ครุภัณฑ์สำนักงาน</t>
  </si>
  <si>
    <t>งานศึกษาไม่กำหนดระดับ</t>
  </si>
  <si>
    <t>ต่ำกว่าเกณฑ์</t>
  </si>
  <si>
    <t>401-67-7647</t>
  </si>
  <si>
    <t>401-67-7648</t>
  </si>
  <si>
    <t>401-67-7649</t>
  </si>
  <si>
    <t>401-67-7650</t>
  </si>
  <si>
    <t>401-67-7651</t>
  </si>
  <si>
    <t>401-67-7652</t>
  </si>
  <si>
    <t>401-67-7653</t>
  </si>
  <si>
    <t>401-67-7654</t>
  </si>
  <si>
    <t>401-67-7655</t>
  </si>
  <si>
    <t>401-67-7656</t>
  </si>
  <si>
    <t>401-67-7657</t>
  </si>
  <si>
    <t>401-67-7658</t>
  </si>
  <si>
    <t>401-67-7659</t>
  </si>
  <si>
    <t>401-67-7660</t>
  </si>
  <si>
    <t>401-67-7661</t>
  </si>
  <si>
    <t>401-67-7662</t>
  </si>
  <si>
    <t>401-67-7663</t>
  </si>
  <si>
    <t>401-67-7664</t>
  </si>
  <si>
    <t>401-67-7665</t>
  </si>
  <si>
    <t>401-67-7666</t>
  </si>
  <si>
    <t>401-67-7667</t>
  </si>
  <si>
    <t>เก้าอี้สำนักงานขนาด กว้าง 55 ซม. ลึก 55 ซม. สูง 85 ซม.</t>
  </si>
  <si>
    <t>401-67-10040</t>
  </si>
  <si>
    <t>401-67-10041</t>
  </si>
  <si>
    <t>401-67-10042</t>
  </si>
  <si>
    <t>401-67-10043</t>
  </si>
  <si>
    <t>401-67-10044</t>
  </si>
  <si>
    <t>401-67-10045</t>
  </si>
  <si>
    <t>401-67-10046</t>
  </si>
  <si>
    <t>401-67-10047</t>
  </si>
  <si>
    <t>401-67-10048</t>
  </si>
  <si>
    <t>401-67-10049</t>
  </si>
  <si>
    <t>401-67-10050</t>
  </si>
  <si>
    <t>401-67-10051</t>
  </si>
  <si>
    <t>401-67-10052</t>
  </si>
  <si>
    <t>401-67-10053</t>
  </si>
  <si>
    <t>401-67-10054</t>
  </si>
  <si>
    <t>401-67-10055</t>
  </si>
  <si>
    <t>401-67-10056</t>
  </si>
  <si>
    <t>401-67-10057</t>
  </si>
  <si>
    <t>401-67-10058</t>
  </si>
  <si>
    <t>401-67-10059</t>
  </si>
  <si>
    <t>401-67-10060</t>
  </si>
  <si>
    <t>401-67-10061</t>
  </si>
  <si>
    <t>401-67-10062</t>
  </si>
  <si>
    <t>401-67-10063</t>
  </si>
  <si>
    <t>401-67-10064</t>
  </si>
  <si>
    <t>401-67-10065</t>
  </si>
  <si>
    <t>401-67-10066</t>
  </si>
  <si>
    <t>401-67-10067</t>
  </si>
  <si>
    <t>401-67-10068</t>
  </si>
  <si>
    <t>401-67-10069</t>
  </si>
  <si>
    <t>401-67-10070</t>
  </si>
  <si>
    <t>401-67-10071</t>
  </si>
  <si>
    <t>โต๊ะทำงานขนาด กว้าง 120 ซม. ลึก 60 ซม. สูง 75 ซม.</t>
  </si>
  <si>
    <t>400-67-6970</t>
  </si>
  <si>
    <t>400-67-6971</t>
  </si>
  <si>
    <t>400-67-6972</t>
  </si>
  <si>
    <t>400-67-6973</t>
  </si>
  <si>
    <t>400-67-6974</t>
  </si>
  <si>
    <t>400-67-6975</t>
  </si>
  <si>
    <t>400-67-6976</t>
  </si>
  <si>
    <t>400-67-6977</t>
  </si>
  <si>
    <t>400-67-6978</t>
  </si>
  <si>
    <t>400-67-6979</t>
  </si>
  <si>
    <t>400-67-6980</t>
  </si>
  <si>
    <t>400-67-6981</t>
  </si>
  <si>
    <t>400-67-6982</t>
  </si>
  <si>
    <t>400-67-6983</t>
  </si>
  <si>
    <t>400-67-6984</t>
  </si>
  <si>
    <t>400-67-6985</t>
  </si>
  <si>
    <t>400-67-6986</t>
  </si>
  <si>
    <t>400-67-6987</t>
  </si>
  <si>
    <t>400-67-6988</t>
  </si>
  <si>
    <t>400-67-6989</t>
  </si>
  <si>
    <t>400-67-6990</t>
  </si>
  <si>
    <t>400-67-6991</t>
  </si>
  <si>
    <t>400-67-6992</t>
  </si>
  <si>
    <t>400-67-6993</t>
  </si>
  <si>
    <t>400-67-6994</t>
  </si>
  <si>
    <t>400-67-6995</t>
  </si>
  <si>
    <t>400-67-6996</t>
  </si>
  <si>
    <t>400-67-6997</t>
  </si>
  <si>
    <t>400-67-6998</t>
  </si>
  <si>
    <t>400-67-6999</t>
  </si>
  <si>
    <t>400-67-7000</t>
  </si>
  <si>
    <t>400-67-7001</t>
  </si>
  <si>
    <t>406-67-1465</t>
  </si>
  <si>
    <t>ตู้เหล็กแบบ 2 บาน ขนาด กว้าง 120 ซม. ลึก 60 ซม. สูง 75 ซม.</t>
  </si>
  <si>
    <t>406-67-1466</t>
  </si>
  <si>
    <t>406-67-1467</t>
  </si>
  <si>
    <t>406-67-1468</t>
  </si>
  <si>
    <t>แท่นบรรยาย (โพเดียมไม้) สีโอ๊ค ขนาด 50x40x117 เซนติเมตร ตกแต่งเสาโค้งสแตนเลส ด้านข้าง Top และฐานหุ้มสแตนเลส</t>
  </si>
  <si>
    <t>405-67-0001</t>
  </si>
  <si>
    <t>405-67-0002</t>
  </si>
  <si>
    <t>420-67-0483</t>
  </si>
  <si>
    <t>420-67-0484</t>
  </si>
  <si>
    <t>ชั้นเหล็กวางหนังสือ ขนาด กว้าง 0.96xลึก 0.49xสูง 1.96 เมตร</t>
  </si>
  <si>
    <t>404-67-6330</t>
  </si>
  <si>
    <t>404-67-6331</t>
  </si>
  <si>
    <t>404-67-6332</t>
  </si>
  <si>
    <t>โต๊ะพับอเนกประสงค์ ขนาด กว้าง 75xยาว 180xสูง 75 ซม.</t>
  </si>
  <si>
    <t>400-67-7505</t>
  </si>
  <si>
    <t>400-67-7506</t>
  </si>
  <si>
    <t>400-67-7507</t>
  </si>
  <si>
    <t>400-67-7508</t>
  </si>
  <si>
    <t>400-67-7509</t>
  </si>
  <si>
    <t>400-67-7510</t>
  </si>
  <si>
    <t>400-67-7511</t>
  </si>
  <si>
    <t>400-67-7512</t>
  </si>
  <si>
    <t>400-67-7513</t>
  </si>
  <si>
    <t>400-67-7514</t>
  </si>
  <si>
    <t>เงินงบประมาณ</t>
  </si>
  <si>
    <t>ครุภัณฑ์ไฟฟ้าและวิทยุ</t>
  </si>
  <si>
    <t>811-67-0011</t>
  </si>
  <si>
    <t>ครุภัณฑ์กีฬา</t>
  </si>
  <si>
    <t>462-67-0411</t>
  </si>
  <si>
    <t>462-67-0412</t>
  </si>
  <si>
    <t>462-67-0413</t>
  </si>
  <si>
    <t>462-67-0414</t>
  </si>
  <si>
    <t>462-67-0415</t>
  </si>
  <si>
    <t>459-67-1147</t>
  </si>
  <si>
    <t>459-67-1148</t>
  </si>
  <si>
    <t>459-67-1149</t>
  </si>
  <si>
    <t>459-67-1150</t>
  </si>
  <si>
    <t>459-67-1151</t>
  </si>
  <si>
    <t>459-67-1152</t>
  </si>
  <si>
    <t>459-67-1153</t>
  </si>
  <si>
    <t>459-67-1154</t>
  </si>
  <si>
    <t>459-67-1155</t>
  </si>
  <si>
    <t>459-67-1156</t>
  </si>
  <si>
    <t>459-67-1157</t>
  </si>
  <si>
    <t>459-67-1158</t>
  </si>
  <si>
    <t>459-67-1159</t>
  </si>
  <si>
    <t>459-67-1160</t>
  </si>
  <si>
    <t>459-67-1161</t>
  </si>
  <si>
    <t>459-67-1162</t>
  </si>
  <si>
    <t>459-67-1163</t>
  </si>
  <si>
    <t>458-67-0208</t>
  </si>
  <si>
    <t>458-67-0209</t>
  </si>
  <si>
    <t>458-67-0210</t>
  </si>
  <si>
    <t>458-67-0211</t>
  </si>
  <si>
    <t>458-67-0212</t>
  </si>
  <si>
    <t>406-67-1474</t>
  </si>
  <si>
    <t>416-67-2506</t>
  </si>
  <si>
    <t>ครุภัณฑ์คอมพิวเตอร์</t>
  </si>
  <si>
    <t>ทะเบียนรายงานผลการตรวจนับครุภัณฑ์ของสำนักการศึกษา ประจำปี  2567</t>
  </si>
  <si>
    <t>ณ   วันที่   30   กันยายน   2567   (เทศบัญญัติ)</t>
  </si>
  <si>
    <t>หมายเลข  E-laas</t>
  </si>
  <si>
    <t>หมายเลขครุภัณฑ์</t>
  </si>
  <si>
    <t>วัน เดือน ปี ที่ได้มา</t>
  </si>
  <si>
    <t>สภาพครุภัณฑ์</t>
  </si>
  <si>
    <t>ใช้ได้</t>
  </si>
  <si>
    <t>ชำรุด</t>
  </si>
  <si>
    <t>เสื่อมสภาพ</t>
  </si>
  <si>
    <t>สูญหาย</t>
  </si>
  <si>
    <t>เก็บไว้นาน</t>
  </si>
  <si>
    <t>หมดความจำเป็น</t>
  </si>
  <si>
    <t xml:space="preserve">ตู้เหล็กเก็บเอกสาร 4 ลิ้นชัก </t>
  </si>
  <si>
    <t>401-160402-00001</t>
  </si>
  <si>
    <t>406-16-0075</t>
  </si>
  <si>
    <t>สำนักการศึกษา ชั้น 2</t>
  </si>
  <si>
    <t>หน้าห้องผอ.สำนัก</t>
  </si>
  <si>
    <t>ตู้เหล็กเก็บเอกสาร Prerident</t>
  </si>
  <si>
    <t>401-191111-00001</t>
  </si>
  <si>
    <t>ศ.406-19-0127</t>
  </si>
  <si>
    <t>ชั้นลอย</t>
  </si>
  <si>
    <t>ตู้เหล็กเก็บเอกสาร  2 บาน</t>
  </si>
  <si>
    <t>401-220208-00001</t>
  </si>
  <si>
    <t>ศ.406-21-0133</t>
  </si>
  <si>
    <t>ตู้เหล็กเก็บเอกสาร KUNOKI</t>
  </si>
  <si>
    <t>401-220105-00001</t>
  </si>
  <si>
    <t>ศ.406-22-0159</t>
  </si>
  <si>
    <t>ตู้เหล็กเก็บเอกสารยี่ห้อ คูโนกิ  2 บาน</t>
  </si>
  <si>
    <t>401-220227-00011</t>
  </si>
  <si>
    <t>406-22-0169</t>
  </si>
  <si>
    <t>401-220227-00012</t>
  </si>
  <si>
    <t>406-22-0170</t>
  </si>
  <si>
    <t xml:space="preserve">พัดลมติดเพดาน   ขนาด  56"   </t>
  </si>
  <si>
    <t>401-240819-00001</t>
  </si>
  <si>
    <t>432-24-0045</t>
  </si>
  <si>
    <t>สำนักการศึกษา ชั้น 3</t>
  </si>
  <si>
    <t>401-240819-00002</t>
  </si>
  <si>
    <t>432-24-0046</t>
  </si>
  <si>
    <t>กนกวรรณ</t>
  </si>
  <si>
    <t>ตู้เหล็กเก็บเอกสารชนิด  2  บาน</t>
  </si>
  <si>
    <t>401-260224-00002</t>
  </si>
  <si>
    <t>406-26-0249</t>
  </si>
  <si>
    <t>401-260221-00003</t>
  </si>
  <si>
    <t>406-26-0250</t>
  </si>
  <si>
    <t xml:space="preserve">ตู้เหล็กเก็บเอกสาร ชนิด 4 ลิ้นชัก </t>
  </si>
  <si>
    <t>401-270530-00001</t>
  </si>
  <si>
    <t>406-27-0270</t>
  </si>
  <si>
    <t>ชัชวาลย์</t>
  </si>
  <si>
    <t>401-270530-00002</t>
  </si>
  <si>
    <t>406-27-0273</t>
  </si>
  <si>
    <t>ตรงบันได</t>
  </si>
  <si>
    <t>ตู้เหล็ก 4 ลิ้นชัก</t>
  </si>
  <si>
    <t>401-300309-00001</t>
  </si>
  <si>
    <t>406-30-0385</t>
  </si>
  <si>
    <t>401-300312-00001</t>
  </si>
  <si>
    <t>406-30-0386</t>
  </si>
  <si>
    <t xml:space="preserve">สำนักการศึกษา </t>
  </si>
  <si>
    <t xml:space="preserve">โต๊ะทำงานระดับ 1-2 </t>
  </si>
  <si>
    <t>401-310301-00002</t>
  </si>
  <si>
    <t>400-31-1760</t>
  </si>
  <si>
    <t>หน้าห้องผอ.สุ</t>
  </si>
  <si>
    <t>ตู้เหล็กเก็บเอกสารบานเลื่อนกระจก ยี่ห้อคิงคอง</t>
  </si>
  <si>
    <t>401-310327-00001</t>
  </si>
  <si>
    <t>406-31-0428</t>
  </si>
  <si>
    <t>ตู้ไม้ 2 ตอน ขนาด .45*3*2.80 ม.</t>
  </si>
  <si>
    <t>401-310908-00001</t>
  </si>
  <si>
    <t>ศ.406-31-0454</t>
  </si>
  <si>
    <t>หน้าห้องน้ำ ชั้น 3</t>
  </si>
  <si>
    <t>ตู้เก็บเอกสารแบบฟอร์ม 15 ลิ้นชัก</t>
  </si>
  <si>
    <t>401-311212-00001</t>
  </si>
  <si>
    <t>406-31-0460</t>
  </si>
  <si>
    <t>12 ธ.ค 31</t>
  </si>
  <si>
    <t xml:space="preserve">ตู้เหล็กเก็บเอกสาร ชนิด4 ลิ้นชัก </t>
  </si>
  <si>
    <t>401-621107-00003</t>
  </si>
  <si>
    <t>406-35-0578</t>
  </si>
  <si>
    <t>401-350526-00017</t>
  </si>
  <si>
    <t>406-35-0579</t>
  </si>
  <si>
    <t>401-350526-00018</t>
  </si>
  <si>
    <t>406-35-0580</t>
  </si>
  <si>
    <t>ห้องสมุดประชาชน</t>
  </si>
  <si>
    <t>ตู้เย็น</t>
  </si>
  <si>
    <t>412-370127-00001</t>
  </si>
  <si>
    <t>703-37-0020</t>
  </si>
  <si>
    <t>ตู้เหล็กเอกสาร 15 ลิ้นชัก ยี่ห้อ CRETECH</t>
  </si>
  <si>
    <t>401-401203-00001</t>
  </si>
  <si>
    <t>406-40-0021</t>
  </si>
  <si>
    <t>401-401203-00002</t>
  </si>
  <si>
    <t>406-40-0022</t>
  </si>
  <si>
    <t>401-401203-00003</t>
  </si>
  <si>
    <t>406-40-0023</t>
  </si>
  <si>
    <t>ภัทราภรณ์</t>
  </si>
  <si>
    <t>โต๊ะวางเครื่องคอมพิวเตอร์</t>
  </si>
  <si>
    <t>401-400106-00001</t>
  </si>
  <si>
    <t>400-40-3285</t>
  </si>
  <si>
    <t>ขวัญภิรมย์</t>
  </si>
  <si>
    <t>ชั้นเหล็กเก็บเอกสาร ยี่ห้อไดวา</t>
  </si>
  <si>
    <t>401-420113-00001</t>
  </si>
  <si>
    <t>404-42-0031</t>
  </si>
  <si>
    <t>401-420113-00002</t>
  </si>
  <si>
    <t>404-42-0032</t>
  </si>
  <si>
    <t>ตู้เหล็กเอกสาร 15 ลิ้นชัก ยี่ห้อ SURE</t>
  </si>
  <si>
    <t>401-420113-00003</t>
  </si>
  <si>
    <t>406-42-0044</t>
  </si>
  <si>
    <t>พิมพร</t>
  </si>
  <si>
    <t>401-420113-00004</t>
  </si>
  <si>
    <t>406-42-0045</t>
  </si>
  <si>
    <t>พิมล</t>
  </si>
  <si>
    <t>ตู้เหล็กเก็บเอกสารชนิดบานเลื่อน ยี่ห้อ SURE</t>
  </si>
  <si>
    <t>401-421227-00001</t>
  </si>
  <si>
    <t>406-42-0078</t>
  </si>
  <si>
    <t>มณฑา</t>
  </si>
  <si>
    <t>401-421227-00002</t>
  </si>
  <si>
    <t>406-42-0079</t>
  </si>
  <si>
    <t>ข้างโต๊ะศาธิมา</t>
  </si>
  <si>
    <t>401-421227-00003</t>
  </si>
  <si>
    <t>406-42-0080</t>
  </si>
  <si>
    <t>ตู้เหล็กเก็บเอกสาร 4 ลิ้นชัก ยี่ห้อ Sure</t>
  </si>
  <si>
    <t>401-440420-00002</t>
  </si>
  <si>
    <t>406-44-0125</t>
  </si>
  <si>
    <t>401-440420-00003</t>
  </si>
  <si>
    <t>406-44-0126</t>
  </si>
  <si>
    <t>เครื่องปรับอากาศแบบแยกส่วน ยี่ห้อ มิตซูฯ</t>
  </si>
  <si>
    <t>401-450410-00004</t>
  </si>
  <si>
    <t>420-45-0133</t>
  </si>
  <si>
    <t>ผอ.นก</t>
  </si>
  <si>
    <t>คอมพิวเตอร์ (CPU)</t>
  </si>
  <si>
    <t>410-640217-00001</t>
  </si>
  <si>
    <t>416-45-0168</t>
  </si>
  <si>
    <t xml:space="preserve"> 19 ก.ค. 45</t>
  </si>
  <si>
    <t>/</t>
  </si>
  <si>
    <t>นิติรัฐ</t>
  </si>
  <si>
    <t>ตู้เหล็กเก็บเอกสาร ขนาด 3 ลิ้นชัก ยี่ห้อ โอตานิ</t>
  </si>
  <si>
    <t>401-450530-00005</t>
  </si>
  <si>
    <t>406-45-1054</t>
  </si>
  <si>
    <t>โต๊ะวางคอมพิวเตอร์</t>
  </si>
  <si>
    <t>410-451001-00001</t>
  </si>
  <si>
    <t>400-45-3330</t>
  </si>
  <si>
    <t>สิริรัตนา</t>
  </si>
  <si>
    <t>ถังเก็บน้ำ</t>
  </si>
  <si>
    <t>401-460210-00015</t>
  </si>
  <si>
    <t>437-46-0017</t>
  </si>
  <si>
    <t xml:space="preserve"> 10 ก.พ. 46</t>
  </si>
  <si>
    <t>ข้างถ่ายเอกสาร</t>
  </si>
  <si>
    <t xml:space="preserve">ตู้เหล็กเก็บเอกสาร 4 ลิ้นชัก  </t>
  </si>
  <si>
    <t>401-460213-00003</t>
  </si>
  <si>
    <t>406-46-1102</t>
  </si>
  <si>
    <t>13 ก.พ. 46</t>
  </si>
  <si>
    <t>401-460213-00004</t>
  </si>
  <si>
    <t>406-46-1103</t>
  </si>
  <si>
    <t>ศิลาพร</t>
  </si>
  <si>
    <t>ตู้เหล็กเก็บเอกสาร 2 บานเปิด</t>
  </si>
  <si>
    <t>401-460213-00005</t>
  </si>
  <si>
    <t>406-46-1104</t>
  </si>
  <si>
    <t>โต๊ะทำงาน</t>
  </si>
  <si>
    <t>401-460222-00002</t>
  </si>
  <si>
    <t>400-46-5360</t>
  </si>
  <si>
    <t xml:space="preserve">โต๊ะพิมพ์ดีดยาว </t>
  </si>
  <si>
    <t>401-460222-00003</t>
  </si>
  <si>
    <t>400-46-5362</t>
  </si>
  <si>
    <t>พี่โฉม ถ่ายเอกสาร</t>
  </si>
  <si>
    <t>401-460222-00004</t>
  </si>
  <si>
    <t>400-46-5363</t>
  </si>
  <si>
    <t>ชั้นวางเอกสาร</t>
  </si>
  <si>
    <t>401-460222-00007</t>
  </si>
  <si>
    <t>404-46-0210</t>
  </si>
  <si>
    <t>401-460222-00008</t>
  </si>
  <si>
    <t>404-46-0211</t>
  </si>
  <si>
    <t>ชั้นลอย/ชั้น 2</t>
  </si>
  <si>
    <t>ตู้บานเลื่อนกระจก</t>
  </si>
  <si>
    <t>401-470920-00001</t>
  </si>
  <si>
    <t>406-47-1175</t>
  </si>
  <si>
    <t>สำนักศึกษา ชั้น 3</t>
  </si>
  <si>
    <t>ตู้เหล็กเก็บเอกสารชนิดบานเลื่อนทึบยี่ห้อ นิโคล</t>
  </si>
  <si>
    <t>401-480830-00001</t>
  </si>
  <si>
    <t>30 ส.ค.48</t>
  </si>
  <si>
    <t>รัญญากร</t>
  </si>
  <si>
    <t>ตู้เหล็กเก็บเอกสาร 4 ลิ้นชักยี่ห้อนิโคล สีเทา</t>
  </si>
  <si>
    <t>401-480830-00002</t>
  </si>
  <si>
    <t>406-48-1189</t>
  </si>
  <si>
    <t xml:space="preserve">ตู้เหล็กเก็บเอกสาร 4 ลิ้นชักยี่ห้อนิโคล </t>
  </si>
  <si>
    <t>401-480830-00003</t>
  </si>
  <si>
    <t>406-48-1190</t>
  </si>
  <si>
    <t>สำนักศึกษา ชั้น 2</t>
  </si>
  <si>
    <t>401-480830-00004</t>
  </si>
  <si>
    <t>406-48-1191</t>
  </si>
  <si>
    <t>401-480830-00005</t>
  </si>
  <si>
    <t>406-48-1192</t>
  </si>
  <si>
    <t xml:space="preserve">จอ LCD </t>
  </si>
  <si>
    <t>410-501018-00027</t>
  </si>
  <si>
    <t>416-50-0352</t>
  </si>
  <si>
    <t xml:space="preserve"> 18 ต.ค. 50</t>
  </si>
  <si>
    <t>เครื่องสำรองไฟลูกข่าย</t>
  </si>
  <si>
    <t>410-510529-00073</t>
  </si>
  <si>
    <t>416-51-0417</t>
  </si>
  <si>
    <t xml:space="preserve"> 29 พ.ค. 51</t>
  </si>
  <si>
    <t>เครื่องพิมพ์ HP ลูกข่าย</t>
  </si>
  <si>
    <t>410-510529-00078</t>
  </si>
  <si>
    <t>416-51-0452</t>
  </si>
  <si>
    <t xml:space="preserve">เครื่องคอมพิวเตอร์ CPU </t>
  </si>
  <si>
    <t>410-520701-00052</t>
  </si>
  <si>
    <t>416-52-0529</t>
  </si>
  <si>
    <t xml:space="preserve"> 1 ก.ค. 52</t>
  </si>
  <si>
    <t>410-520701-00053</t>
  </si>
  <si>
    <t>416-52-0530</t>
  </si>
  <si>
    <t>410-520701-00054</t>
  </si>
  <si>
    <t>416-52-0531</t>
  </si>
  <si>
    <t>พี่อ้อ  วก.</t>
  </si>
  <si>
    <t>จอภาพ LCD 20 นิ้ว</t>
  </si>
  <si>
    <t>410-520701-00055</t>
  </si>
  <si>
    <t>416-52-0541</t>
  </si>
  <si>
    <t>410-520701-00057</t>
  </si>
  <si>
    <t>416-52-0543</t>
  </si>
  <si>
    <t>วก. พี่อ้อ</t>
  </si>
  <si>
    <t>คอมพิวเตอร์ Acer</t>
  </si>
  <si>
    <t>410-630217-00001</t>
  </si>
  <si>
    <t>416-55-0698</t>
  </si>
  <si>
    <t>สำนักการศึกษา  ชั้น 2</t>
  </si>
  <si>
    <t>จอภาพ ACER</t>
  </si>
  <si>
    <t>410-550810-00029</t>
  </si>
  <si>
    <t>416-55-0688</t>
  </si>
  <si>
    <t>จอภาพ Acer</t>
  </si>
  <si>
    <t>410-550810-00028</t>
  </si>
  <si>
    <t>416-55-0687</t>
  </si>
  <si>
    <t>สำนักการศึกษา ชั้น2</t>
  </si>
  <si>
    <t>คอมพิวเตอร์ ACER Veriton (CPU)</t>
  </si>
  <si>
    <t>410-630217-00002</t>
  </si>
  <si>
    <t>416-55-0699</t>
  </si>
  <si>
    <t>401-630309-00001</t>
  </si>
  <si>
    <t>420-55-0016</t>
  </si>
  <si>
    <t>เครื่องปรับอากาศแบบแยกส่วน ชนิดตั้งพื้นหรือชนิดแขวน ขนาดไม่ต่ำกว่า 30000 บีทียู</t>
  </si>
  <si>
    <t>401-550901-00001</t>
  </si>
  <si>
    <t>420-55-0170</t>
  </si>
  <si>
    <t>สำนักการศึกษา ชั้น3</t>
  </si>
  <si>
    <t>401-550901-00002</t>
  </si>
  <si>
    <t>420-55-0175</t>
  </si>
  <si>
    <t>ผอ.สุ</t>
  </si>
  <si>
    <t>401-550924-00001</t>
  </si>
  <si>
    <t>420-55-0168</t>
  </si>
  <si>
    <t>ศาธิมา</t>
  </si>
  <si>
    <t>401-550924-00002</t>
  </si>
  <si>
    <t>420-55-0169</t>
  </si>
  <si>
    <t>หน.นัทธ์หทัย</t>
  </si>
  <si>
    <t>401-550924-00003</t>
  </si>
  <si>
    <t>420-55-0171</t>
  </si>
  <si>
    <t>หน้าห้องน้ำ ชั้น 2</t>
  </si>
  <si>
    <t>401-550924-00004</t>
  </si>
  <si>
    <t>420-55-0172</t>
  </si>
  <si>
    <t>หน.ภัทราภรณ์</t>
  </si>
  <si>
    <t>401-550924-00005</t>
  </si>
  <si>
    <t>420-55-0173</t>
  </si>
  <si>
    <t>401-550924-00006</t>
  </si>
  <si>
    <t>420-55-0174</t>
  </si>
  <si>
    <t>โทรทัศน์ LCD ยี่ห้อ SAMSUNG UA40EH5000</t>
  </si>
  <si>
    <t>404-560808-00001</t>
  </si>
  <si>
    <t>456-56-0043</t>
  </si>
  <si>
    <t>บุษบกอัญเชิญพระเจ้าแก้วมรกต</t>
  </si>
  <si>
    <t>418-631012-00001</t>
  </si>
  <si>
    <t>203-56-0001</t>
  </si>
  <si>
    <t>เครื่องโทรสารแบบใช้กระดาษธรรมดา ยี่ห้อ Canon</t>
  </si>
  <si>
    <t>401-590226-00001</t>
  </si>
  <si>
    <t>424-59-0032</t>
  </si>
  <si>
    <t>อรุณรัตน์</t>
  </si>
  <si>
    <t>พัดลมตั้งพื้นอุตสาหกรรม (Tefal) ขนาด 20 นิ้ว</t>
  </si>
  <si>
    <t>401-600109-00001</t>
  </si>
  <si>
    <t>432-60-0910</t>
  </si>
  <si>
    <t xml:space="preserve">  9 ม.ค. 60</t>
  </si>
  <si>
    <t>401-600109-00002</t>
  </si>
  <si>
    <t>432-60-0911</t>
  </si>
  <si>
    <t>ห้องผอ.สำนัก ชั้น 2</t>
  </si>
  <si>
    <t xml:space="preserve">เครื่องพิมพ์ Multifunction ยี่ห้อ Brother </t>
  </si>
  <si>
    <t>410-600607-00004</t>
  </si>
  <si>
    <t>416-60-1288</t>
  </si>
  <si>
    <t xml:space="preserve"> 7 มิ.ย. 60</t>
  </si>
  <si>
    <t>หน.พิมพร</t>
  </si>
  <si>
    <t>เครื่องคอมพิวเตอร์โน๊ตบุ๊ค ยี่ห้อ Acer รุ่น Aspire E5</t>
  </si>
  <si>
    <t>410-600607-00017</t>
  </si>
  <si>
    <t>416-60-1287</t>
  </si>
  <si>
    <t xml:space="preserve">ถังเก็บน้ำแบบสแตนเลส ขนาดความจุ 3,000 ลิตร พร้อมชุดขาตั้งยี่ห้อ ADVANCED TANK  </t>
  </si>
  <si>
    <t>401-62111-00271</t>
  </si>
  <si>
    <t>437-62-0045</t>
  </si>
  <si>
    <t xml:space="preserve"> 14 ส.ค. 62</t>
  </si>
  <si>
    <t>ชั้นลอย ดาดฟ้า</t>
  </si>
  <si>
    <t xml:space="preserve">ถังเก็บน้ำแบบสแตนเลส ขนาดความจุ 3,000 ลิตร  พร้อมชุดขาตั้งยี่ห้อ ADVANCED TANK  </t>
  </si>
  <si>
    <t>401-62111-00272</t>
  </si>
  <si>
    <t>437-62-0046</t>
  </si>
  <si>
    <t>405-62111-00011</t>
  </si>
  <si>
    <t>055-62-0239</t>
  </si>
  <si>
    <t>ถ่ายเอกสารพี่โฉม</t>
  </si>
  <si>
    <t>ปั๊มน้ำอัตโนมัติระบบอินเวอร์เตอร์แรงไฟฟ้า 380 โวล์ สีเหลือง ยี่ห้อ MITSUBISHI ELECTRIC</t>
  </si>
  <si>
    <t>405-62111-00012</t>
  </si>
  <si>
    <t>055-62-0240</t>
  </si>
  <si>
    <t>จอคอมพิวเตอร์สำหรับประมวลผล ยี่ห้อ Lemel รุ่น LMB-L5944H10</t>
  </si>
  <si>
    <t>410-631012-00042</t>
  </si>
  <si>
    <t>416-63-1381</t>
  </si>
  <si>
    <t xml:space="preserve"> 8 ต.ค. 62</t>
  </si>
  <si>
    <t>งานธุรการ ชั้น 2</t>
  </si>
  <si>
    <t>ศศิมา ชั้น2</t>
  </si>
  <si>
    <t>410-631012-00043</t>
  </si>
  <si>
    <t>416-63-1383</t>
  </si>
  <si>
    <t>สิริพร</t>
  </si>
  <si>
    <t>CPU คอมพิวเตอร์สำหรับสำนักงาน ยี่ห้อ Lemel รุ่น LMB-L3814H10</t>
  </si>
  <si>
    <t>410-631012-00044</t>
  </si>
  <si>
    <t>416-63-1382</t>
  </si>
  <si>
    <t>410-631012-00045</t>
  </si>
  <si>
    <t>416-63-1384</t>
  </si>
  <si>
    <t>เครื่องพิมพ์ Multifunction เลเซอร์ หรือ LED ขาวดำ ยี่ห้อ Pantum</t>
  </si>
  <si>
    <t>410-631012-00046</t>
  </si>
  <si>
    <t>416-63-1400</t>
  </si>
  <si>
    <t>นฤตย์</t>
  </si>
  <si>
    <t>เครื่องพิมพ์เลเซอร์ ชนิด Network แบบที่ 1 ยี่ห้อ Pantum</t>
  </si>
  <si>
    <t>410-631012-00047</t>
  </si>
  <si>
    <t>416-63-1404</t>
  </si>
  <si>
    <t>410-631012-00048</t>
  </si>
  <si>
    <t>416-63-1405</t>
  </si>
  <si>
    <t>ธีรนันท์</t>
  </si>
  <si>
    <t>จอคอมพิวเตอร์แม่ข่าย แบบที่ 1 ยี่ห้อ Acer</t>
  </si>
  <si>
    <t>410-631012-00060</t>
  </si>
  <si>
    <t>416-63-1425</t>
  </si>
  <si>
    <t xml:space="preserve"> 9 ต.ค. 62</t>
  </si>
  <si>
    <t>CPU เครื่องคอมพิวเตอร์แม่ข่ายแบบที่ 1 ยี่ห้อ Acer พร้อมติดตั้งโปรแกรม</t>
  </si>
  <si>
    <t>410-631012-00061</t>
  </si>
  <si>
    <t>416-63-1426</t>
  </si>
  <si>
    <t>จอคอมพิวเตอร์ขนาดไม่น้อยกว่า 19 นิ้ว ยี่ห้อ Acer</t>
  </si>
  <si>
    <t>410-631012-00062</t>
  </si>
  <si>
    <t>416-63-1427</t>
  </si>
  <si>
    <t>CPU เครื่องคอมพิวเตอร์สำหรับงานสำนักงาน ยี่ห้อ Acer</t>
  </si>
  <si>
    <t>410-631012-00063</t>
  </si>
  <si>
    <t>416-63-1428</t>
  </si>
  <si>
    <t>410-631012-00064</t>
  </si>
  <si>
    <t>416-63-1429</t>
  </si>
  <si>
    <t>410-631012-00065</t>
  </si>
  <si>
    <t>416-63-1430</t>
  </si>
  <si>
    <t>410-631012-00066</t>
  </si>
  <si>
    <t>416-63-1431</t>
  </si>
  <si>
    <t>410-631012-00067</t>
  </si>
  <si>
    <t>416-63-1432</t>
  </si>
  <si>
    <t>410-631012-00068</t>
  </si>
  <si>
    <t>416-63-1433</t>
  </si>
  <si>
    <t>กฤตาณัฐ</t>
  </si>
  <si>
    <t>410-631012-00069</t>
  </si>
  <si>
    <t>416-63-1434</t>
  </si>
  <si>
    <t>เครื่องสำรองไฟฟ้าสำหรับคอมพิวเตอร์แม่ข่าย ยี่ห้อ CBC</t>
  </si>
  <si>
    <t>410-631012-00070</t>
  </si>
  <si>
    <t>416-63-1435</t>
  </si>
  <si>
    <t>เครื่องสำรองไฟฟ้าขนาด 1kVA 600 วัตต์ ยี่ห้อ CBC</t>
  </si>
  <si>
    <t>410-631012-00071</t>
  </si>
  <si>
    <t>416-63-1436</t>
  </si>
  <si>
    <t>410-631012-00072</t>
  </si>
  <si>
    <t>416-63-1437</t>
  </si>
  <si>
    <t>410-631012-00073</t>
  </si>
  <si>
    <t>416-63-1438</t>
  </si>
  <si>
    <t>410-631012-00074</t>
  </si>
  <si>
    <t>416-63-1439</t>
  </si>
  <si>
    <t>อุปกรณ์กระจายสัญญาณ ขนาด 24 ช่อง แบบที่ 1      ยี่ห้อ TP-Link พร้อมวางระบบเครือข่ายความเร็วสูง</t>
  </si>
  <si>
    <t>410-631012-00075</t>
  </si>
  <si>
    <t>416-63-1440</t>
  </si>
  <si>
    <t>เครื่องพิมพ์ Multifunction เลเซอร์ หรือ LED ขาวดำ ยี่ห้อ OKI</t>
  </si>
  <si>
    <t>410-631012-00076</t>
  </si>
  <si>
    <t>416-63-1441</t>
  </si>
  <si>
    <t>หน้าศาธิมา</t>
  </si>
  <si>
    <t>410-631012-00077</t>
  </si>
  <si>
    <t>416-63-1442</t>
  </si>
  <si>
    <t>โปรแกรมระบบบริหารจัดการศึกษาอิเล็กทรอนิกส์ สำหรับกองการศึกษา</t>
  </si>
  <si>
    <t>416-631012-00078</t>
  </si>
  <si>
    <t>416-63-1451</t>
  </si>
  <si>
    <t>203-63-0002</t>
  </si>
  <si>
    <t xml:space="preserve"> 29 เม.ย. 63</t>
  </si>
  <si>
    <t>อยู่ข้างอาคารประชาสัมพันธ์</t>
  </si>
  <si>
    <t>เครื่องวัดอุณหภูมิ ยี่ห้อ HOCO,YQ6</t>
  </si>
  <si>
    <t>409-631012-00019</t>
  </si>
  <si>
    <t>298-63-0022</t>
  </si>
  <si>
    <t xml:space="preserve"> 9 มิ.ย. 63</t>
  </si>
  <si>
    <t>งานศาสนา</t>
  </si>
  <si>
    <t>รับโอนจากกองสาธารณสุข</t>
  </si>
  <si>
    <t>409-631012-00020</t>
  </si>
  <si>
    <t>298-63-0023</t>
  </si>
  <si>
    <t>409-631012-00025</t>
  </si>
  <si>
    <t>298-63-0028</t>
  </si>
  <si>
    <t>ธุรการสำนักศึกษา</t>
  </si>
  <si>
    <t>เครื่องคอมพิวเตอร์ สำหรับงานสำนักงาน (จอแสดงภาพไม่น้อยกว่า 19 นิ้ว)</t>
  </si>
  <si>
    <t>410-640903-00054</t>
  </si>
  <si>
    <t>416-64-1804</t>
  </si>
  <si>
    <t xml:space="preserve"> 29 เม.ย. 64</t>
  </si>
  <si>
    <t>ผอ.สุกัลญา</t>
  </si>
  <si>
    <t>410-640903-00055</t>
  </si>
  <si>
    <t>416-64-1805</t>
  </si>
  <si>
    <t>ผอ.กนกกาญจน์</t>
  </si>
  <si>
    <t>เครื่องพิมพ์เลเซอร์หรือ LED ขาวดำ (18 หน้า/นาที)</t>
  </si>
  <si>
    <t>410-640903-00056</t>
  </si>
  <si>
    <t>416-64-1806</t>
  </si>
  <si>
    <t>410-640903-00057</t>
  </si>
  <si>
    <t>416-64-1807</t>
  </si>
  <si>
    <t>เครื่องสำรองไฟ ขนาด 800 VA</t>
  </si>
  <si>
    <t>410-640903-00058</t>
  </si>
  <si>
    <t>416-64-1808</t>
  </si>
  <si>
    <t>410-640903-00059</t>
  </si>
  <si>
    <t>416-64-1809</t>
  </si>
  <si>
    <t>เก้าอี้ทำงาน รุ่น CA555</t>
  </si>
  <si>
    <t>401-640903-00385</t>
  </si>
  <si>
    <t>401-64-9723</t>
  </si>
  <si>
    <t xml:space="preserve"> 5 ส.ค. 64</t>
  </si>
  <si>
    <t>งานบริหารทั่วไป</t>
  </si>
  <si>
    <t>401-640903-00386</t>
  </si>
  <si>
    <t>401-64-9724</t>
  </si>
  <si>
    <t>เก้าอี้ทำงาน รุ่น Arthur/H</t>
  </si>
  <si>
    <t>401-640903-00387</t>
  </si>
  <si>
    <t>401-64-9725</t>
  </si>
  <si>
    <t>เครื่องปรับอากาศ ยี่ห้อ Unimaster ชนิดแขวน ขนาด 24400 BTU</t>
  </si>
  <si>
    <t>401-640903-00377</t>
  </si>
  <si>
    <t>420-64-0380</t>
  </si>
  <si>
    <t xml:space="preserve"> 30 ก.ค. 64</t>
  </si>
  <si>
    <t>401-640903-00378</t>
  </si>
  <si>
    <t>420-64-0381</t>
  </si>
  <si>
    <t>เครื่องฟอกอากาศแบบฝังใต้เพดาน หรือแบบติดผนัง หรือแบบแขวน</t>
  </si>
  <si>
    <t>401-640903-00453</t>
  </si>
  <si>
    <t>431-64-0001</t>
  </si>
  <si>
    <t xml:space="preserve"> 24 ส.ค. 64</t>
  </si>
  <si>
    <t>401-640903-00454</t>
  </si>
  <si>
    <t>431-64-0002</t>
  </si>
  <si>
    <t>418-650815-00001</t>
  </si>
  <si>
    <t>022-65-0002</t>
  </si>
  <si>
    <t xml:space="preserve"> 17 พ.ย. 64</t>
  </si>
  <si>
    <t>งานศาสนาวัฒนธรรม</t>
  </si>
  <si>
    <t>418-650815-00002</t>
  </si>
  <si>
    <t>022-65-0003</t>
  </si>
  <si>
    <t>รถม้าโบราณทรงฟักทอง กว้างไม่น้อยกว่า 1.30 เมตร ยาว 3 เมตร สูง 2.50 เมตร</t>
  </si>
  <si>
    <t>418-650815-00003</t>
  </si>
  <si>
    <t>022-65-0004</t>
  </si>
  <si>
    <t>ตู้ล็อกเกอร์ 18 ช่อง</t>
  </si>
  <si>
    <t>401-650815-00157</t>
  </si>
  <si>
    <t>406-65-1356</t>
  </si>
  <si>
    <t>401-650815-00158</t>
  </si>
  <si>
    <t>406-65-1357</t>
  </si>
  <si>
    <t>รถม้า</t>
  </si>
  <si>
    <t>418-650815-00004</t>
  </si>
  <si>
    <t>022-65-0005</t>
  </si>
  <si>
    <t xml:space="preserve"> 14 ธ.ค. 64</t>
  </si>
  <si>
    <t>บริจาค</t>
  </si>
  <si>
    <t>เครื่องวัดอุณหภูมิอินฟราเรดชนิดมีขาตั้ง ใช้พลังงานไฟฟ้า พร้อม Adapter ใช้ได้ทั้งภายนอกและภายในอาคาร</t>
  </si>
  <si>
    <t>409-650815-00006</t>
  </si>
  <si>
    <t>298-65-0076</t>
  </si>
  <si>
    <t>418-650815-00005</t>
  </si>
  <si>
    <t>206-65-0001</t>
  </si>
  <si>
    <t xml:space="preserve"> 14 ม.ค. 65</t>
  </si>
  <si>
    <t>เครื่องคอมพิวเตอร์ สำหรับงานสำนักงาน ยี่ห้อ Acer รุ่น ES2740g Core I3-10105</t>
  </si>
  <si>
    <t>410-650826-00067</t>
  </si>
  <si>
    <t>416-65-1909</t>
  </si>
  <si>
    <t>งานบริหารทั่วไปฯ</t>
  </si>
  <si>
    <t>จอคอมพิวเตอร์ (จอแสดงภาพไม่น้อยกว่า 19 นิ้ว) ขนาด 19.5 นิ้ว V206HQL</t>
  </si>
  <si>
    <t>410-650826-00068</t>
  </si>
  <si>
    <t>416-65-1910</t>
  </si>
  <si>
    <t>410-650826-00069</t>
  </si>
  <si>
    <t>416-65-1911</t>
  </si>
  <si>
    <t>410-650826-00070</t>
  </si>
  <si>
    <t>416-65-1912</t>
  </si>
  <si>
    <t>410-650826-00073</t>
  </si>
  <si>
    <t>416-65-1915</t>
  </si>
  <si>
    <t>งานกิจการศาสนา</t>
  </si>
  <si>
    <t>410-650826-00074</t>
  </si>
  <si>
    <t>416-65-1916</t>
  </si>
  <si>
    <t>410-650826-00075</t>
  </si>
  <si>
    <t>416-65-1917</t>
  </si>
  <si>
    <t>410-650826-00076</t>
  </si>
  <si>
    <t>416-65-1918</t>
  </si>
  <si>
    <t>410-650826-00077</t>
  </si>
  <si>
    <t>416-65-1919</t>
  </si>
  <si>
    <t>410-650826-00078</t>
  </si>
  <si>
    <t>416-65-1920</t>
  </si>
  <si>
    <t>เครื่องสำรองไฟฟ้า ขนาด 800VA ยี่ห้อ ZIRCON รุ่น ICT-1 800VA480W</t>
  </si>
  <si>
    <t>410-650826-00079</t>
  </si>
  <si>
    <t>416-65-1921</t>
  </si>
  <si>
    <t>410-650826-00080</t>
  </si>
  <si>
    <t>416-65-1922</t>
  </si>
  <si>
    <t>410-650826-00081</t>
  </si>
  <si>
    <t>416-65-1923</t>
  </si>
  <si>
    <t>410-650826-00082</t>
  </si>
  <si>
    <t>416-65-1924</t>
  </si>
  <si>
    <t>410-650826-00083</t>
  </si>
  <si>
    <t>416-65-1925</t>
  </si>
  <si>
    <t>410-650826-00084</t>
  </si>
  <si>
    <t>416-65-1926</t>
  </si>
  <si>
    <t>410-650826-00085</t>
  </si>
  <si>
    <t>416-65-1927</t>
  </si>
  <si>
    <t>410-650826-00087</t>
  </si>
  <si>
    <t>416-65-1929</t>
  </si>
  <si>
    <t>410-650826-00088</t>
  </si>
  <si>
    <t>416-65-1930</t>
  </si>
  <si>
    <t>410-650826-00089</t>
  </si>
  <si>
    <t>416-65-1931</t>
  </si>
  <si>
    <t>410-650826-00091</t>
  </si>
  <si>
    <t>416-65-1933</t>
  </si>
  <si>
    <t>410-650826-00092</t>
  </si>
  <si>
    <t>416-65-1934</t>
  </si>
  <si>
    <t>เครื่องพิมพ์ แบบฉีดหมึก พร้อมติดตั้งถังหมึกพิมพ์ (Ink Tank Printer) ยี่ห้อ Brother รุ่น DCP-T220</t>
  </si>
  <si>
    <t>410-650826-00093</t>
  </si>
  <si>
    <t>416-65-1935</t>
  </si>
  <si>
    <t>410-650826-00094</t>
  </si>
  <si>
    <t>416-65-1936</t>
  </si>
  <si>
    <t>410-650826-00095</t>
  </si>
  <si>
    <t>416-65-1937</t>
  </si>
  <si>
    <t>410-650826-00096</t>
  </si>
  <si>
    <t>416-65-1938</t>
  </si>
  <si>
    <t>410-650826-00097</t>
  </si>
  <si>
    <t>416-65-1939</t>
  </si>
  <si>
    <t>410-650826-00098</t>
  </si>
  <si>
    <t>416-65-1940</t>
  </si>
  <si>
    <t>เครื่องคอมพิวเตอร์โน็ตบุ๊ก สำหรับงานประมวลผล ยี่ห้อ Acer รุ่น TMP214-41-G2</t>
  </si>
  <si>
    <t>410-650826-00099</t>
  </si>
  <si>
    <t>416-65-1944</t>
  </si>
  <si>
    <t>410-650826-00100</t>
  </si>
  <si>
    <t>416-65-1945</t>
  </si>
  <si>
    <t>เครื่องพิมพ์ Multifunction แบบฉีดหมึก พร้อมติดตั้งถังหมึกพิมพ์ (Ink Tank Printer) ยี่ห้อ Brother รุ่น DCP-T720W</t>
  </si>
  <si>
    <t>410-650826-00101</t>
  </si>
  <si>
    <t>416-65-1952</t>
  </si>
  <si>
    <t>ตู้ใส่แฟ้มเอกสาร แบบบานเลื่อน</t>
  </si>
  <si>
    <t xml:space="preserve">401-660903-00006 </t>
  </si>
  <si>
    <t>406-66-1389</t>
  </si>
  <si>
    <t xml:space="preserve"> 28 ต.ค. 65</t>
  </si>
  <si>
    <t>ห้องผู้อำนวยการส่วนส่งเสริมการศึกษา</t>
  </si>
  <si>
    <t xml:space="preserve">401-660903-00007 </t>
  </si>
  <si>
    <t>406-66-1390</t>
  </si>
  <si>
    <t>หัวหน้าฝ่ายกิจการโรงเรียน</t>
  </si>
  <si>
    <t xml:space="preserve">401-660903-00008 </t>
  </si>
  <si>
    <t>406-66-1391</t>
  </si>
  <si>
    <t>ลิ้นชักสำหรับโต๊ะผู้บริหาร</t>
  </si>
  <si>
    <t xml:space="preserve">401-660903-00009 </t>
  </si>
  <si>
    <t>406-66-1392</t>
  </si>
  <si>
    <t>ตู้เก็บเอกสารสูง ขนาดกลางแบบบนโล่งล่างบานเปิด</t>
  </si>
  <si>
    <t xml:space="preserve">401-660903-00010 </t>
  </si>
  <si>
    <t>406-66-1393</t>
  </si>
  <si>
    <t>สำนักศึกษาชั้น 2</t>
  </si>
  <si>
    <t xml:space="preserve">401-660903-00011 </t>
  </si>
  <si>
    <t>406-66-1394</t>
  </si>
  <si>
    <t xml:space="preserve">เครื่องปรับอากาศ </t>
  </si>
  <si>
    <t xml:space="preserve">401-660830-00002 </t>
  </si>
  <si>
    <t>420-66-0443</t>
  </si>
  <si>
    <t xml:space="preserve"> 10 พ.ย. 65</t>
  </si>
  <si>
    <t>สำนักการศึกษาชั้น 2</t>
  </si>
  <si>
    <t>รถจักยานยนต์ HONDA SOOPY-I</t>
  </si>
  <si>
    <t xml:space="preserve">402-660830-00001 </t>
  </si>
  <si>
    <t>024-66-0112</t>
  </si>
  <si>
    <t xml:space="preserve"> 23 พ.ย. 65</t>
  </si>
  <si>
    <t>เก้าอี้สำนักงาน</t>
  </si>
  <si>
    <t xml:space="preserve">401-660904-00008 </t>
  </si>
  <si>
    <t>401-66-9930</t>
  </si>
  <si>
    <t xml:space="preserve"> 13 ธ.ค. 65</t>
  </si>
  <si>
    <t>สำนักศึกษา ชั้น3</t>
  </si>
  <si>
    <t xml:space="preserve">401-660904-00009 </t>
  </si>
  <si>
    <t>401-66-9931</t>
  </si>
  <si>
    <t>จอแสดงภาพ ยี่ห้อ Lenovo (รหัสเครื่อง VYB83641)</t>
  </si>
  <si>
    <t xml:space="preserve">410-660902-00001 </t>
  </si>
  <si>
    <t>416-66-2204</t>
  </si>
  <si>
    <t xml:space="preserve">งานบริหารทั่วไป </t>
  </si>
  <si>
    <t>จอแสดงภาพ ยี่ห้อ Lenovo (รหัสเครื่อง VYB83637)</t>
  </si>
  <si>
    <t xml:space="preserve">410-660902-00002 </t>
  </si>
  <si>
    <t>416-66-2205</t>
  </si>
  <si>
    <t>จอแสดงภาพ ยี่ห้อ Lenovo (รหัสเครื่อง VYB83644)</t>
  </si>
  <si>
    <t xml:space="preserve">410-660902-00003 </t>
  </si>
  <si>
    <t>416-66-2206</t>
  </si>
  <si>
    <t>จอแสดงภาพ ยี่ห้อ Lenovo (รหัสเครื่อง VYB83628)</t>
  </si>
  <si>
    <t xml:space="preserve">410-660902-00004 </t>
  </si>
  <si>
    <t>416-66-2207</t>
  </si>
  <si>
    <t>จอคอมพิวเตอร์ ยี่ห้อ Lenovo (รหัสเครื่อง VYB83640)</t>
  </si>
  <si>
    <t xml:space="preserve">410-660902-00005 </t>
  </si>
  <si>
    <t>416-66-2208</t>
  </si>
  <si>
    <t xml:space="preserve">เครื่องสำรองไฟ 2 kva รุ่น ETECH รุ่น Grand 2000 </t>
  </si>
  <si>
    <t xml:space="preserve">410-660902-00006 </t>
  </si>
  <si>
    <t>416-66-2209</t>
  </si>
  <si>
    <t xml:space="preserve">410-660902-00007 </t>
  </si>
  <si>
    <t>416-66-2210</t>
  </si>
  <si>
    <t xml:space="preserve">เครื่องสำรองไฟ 1 kva รุ่น Eco II - 1000 - LCD </t>
  </si>
  <si>
    <t xml:space="preserve">410-660902-00008 </t>
  </si>
  <si>
    <t>416-66-2211</t>
  </si>
  <si>
    <t>เครื่องสำรองไฟ 1 kva รุ่น Eco II - 1000 - LCD</t>
  </si>
  <si>
    <t xml:space="preserve">410-660902-00009 </t>
  </si>
  <si>
    <t>416-66-2212</t>
  </si>
  <si>
    <t xml:space="preserve">410-660902-00010 </t>
  </si>
  <si>
    <t>416-66-2213</t>
  </si>
  <si>
    <t>เครื่องพิมพ์เลเซอร์ หรือLED ขาวดำรุ่นPantum-P3010DW</t>
  </si>
  <si>
    <t xml:space="preserve">410-660902-00011 </t>
  </si>
  <si>
    <t>416-66-2214</t>
  </si>
  <si>
    <t>เครื่องพิมพ์เลเซอร์ หรือ LED ขาว ดำ -networ Laser</t>
  </si>
  <si>
    <t xml:space="preserve">410-660902-00012 </t>
  </si>
  <si>
    <t>416-66-2215</t>
  </si>
  <si>
    <t xml:space="preserve">เครื่องพิมพ์Multifunction แบบฉีดหมึกพร้อม </t>
  </si>
  <si>
    <t xml:space="preserve">410-660902-00013 </t>
  </si>
  <si>
    <t>416-66-2216</t>
  </si>
  <si>
    <t xml:space="preserve">410-660902-00014 </t>
  </si>
  <si>
    <t>416-66-2217</t>
  </si>
  <si>
    <t xml:space="preserve">410-660902-00015 </t>
  </si>
  <si>
    <t>416-66-2218</t>
  </si>
  <si>
    <t>อุปกรณ์กระจายสัญญาณ (L2) ขนาด 24 ช่องแบบที่ 1</t>
  </si>
  <si>
    <t xml:space="preserve">410-660902-00016 </t>
  </si>
  <si>
    <t>416-66-2219</t>
  </si>
  <si>
    <t>อุปกรณ์กระจายสัญญาณไร้สาย (Access Point)</t>
  </si>
  <si>
    <t xml:space="preserve">410-660902-00017 </t>
  </si>
  <si>
    <t>416-66-2220</t>
  </si>
  <si>
    <t xml:space="preserve">เครื่องคอมพิวเตอร์ (CPU) Lenovo - Neo50t </t>
  </si>
  <si>
    <t xml:space="preserve">410-660902-00018 </t>
  </si>
  <si>
    <t>416-66-2221</t>
  </si>
  <si>
    <t>เครื่องคอมพิวเตอร์ (CPU) Lenovo - Neo50t</t>
  </si>
  <si>
    <t xml:space="preserve">410-660902-00019 </t>
  </si>
  <si>
    <t>416-66-2222</t>
  </si>
  <si>
    <t xml:space="preserve">410-660902-00020 </t>
  </si>
  <si>
    <t>416-66-2223</t>
  </si>
  <si>
    <t xml:space="preserve">410-660902-00021 </t>
  </si>
  <si>
    <t>416-66-2224</t>
  </si>
  <si>
    <t xml:space="preserve">410-660902-00022 </t>
  </si>
  <si>
    <t>416-66-2225</t>
  </si>
  <si>
    <t>ระบบการบริหารจัดการศึกษาอิเล็กทรอนิกส์</t>
  </si>
  <si>
    <t xml:space="preserve">410-660902-00023 </t>
  </si>
  <si>
    <t>โต๊ะทำงานไม้ ขนาด 1.4 เมตร</t>
  </si>
  <si>
    <t xml:space="preserve">401-660905-00029 </t>
  </si>
  <si>
    <t>400-66-6962</t>
  </si>
  <si>
    <t>หน.นัทธ์หทัย ชั้น3</t>
  </si>
  <si>
    <t xml:space="preserve">401-660905-00030 </t>
  </si>
  <si>
    <t>400-66-6963</t>
  </si>
  <si>
    <t>หน.ไพศาล  ชั้น3</t>
  </si>
  <si>
    <t>โต๊ะทำงานสีส้ม ขนาด 1 เมตร รุ่น TF-100 Z ยี่ห้อ BT</t>
  </si>
  <si>
    <t xml:space="preserve">401-660905-00031 </t>
  </si>
  <si>
    <t>400-66-6964</t>
  </si>
  <si>
    <t>เก้าอี้สำนักงาน รุ่น BB2 ยี่ห้อ MO-TECH</t>
  </si>
  <si>
    <t xml:space="preserve">401-660905-00032 </t>
  </si>
  <si>
    <t>401-66-9932</t>
  </si>
  <si>
    <t xml:space="preserve">401-660905-00033 </t>
  </si>
  <si>
    <t>401-66-9933</t>
  </si>
  <si>
    <t>เก้าอี้ทำงาน รุ่น PR-250 ยี่ห้อ P.R.</t>
  </si>
  <si>
    <t xml:space="preserve">401-660905-00034 </t>
  </si>
  <si>
    <t>401-66-9934</t>
  </si>
  <si>
    <t>เครื่องสำรองไฟฟ้า ขนาด 800 VA</t>
  </si>
  <si>
    <t>416-66-2259</t>
  </si>
  <si>
    <t>410-660926-00006</t>
  </si>
  <si>
    <t>416-66-2260</t>
  </si>
  <si>
    <t>416-66-2261</t>
  </si>
  <si>
    <t>กนกวรรณ ชั้น3</t>
  </si>
  <si>
    <t>416-66-2262</t>
  </si>
  <si>
    <t>416-66-2263</t>
  </si>
  <si>
    <t xml:space="preserve">ม้านั่งยาว 4 ลิ้นชัก พร้อมเบาะรองนั่ง  </t>
  </si>
  <si>
    <t>401-460222-00005</t>
  </si>
  <si>
    <t>402-46-0766</t>
  </si>
  <si>
    <t>อุทยานการเรียนรู้</t>
  </si>
  <si>
    <t>401-460222-00006</t>
  </si>
  <si>
    <t>402-46-0767</t>
  </si>
  <si>
    <t xml:space="preserve">โต๊ะทำงานเจ้าหน้าที่ DH 042 B  </t>
  </si>
  <si>
    <t>401-460930-00001</t>
  </si>
  <si>
    <t>400-46-5397</t>
  </si>
  <si>
    <t>401-460930-00002</t>
  </si>
  <si>
    <t>400-46-5398</t>
  </si>
  <si>
    <t>401-640128-00001</t>
  </si>
  <si>
    <t>400-46-5399</t>
  </si>
  <si>
    <t xml:space="preserve">โซฟาอ่านหนังสือ CM -910 Crcate </t>
  </si>
  <si>
    <t>401-460930-00021</t>
  </si>
  <si>
    <t>403-46-0163</t>
  </si>
  <si>
    <t>401-460930-00022</t>
  </si>
  <si>
    <t>403-46-0164</t>
  </si>
  <si>
    <t>401-460930-00023</t>
  </si>
  <si>
    <t>403-46-0165</t>
  </si>
  <si>
    <t>401-460930-00024</t>
  </si>
  <si>
    <t>403-46-0166</t>
  </si>
  <si>
    <t>401-460930-00025</t>
  </si>
  <si>
    <t>403-46-0167</t>
  </si>
  <si>
    <t>401-460930-00026</t>
  </si>
  <si>
    <t>403-46-0168</t>
  </si>
  <si>
    <t>401-460930-00027</t>
  </si>
  <si>
    <t>403-46-0169</t>
  </si>
  <si>
    <t xml:space="preserve">ชั้นวางหนังสือพิมพ์ NR-10 TPB </t>
  </si>
  <si>
    <t>401-460930-00028</t>
  </si>
  <si>
    <t>404-46-0215</t>
  </si>
  <si>
    <t>401-460930-00029</t>
  </si>
  <si>
    <t>404-46-0216</t>
  </si>
  <si>
    <t xml:space="preserve">ชั้นวางเอกสารรุ่น TMS-22 TPB </t>
  </si>
  <si>
    <t>401-460930-00030</t>
  </si>
  <si>
    <t>404-46-0217</t>
  </si>
  <si>
    <t>401-460930-00031</t>
  </si>
  <si>
    <t>404-46-0218</t>
  </si>
  <si>
    <t xml:space="preserve">ชั้นวางหนังสือใหม่ TPB-37 </t>
  </si>
  <si>
    <t>401-460930-00032</t>
  </si>
  <si>
    <t>404-46-0219</t>
  </si>
  <si>
    <t>ชั้นวางหนังสือ TBM  21 TPB</t>
  </si>
  <si>
    <t>401-460930-00033</t>
  </si>
  <si>
    <t>404-46-0220</t>
  </si>
  <si>
    <t>401-460930-00034</t>
  </si>
  <si>
    <t>404-46-0221</t>
  </si>
  <si>
    <t>401-460930-00035</t>
  </si>
  <si>
    <t>404-46-0222</t>
  </si>
  <si>
    <t>401-460930-00036</t>
  </si>
  <si>
    <t>404-46-0223</t>
  </si>
  <si>
    <t>401-460930-00037</t>
  </si>
  <si>
    <t>404-46-0224</t>
  </si>
  <si>
    <t>401-460930-00038</t>
  </si>
  <si>
    <t>404-46-0225</t>
  </si>
  <si>
    <t>401-460930-00039</t>
  </si>
  <si>
    <t>404-46-0226</t>
  </si>
  <si>
    <t>401-460930-00040</t>
  </si>
  <si>
    <t>404-46-0227</t>
  </si>
  <si>
    <t>401-460930-00041</t>
  </si>
  <si>
    <t>404-46-0228</t>
  </si>
  <si>
    <t xml:space="preserve">ชั้นวางหนังสือ TBM 18 TPB </t>
  </si>
  <si>
    <t>401-460930-00042</t>
  </si>
  <si>
    <t>404-46-0229</t>
  </si>
  <si>
    <t>401-460930-00043</t>
  </si>
  <si>
    <t>404-46-0230</t>
  </si>
  <si>
    <t xml:space="preserve">ตู้เก็บเอกสารเป็นเล่ม รุ่น S-666 Lucky </t>
  </si>
  <si>
    <t>401-460930-00049</t>
  </si>
  <si>
    <t>406-46-1157</t>
  </si>
  <si>
    <t>401-460930-00050</t>
  </si>
  <si>
    <t>406-46-1159</t>
  </si>
  <si>
    <t xml:space="preserve">ตู้รับฝากของ TLK -11 TPB </t>
  </si>
  <si>
    <t>401-460930-00051</t>
  </si>
  <si>
    <t>406-46-1161</t>
  </si>
  <si>
    <t xml:space="preserve">ตู้เก็บของ Lcd-9185 Lucky </t>
  </si>
  <si>
    <t>401-460930-00052</t>
  </si>
  <si>
    <t>406-46-1166</t>
  </si>
  <si>
    <t>ตู้บัตรรายการ Tec-30 TPB</t>
  </si>
  <si>
    <t>401-460930-00053</t>
  </si>
  <si>
    <t>406-46-1167</t>
  </si>
  <si>
    <t>401-460930-00054</t>
  </si>
  <si>
    <t>406-46-1168</t>
  </si>
  <si>
    <t>ตู้เก็บของ</t>
  </si>
  <si>
    <t>401-460930-00064</t>
  </si>
  <si>
    <t>406-47-1160</t>
  </si>
  <si>
    <t xml:space="preserve"> 30 ก.ย. 46</t>
  </si>
  <si>
    <t>401-460930-00066</t>
  </si>
  <si>
    <t>406-47-1162</t>
  </si>
  <si>
    <t>ตู้เก็บเอกสาร</t>
  </si>
  <si>
    <t>401-460930-00067</t>
  </si>
  <si>
    <t>406-47-1164</t>
  </si>
  <si>
    <t>401-460930-00068</t>
  </si>
  <si>
    <t>406-47-1165</t>
  </si>
  <si>
    <t>ตู้นิทรรศการ</t>
  </si>
  <si>
    <t>401-460930-00070</t>
  </si>
  <si>
    <t>406-47-1169</t>
  </si>
  <si>
    <t>401-460930-00071</t>
  </si>
  <si>
    <t>406-47-1170</t>
  </si>
  <si>
    <t>ตู้เก็บอุปกรณ์</t>
  </si>
  <si>
    <t>401-460930-00072</t>
  </si>
  <si>
    <t>406-47-1171</t>
  </si>
  <si>
    <t>บันไดปีนหยิบหนังสือ</t>
  </si>
  <si>
    <t>401-460930-00073</t>
  </si>
  <si>
    <t>436-47-0017</t>
  </si>
  <si>
    <t>401-460930-00074</t>
  </si>
  <si>
    <t>436-47-0018</t>
  </si>
  <si>
    <t>สว่านไฟฟ้า</t>
  </si>
  <si>
    <t>406-470310-00001</t>
  </si>
  <si>
    <t>059-47-0029</t>
  </si>
  <si>
    <t>เก้าอี้สนามโครงสร้างเหล็กหล่อพื้นไม้ มีพนักพิงไม้  ขนาดยาว 2 เมตร</t>
  </si>
  <si>
    <t>401-470615-00001</t>
  </si>
  <si>
    <t>401-47-6231</t>
  </si>
  <si>
    <t>401-470615-00002</t>
  </si>
  <si>
    <t>401-47-6232</t>
  </si>
  <si>
    <t>401-470615-00003</t>
  </si>
  <si>
    <t>401-47-6233</t>
  </si>
  <si>
    <t>ชิงช้า</t>
  </si>
  <si>
    <t>413-470624-00001</t>
  </si>
  <si>
    <t>810-47-0001</t>
  </si>
  <si>
    <t xml:space="preserve"> 24 มิ.ย. 47</t>
  </si>
  <si>
    <t>บันไดสไลด์เดอร์</t>
  </si>
  <si>
    <t>413-470624-00002</t>
  </si>
  <si>
    <t>808-47-0003</t>
  </si>
  <si>
    <t xml:space="preserve"> 9 พ.ค. 48</t>
  </si>
  <si>
    <t>โต๊ะนั่งดื่มทรงกลม</t>
  </si>
  <si>
    <t>401-530131-00003</t>
  </si>
  <si>
    <t>400-53-0001</t>
  </si>
  <si>
    <t xml:space="preserve"> 31 ม.ค. 53</t>
  </si>
  <si>
    <t>หอสมุดประชาชน</t>
  </si>
  <si>
    <t>โต๊ะกลางทรงสามเหลี่ยม</t>
  </si>
  <si>
    <t>401-530131-00004</t>
  </si>
  <si>
    <t>400-53-0004</t>
  </si>
  <si>
    <t>401-530131-00005</t>
  </si>
  <si>
    <t>400-53-0005</t>
  </si>
  <si>
    <t>เก้าอี้บาร์</t>
  </si>
  <si>
    <t>401-530131-00006</t>
  </si>
  <si>
    <t>401-53-0013</t>
  </si>
  <si>
    <t>401-530131-00014</t>
  </si>
  <si>
    <t>401-53-0021</t>
  </si>
  <si>
    <t>โซฟาทรงเหลี่ยม</t>
  </si>
  <si>
    <t>401-530131-00002</t>
  </si>
  <si>
    <t>403-53-0002</t>
  </si>
  <si>
    <t>เครื่องปรับอากาศ 36,000 บีทียู ยี่ห้อ Daisenko</t>
  </si>
  <si>
    <t>401-530131-00018</t>
  </si>
  <si>
    <t>420-53-0003</t>
  </si>
  <si>
    <t>จอรับภาพขนาด 100 นิ้ว ชนิดมอเตอร์</t>
  </si>
  <si>
    <t>404-530131-00003</t>
  </si>
  <si>
    <t>444-53-0001</t>
  </si>
  <si>
    <t>เครื่องคอมพิวเตอร์ ยี่ห้อ Compag Atom</t>
  </si>
  <si>
    <t>410-530216-00001</t>
  </si>
  <si>
    <t>416-53-0001</t>
  </si>
  <si>
    <t xml:space="preserve"> 16 ก.พ. 53</t>
  </si>
  <si>
    <t>410-530216-00005</t>
  </si>
  <si>
    <t>416-53-0005</t>
  </si>
  <si>
    <t>410-530216-00006</t>
  </si>
  <si>
    <t>416-53-0006</t>
  </si>
  <si>
    <t>410-530216-00007</t>
  </si>
  <si>
    <t>416-53-0007</t>
  </si>
  <si>
    <t>เครื่องคอมพิวเตอร์ Set ประกอบ</t>
  </si>
  <si>
    <t>410-530304-00010</t>
  </si>
  <si>
    <t>416-53-0018</t>
  </si>
  <si>
    <t xml:space="preserve"> 4 มี.ค. 53</t>
  </si>
  <si>
    <t>410-530304-00016</t>
  </si>
  <si>
    <t>416-53-0024</t>
  </si>
  <si>
    <t>410-530304-00019</t>
  </si>
  <si>
    <t>416-53-0027</t>
  </si>
  <si>
    <t>เครื่องปรับอากาศ ขนาด 12000  BTU</t>
  </si>
  <si>
    <t>401-570417-00001</t>
  </si>
  <si>
    <t>420-57-0184</t>
  </si>
  <si>
    <t>เครื่องปรับอากาศ ขนาด 30000  BTU</t>
  </si>
  <si>
    <t>401-570417-00002</t>
  </si>
  <si>
    <t>420-57-0185</t>
  </si>
  <si>
    <t>401-570417-00003</t>
  </si>
  <si>
    <t>420-57-0186</t>
  </si>
  <si>
    <t>401-570417-00004</t>
  </si>
  <si>
    <t>420-57-0187</t>
  </si>
  <si>
    <t>401-570417-00005</t>
  </si>
  <si>
    <t>420-57-0188</t>
  </si>
  <si>
    <t>401-570417-00006</t>
  </si>
  <si>
    <t>420-57-0189</t>
  </si>
  <si>
    <t>401-570417-00007</t>
  </si>
  <si>
    <t>420-57-0190</t>
  </si>
  <si>
    <t>เครื่องปรับอากาศ ขนาด 36000  BTU</t>
  </si>
  <si>
    <t>401-570417-00009</t>
  </si>
  <si>
    <t>420-57-0192</t>
  </si>
  <si>
    <t>401-570417-00010</t>
  </si>
  <si>
    <t>420-57-0193</t>
  </si>
  <si>
    <t>401-570417-00011</t>
  </si>
  <si>
    <t>420-57-0194</t>
  </si>
  <si>
    <t>401-570417-00014</t>
  </si>
  <si>
    <t>420-57-0197</t>
  </si>
  <si>
    <t>เครื่องเคลือบปกหนังสือ</t>
  </si>
  <si>
    <t>401-570523-00001</t>
  </si>
  <si>
    <t>495-57-0001</t>
  </si>
  <si>
    <t xml:space="preserve">ชุดโต๊ะสนามหินอ่อนลายดอกไม้+เก้าอี้ไม่มีพนักพิง 4 ตัว  </t>
  </si>
  <si>
    <t>401-580202-00002</t>
  </si>
  <si>
    <t>400-58-5959</t>
  </si>
  <si>
    <t>401-580202-00003</t>
  </si>
  <si>
    <t>400-58-5960</t>
  </si>
  <si>
    <t>401-580202-00004</t>
  </si>
  <si>
    <t>400-58-5961</t>
  </si>
  <si>
    <t>401-580202-00005</t>
  </si>
  <si>
    <t>400-58-5962</t>
  </si>
  <si>
    <t>401-580202-00006</t>
  </si>
  <si>
    <t>400-58-5963</t>
  </si>
  <si>
    <t xml:space="preserve">ชุดโต๊ะเหล็กชุบโครเมี่ยม+เก้าอี้มีพนักพิง 4 ตัว  </t>
  </si>
  <si>
    <t>401-580202-00007</t>
  </si>
  <si>
    <t>400-58-5952</t>
  </si>
  <si>
    <t>401-580202-00008</t>
  </si>
  <si>
    <t>400-58-5964</t>
  </si>
  <si>
    <t>401-580202-00009</t>
  </si>
  <si>
    <t>400-58-5965</t>
  </si>
  <si>
    <t>401-580202-00010</t>
  </si>
  <si>
    <t>400-58-5966</t>
  </si>
  <si>
    <t>401-580202-00011</t>
  </si>
  <si>
    <t>400-58-5967</t>
  </si>
  <si>
    <t>401-580202-00012</t>
  </si>
  <si>
    <t>400-58-5968</t>
  </si>
  <si>
    <t>401-580202-00013</t>
  </si>
  <si>
    <t>400-58-5969</t>
  </si>
  <si>
    <t>401-580202-00014</t>
  </si>
  <si>
    <t>400-58-5970</t>
  </si>
  <si>
    <t xml:space="preserve">ชุดโต๊ะไม้ยางพาราเด็ก+เก้าอี้เด็ก  </t>
  </si>
  <si>
    <t>401-580202-00015</t>
  </si>
  <si>
    <t>400-58-5953</t>
  </si>
  <si>
    <t>401-580202-00016</t>
  </si>
  <si>
    <t>400-58-5954</t>
  </si>
  <si>
    <t>401-580202-00017</t>
  </si>
  <si>
    <t>400-58-5955</t>
  </si>
  <si>
    <t>401-580202-00018</t>
  </si>
  <si>
    <t>400-58-5956</t>
  </si>
  <si>
    <t>401-580202-00019</t>
  </si>
  <si>
    <t>400-58-5957</t>
  </si>
  <si>
    <t>401-580202-00020</t>
  </si>
  <si>
    <t>400-58-5958</t>
  </si>
  <si>
    <t>เก้าอี้โซฟาชนิด 2 ที่นั่ง (สีเทา)</t>
  </si>
  <si>
    <t>401-580202-00031</t>
  </si>
  <si>
    <t>401-58-7308</t>
  </si>
  <si>
    <t>401-580202-00032</t>
  </si>
  <si>
    <t>401-58-7309</t>
  </si>
  <si>
    <t>401-580202-00033</t>
  </si>
  <si>
    <t>401-58-7310</t>
  </si>
  <si>
    <t xml:space="preserve">เก้าอี้สตูลสี่เหลี่ยมจตุรัส  </t>
  </si>
  <si>
    <t>401-580202-00034</t>
  </si>
  <si>
    <t>401-58-7311</t>
  </si>
  <si>
    <t>401-580202-00035</t>
  </si>
  <si>
    <t>401-58-7312</t>
  </si>
  <si>
    <t>401-580202-00036</t>
  </si>
  <si>
    <t>401-58-7313</t>
  </si>
  <si>
    <t>401-580202-00037</t>
  </si>
  <si>
    <t>401-58-7314</t>
  </si>
  <si>
    <t>401-580202-00038</t>
  </si>
  <si>
    <t>401-58-7315</t>
  </si>
  <si>
    <t>401-580202-00039</t>
  </si>
  <si>
    <t>401-58-7316</t>
  </si>
  <si>
    <t>401-580202-00040</t>
  </si>
  <si>
    <t>401-58-7317</t>
  </si>
  <si>
    <t>401-580202-00041</t>
  </si>
  <si>
    <t>401-58-7318</t>
  </si>
  <si>
    <t>401-580202-00042</t>
  </si>
  <si>
    <t>401-58-7319</t>
  </si>
  <si>
    <t>401-580202-00043</t>
  </si>
  <si>
    <t>401-58-7320</t>
  </si>
  <si>
    <t>401-580202-00044</t>
  </si>
  <si>
    <t>401-58-7321</t>
  </si>
  <si>
    <t>401-580202-00045</t>
  </si>
  <si>
    <t>401-58-7322</t>
  </si>
  <si>
    <t>401-580202-00046</t>
  </si>
  <si>
    <t>401-58-7323</t>
  </si>
  <si>
    <t>401-580202-00047</t>
  </si>
  <si>
    <t>401-58-7324</t>
  </si>
  <si>
    <t>401-580202-00048</t>
  </si>
  <si>
    <t>401-58-7325</t>
  </si>
  <si>
    <t>401-580202-00049</t>
  </si>
  <si>
    <t>401-58-7326</t>
  </si>
  <si>
    <t>401-580202-00050</t>
  </si>
  <si>
    <t>401-58-7327</t>
  </si>
  <si>
    <t>401-580202-00051</t>
  </si>
  <si>
    <t>401-58-7328</t>
  </si>
  <si>
    <t>401-580202-00052</t>
  </si>
  <si>
    <t>401-58-7329</t>
  </si>
  <si>
    <t>401-580202-00053</t>
  </si>
  <si>
    <t>401-58-7330</t>
  </si>
  <si>
    <t>ตู้แร็คใส่เครื่องเสียง</t>
  </si>
  <si>
    <t>401-580202-00054</t>
  </si>
  <si>
    <t>406-58-1225</t>
  </si>
  <si>
    <t>2 ก.พ.58</t>
  </si>
  <si>
    <t xml:space="preserve">ตู้ล็อคเกอร์เหล็ก 18 ประตู </t>
  </si>
  <si>
    <t>401-580202-00055</t>
  </si>
  <si>
    <t>406-58-1226</t>
  </si>
  <si>
    <t xml:space="preserve">ตู้ล็อคเกอร์เหล็ก 18 ประตู  </t>
  </si>
  <si>
    <t>401-580202-00056</t>
  </si>
  <si>
    <t>406-58-1227</t>
  </si>
  <si>
    <t xml:space="preserve">กล้องวงจรปิด </t>
  </si>
  <si>
    <t>404-580202-00003</t>
  </si>
  <si>
    <t>404-580202-00004</t>
  </si>
  <si>
    <t>404-580202-00005</t>
  </si>
  <si>
    <t>404-580202-00006</t>
  </si>
  <si>
    <t>404-580202-00007</t>
  </si>
  <si>
    <t>404-580202-00008</t>
  </si>
  <si>
    <t>404-580202-00009</t>
  </si>
  <si>
    <t>404-580202-00010</t>
  </si>
  <si>
    <t xml:space="preserve">ชุดไมค์ลอย  พร้อมตัวรับสัญญาณ  </t>
  </si>
  <si>
    <t>403-580202-00001</t>
  </si>
  <si>
    <t>458-58-0046</t>
  </si>
  <si>
    <t>2 ก.พ. 58</t>
  </si>
  <si>
    <t>403-580202-00002</t>
  </si>
  <si>
    <t>458-58-0047</t>
  </si>
  <si>
    <t xml:space="preserve">ไมค์สาย     </t>
  </si>
  <si>
    <t>403-580202-00003</t>
  </si>
  <si>
    <t>458-58-0048</t>
  </si>
  <si>
    <t>403-580202-00004</t>
  </si>
  <si>
    <t>458-58-0049</t>
  </si>
  <si>
    <t>ลำโพง  ขนาด 18  นิ้ว</t>
  </si>
  <si>
    <t>403-580202-00005</t>
  </si>
  <si>
    <t>459-58-0012</t>
  </si>
  <si>
    <t>ลำโพงเสียงกลางพร้อมอุปกรณ์</t>
  </si>
  <si>
    <t>403-580202-00006</t>
  </si>
  <si>
    <t>459-58-0013</t>
  </si>
  <si>
    <t xml:space="preserve">เครื่องมิกเซอร์  </t>
  </si>
  <si>
    <t>403-580202-00007</t>
  </si>
  <si>
    <t>462-58-0054</t>
  </si>
  <si>
    <t>เครื่องขยายเสียง  500 w</t>
  </si>
  <si>
    <t>403-580202-00008</t>
  </si>
  <si>
    <t>462-58-0055</t>
  </si>
  <si>
    <t>เครื่องขยายเสียง   1000 w</t>
  </si>
  <si>
    <t>403-580202-00009</t>
  </si>
  <si>
    <t>462-58-0056</t>
  </si>
  <si>
    <t xml:space="preserve">เครื่องตัดความถี่สำหรับระบบเสียง </t>
  </si>
  <si>
    <t>403-580202-00010</t>
  </si>
  <si>
    <t>462-58-0057</t>
  </si>
  <si>
    <t>จอมอนิเตอร์ LED ขนาด 20 นิ้ว</t>
  </si>
  <si>
    <t>404-580202-00011</t>
  </si>
  <si>
    <t>452-58-0020</t>
  </si>
  <si>
    <t xml:space="preserve">จอรับภาพ </t>
  </si>
  <si>
    <t>404-580202-00001</t>
  </si>
  <si>
    <t>444-58-0024</t>
  </si>
  <si>
    <t>โปรเจ็คเตอร์</t>
  </si>
  <si>
    <t>404-580202-00002</t>
  </si>
  <si>
    <t>446-58-0014</t>
  </si>
  <si>
    <t xml:space="preserve">(CPU)  คอมพิวเตอร์ตั้งโต๊ะแม่ข่าย  </t>
  </si>
  <si>
    <t>410-580202-00001</t>
  </si>
  <si>
    <t>416-58-1705</t>
  </si>
  <si>
    <r>
      <rPr>
        <b/>
        <sz val="14"/>
        <rFont val="TH SarabunPSK"/>
        <family val="2"/>
      </rPr>
      <t>(จอ)</t>
    </r>
    <r>
      <rPr>
        <sz val="14"/>
        <rFont val="TH SarabunPSK"/>
        <family val="2"/>
      </rPr>
      <t xml:space="preserve">   คอมพิวเตอร์ตั้งโต๊ะแม่ข่าย </t>
    </r>
  </si>
  <si>
    <t>410-580202-00002</t>
  </si>
  <si>
    <t>416-58-1894</t>
  </si>
  <si>
    <t>410-580521-00001</t>
  </si>
  <si>
    <t>416-58-1525</t>
  </si>
  <si>
    <t xml:space="preserve"> 21 พ.ค. 58</t>
  </si>
  <si>
    <t>410-580521-00002</t>
  </si>
  <si>
    <t>416-58-1526</t>
  </si>
  <si>
    <t>410-580521-00004</t>
  </si>
  <si>
    <t>416-58-1528</t>
  </si>
  <si>
    <t xml:space="preserve"> (CPU) เครื่องคอมพิวเตอร์ สำหรับประมวลผล         แบบที่ 1 ขนาดไม่น้อยกว่า 18 นิ้ว</t>
  </si>
  <si>
    <t>410-580521-00006</t>
  </si>
  <si>
    <t>416-58-1530</t>
  </si>
  <si>
    <t>410-580521-00009</t>
  </si>
  <si>
    <t>416-58-1533</t>
  </si>
  <si>
    <t>410-580521-00010</t>
  </si>
  <si>
    <t>416-58-1534</t>
  </si>
  <si>
    <r>
      <t xml:space="preserve"> </t>
    </r>
    <r>
      <rPr>
        <b/>
        <sz val="14"/>
        <rFont val="TH SarabunPSK"/>
        <family val="2"/>
      </rPr>
      <t xml:space="preserve">(จอ) </t>
    </r>
    <r>
      <rPr>
        <sz val="14"/>
        <rFont val="TH SarabunPSK"/>
        <family val="2"/>
      </rPr>
      <t xml:space="preserve"> เครื่องคอมพิวเตอร์ สำหรับประมวลผล  แบบที่ 1 (ขนาดไม่น้อยกว่า 18 นิ้ว)</t>
    </r>
  </si>
  <si>
    <t>410-580521-00011</t>
  </si>
  <si>
    <t>416-58-1895</t>
  </si>
  <si>
    <t>410-580521-00013</t>
  </si>
  <si>
    <t>416-58-1897</t>
  </si>
  <si>
    <t>410-580521-00014</t>
  </si>
  <si>
    <t>416-58-1898</t>
  </si>
  <si>
    <t>410-580521-00015</t>
  </si>
  <si>
    <t>416-58-1899</t>
  </si>
  <si>
    <t>410-580521-00016</t>
  </si>
  <si>
    <t>416-58-1900</t>
  </si>
  <si>
    <t>410-580521-00017</t>
  </si>
  <si>
    <t>416-58-1901</t>
  </si>
  <si>
    <t>410-580521-00018</t>
  </si>
  <si>
    <t>416-58-1902</t>
  </si>
  <si>
    <t>410-580521-00019</t>
  </si>
  <si>
    <t>416-58-1903</t>
  </si>
  <si>
    <t>ตู้ล็อคเกอร์เหล็ก สีเทา 18 ช่อง ยี่ห้อ PRELUDE</t>
  </si>
  <si>
    <t>401-590204-00001</t>
  </si>
  <si>
    <t>406-59-1256</t>
  </si>
  <si>
    <t xml:space="preserve"> 4 ก.พ. 59</t>
  </si>
  <si>
    <t>401-590204-00002</t>
  </si>
  <si>
    <t>406-59-1257</t>
  </si>
  <si>
    <t>เครื่องเล่น ดีวีดี ยี่ห้อ AJ รุ่น Q-185E-HDMI</t>
  </si>
  <si>
    <t>403-590208-00001</t>
  </si>
  <si>
    <t>463-59-0020</t>
  </si>
  <si>
    <t xml:space="preserve"> 8 ก.พ. 59</t>
  </si>
  <si>
    <t>ตู้เย็นแบบ 2 ประตู 7 คิว ยี่ห้อ Sumsung รุ่น RT20FGRVDSA</t>
  </si>
  <si>
    <t>412-590208-00003</t>
  </si>
  <si>
    <t>703-59-0042</t>
  </si>
  <si>
    <t>เครื่องทำน้ำร้อน - น้ำเย็น แบบตู้ตั้งพื้น ยี่ห้อชาร์ป</t>
  </si>
  <si>
    <t>412-590208-00002</t>
  </si>
  <si>
    <t>439-59-0083</t>
  </si>
  <si>
    <t>ทีวี LED ขนาด 55 นิ้ว ยี่ห้อ SHARP รุ่น L4-55LE460X</t>
  </si>
  <si>
    <t>404-590223-00002</t>
  </si>
  <si>
    <t>456-59-0074</t>
  </si>
  <si>
    <t xml:space="preserve">  23 ก.พ. 59</t>
  </si>
  <si>
    <t>ชั้นวางหนังสือเหล็ก 5 ชั้น สีครีม ยี่ห้อ TAIYO</t>
  </si>
  <si>
    <t>401-590309-00051</t>
  </si>
  <si>
    <t>404-59-0252</t>
  </si>
  <si>
    <t xml:space="preserve"> 9 มี.ค. 59</t>
  </si>
  <si>
    <t>401-590309-00052</t>
  </si>
  <si>
    <t>404-59-0253</t>
  </si>
  <si>
    <t>401-590309-00053</t>
  </si>
  <si>
    <t>404-59-0254</t>
  </si>
  <si>
    <t>401-590309-00054</t>
  </si>
  <si>
    <t>404-59-0255</t>
  </si>
  <si>
    <t>401-590309-00055</t>
  </si>
  <si>
    <t>404-59-0256</t>
  </si>
  <si>
    <t>โต๊ะกลางบุด้วยกำมะหยี่สีน้ำเงิน</t>
  </si>
  <si>
    <t>401-590311-00001</t>
  </si>
  <si>
    <t>400-59-6025</t>
  </si>
  <si>
    <t xml:space="preserve"> 11 มี.ค. 59</t>
  </si>
  <si>
    <t>เก้าอี้ขนาด 2 ที่นั่ง หุ้มด้วยกำมะหยี่ (โซฟา) สีเทา</t>
  </si>
  <si>
    <t>401-590311-00003</t>
  </si>
  <si>
    <t>401-59-8221</t>
  </si>
  <si>
    <t>เก้าอี้ขนาด 2 ที่นั่ง หุ้มด้วยกำมะหยี่ (โซฟา) สีแดง</t>
  </si>
  <si>
    <t>401-590311-00004</t>
  </si>
  <si>
    <t>401-59-8222</t>
  </si>
  <si>
    <t>เก้าอี้ขนาด 1 ที่นั่ง หุ้มด้วยกำมะหยี่ (โซฟา) สีเทา</t>
  </si>
  <si>
    <t>401-590311-00005</t>
  </si>
  <si>
    <t>401-59-8223</t>
  </si>
  <si>
    <t>401-590311-00006</t>
  </si>
  <si>
    <t>401-59-8224</t>
  </si>
  <si>
    <t>เก้าอี้ขนาด 1 ที่นั่ง หุ้มด้วยกำมะหยี่ (โซฟา) สีแดง</t>
  </si>
  <si>
    <t>401-590311-00007</t>
  </si>
  <si>
    <t>401-59-8225</t>
  </si>
  <si>
    <t>401-590311-00008</t>
  </si>
  <si>
    <t>401-59-8226</t>
  </si>
  <si>
    <t>เก้าอี้พนักพิงพลาสติก ขาเหล็กชุปโคเมี่ยม 40x50x85ซม.</t>
  </si>
  <si>
    <t>401-590526-00006</t>
  </si>
  <si>
    <t>401-59-8751</t>
  </si>
  <si>
    <t xml:space="preserve"> 26 พ.ค. 59</t>
  </si>
  <si>
    <t>401-590526-00007</t>
  </si>
  <si>
    <t>401-59-8752</t>
  </si>
  <si>
    <t>401-590526-00008</t>
  </si>
  <si>
    <t>401-59-8753</t>
  </si>
  <si>
    <t>401-590526-00009</t>
  </si>
  <si>
    <t>401-59-8754</t>
  </si>
  <si>
    <t>401-590526-00010</t>
  </si>
  <si>
    <t>401-59-8755</t>
  </si>
  <si>
    <t>401-590526-00011</t>
  </si>
  <si>
    <t>401-59-8756</t>
  </si>
  <si>
    <t>401-590526-00012</t>
  </si>
  <si>
    <t>401-59-8757</t>
  </si>
  <si>
    <t>401-590526-00013</t>
  </si>
  <si>
    <t>401-59-8758</t>
  </si>
  <si>
    <t>401-590526-00014</t>
  </si>
  <si>
    <t>401-59-8759</t>
  </si>
  <si>
    <t>401-590526-00015</t>
  </si>
  <si>
    <t>401-59-8760</t>
  </si>
  <si>
    <t>401-590526-00016</t>
  </si>
  <si>
    <t>401-59-8761</t>
  </si>
  <si>
    <t>401-590526-00017</t>
  </si>
  <si>
    <t>401-59-8762</t>
  </si>
  <si>
    <t>401-590526-00018</t>
  </si>
  <si>
    <t>401-59-8763</t>
  </si>
  <si>
    <t>401-590526-00019</t>
  </si>
  <si>
    <t>401-59-8764</t>
  </si>
  <si>
    <t>401-590526-00020</t>
  </si>
  <si>
    <t>401-59-8765</t>
  </si>
  <si>
    <t>401-590526-00021</t>
  </si>
  <si>
    <t>401-59-8766</t>
  </si>
  <si>
    <t>401-590526-00022</t>
  </si>
  <si>
    <t>401-59-8767</t>
  </si>
  <si>
    <t>401-590526-00023</t>
  </si>
  <si>
    <t>401-59-8768</t>
  </si>
  <si>
    <t>401-590526-00024</t>
  </si>
  <si>
    <t>401-59-8769</t>
  </si>
  <si>
    <t>401-590526-00025</t>
  </si>
  <si>
    <t>401-59-8770</t>
  </si>
  <si>
    <t>โต๊ะอ่านหนังสือลามิเนต ขนาด 80x120x75 ซม สีขาว</t>
  </si>
  <si>
    <t>401-590526-00001</t>
  </si>
  <si>
    <t>400-59-6259</t>
  </si>
  <si>
    <t>401-590526-00002</t>
  </si>
  <si>
    <t>400-59-6260</t>
  </si>
  <si>
    <t>401-590526-00003</t>
  </si>
  <si>
    <t>400-59-6261</t>
  </si>
  <si>
    <t>401-590526-00004</t>
  </si>
  <si>
    <t>400-59-6262</t>
  </si>
  <si>
    <t>401-590526-00005</t>
  </si>
  <si>
    <t>400-59-6263</t>
  </si>
  <si>
    <t>เครื่องขยายเสียง ยี่ห้อ ONKYO รุ่น TXNR509</t>
  </si>
  <si>
    <t>403-590810-00006</t>
  </si>
  <si>
    <t>462-59-0315</t>
  </si>
  <si>
    <t>ช่องเสียบไมโครโฟน ยี่ห้อ  TRIO  รุ่น TR515PK</t>
  </si>
  <si>
    <t>403-590810-00007</t>
  </si>
  <si>
    <t>462-59-0316</t>
  </si>
  <si>
    <t>ลำโพง Polk audio A300</t>
  </si>
  <si>
    <t>403-590810-00001</t>
  </si>
  <si>
    <t>459-59-0892</t>
  </si>
  <si>
    <t xml:space="preserve"> 12 ส.ค. 59</t>
  </si>
  <si>
    <t>403-590810-00002</t>
  </si>
  <si>
    <t>459-59-0893</t>
  </si>
  <si>
    <t>ลำโพง Polk audio R 150</t>
  </si>
  <si>
    <t>403-590810-00003</t>
  </si>
  <si>
    <t>459-59-0894</t>
  </si>
  <si>
    <t>403-590810-00004</t>
  </si>
  <si>
    <t>459-59-0895</t>
  </si>
  <si>
    <t>ลำโพง Polk audio csr</t>
  </si>
  <si>
    <t>403-590810-00005</t>
  </si>
  <si>
    <t>459-59-0896</t>
  </si>
  <si>
    <t>เครื่องพิมพ์บัตร</t>
  </si>
  <si>
    <t>401-590923-00001</t>
  </si>
  <si>
    <t>495-59-0001</t>
  </si>
  <si>
    <t xml:space="preserve"> 23 ก.ย. 59</t>
  </si>
  <si>
    <t>พัดลมไอเย็นยี่ห้อ Bio kool  รุ่น  k8000</t>
  </si>
  <si>
    <t>401-600321-00001</t>
  </si>
  <si>
    <t>432-60-0916</t>
  </si>
  <si>
    <t xml:space="preserve"> 21 มี.ค. 60</t>
  </si>
  <si>
    <t>401-600321-00002</t>
  </si>
  <si>
    <t>432-60-0917</t>
  </si>
  <si>
    <t>เครื่องพิมพ์แบบฉีดหมึก(Inkjet Printer) Canon</t>
  </si>
  <si>
    <t>410-600607-00002</t>
  </si>
  <si>
    <t>416-60-1283</t>
  </si>
  <si>
    <t>คอมพิวเตอร์แท็ปเล็ต ยี่ห้อซัมซุง รุ่นGalaxy-Ta</t>
  </si>
  <si>
    <t>410-600607-00006</t>
  </si>
  <si>
    <t>416-60-1273</t>
  </si>
  <si>
    <t>410-600607-00007</t>
  </si>
  <si>
    <t>416-60-1274</t>
  </si>
  <si>
    <t>410-600607-00008</t>
  </si>
  <si>
    <t>416-60-1275</t>
  </si>
  <si>
    <t>410-600607-00009</t>
  </si>
  <si>
    <t>416-60-1276</t>
  </si>
  <si>
    <t>410-600607-00010</t>
  </si>
  <si>
    <t>416-60-1277</t>
  </si>
  <si>
    <t>410-600607-00011</t>
  </si>
  <si>
    <t>416-60-1278</t>
  </si>
  <si>
    <t>410-600607-00012</t>
  </si>
  <si>
    <t>416-60-1279</t>
  </si>
  <si>
    <t>410-600607-00013</t>
  </si>
  <si>
    <t>416-60-1280</t>
  </si>
  <si>
    <t>410-600607-00014</t>
  </si>
  <si>
    <t>416-60-1281</t>
  </si>
  <si>
    <t>410-600607-00015</t>
  </si>
  <si>
    <t>416-60-1282</t>
  </si>
  <si>
    <t>410-631012-00036</t>
  </si>
  <si>
    <t>416-63-1396</t>
  </si>
  <si>
    <t>410-631012-00037</t>
  </si>
  <si>
    <t>416-63-1398</t>
  </si>
  <si>
    <t>410-631012-00038</t>
  </si>
  <si>
    <t>416-63-1397</t>
  </si>
  <si>
    <t>410-631012-00039</t>
  </si>
  <si>
    <t>416-63-1399</t>
  </si>
  <si>
    <t>เครื่องวัดอุณหภูมิระบบอินฟาเรดทางหน้าผาก ใช้งานกลางแจ้งและในอาคาร พร้อมขาตั้ง ADAPTER</t>
  </si>
  <si>
    <t>409-640903-00020</t>
  </si>
  <si>
    <t>298-64-0057</t>
  </si>
  <si>
    <t xml:space="preserve"> 29 ม.ค. 64</t>
  </si>
  <si>
    <t>โต๊ะพับอเนกประสงค์ ขนาดไม่น้อยกว่า 75*180*75 ซม.</t>
  </si>
  <si>
    <t>401-650815-00174</t>
  </si>
  <si>
    <t>400-65-6876</t>
  </si>
  <si>
    <t>401-650815-00175</t>
  </si>
  <si>
    <t>400-65-6877</t>
  </si>
  <si>
    <t>401-650815-00176</t>
  </si>
  <si>
    <t>400-65-6878</t>
  </si>
  <si>
    <t>401-650815-00177</t>
  </si>
  <si>
    <t>400-65-6879</t>
  </si>
  <si>
    <t>401-650815-00178</t>
  </si>
  <si>
    <t>400-65-6880</t>
  </si>
  <si>
    <t>401-650815-00179</t>
  </si>
  <si>
    <t>400-65-6881</t>
  </si>
  <si>
    <t>401-650815-00180</t>
  </si>
  <si>
    <t>400-65-6882</t>
  </si>
  <si>
    <t>401-650815-00181</t>
  </si>
  <si>
    <t>400-65-6883</t>
  </si>
  <si>
    <t>401-650815-00182</t>
  </si>
  <si>
    <t>400-65-6884</t>
  </si>
  <si>
    <t>401-650815-00183</t>
  </si>
  <si>
    <t>400-65-6885</t>
  </si>
  <si>
    <t>เครื่องปรับอากาศ ยี่ห้อ UNIMASTER ขนาด 30300 BTU</t>
  </si>
  <si>
    <t>401-650815-00234</t>
  </si>
  <si>
    <t>420-65-0439</t>
  </si>
  <si>
    <t>401-650815-00235</t>
  </si>
  <si>
    <t>420-65-0440</t>
  </si>
  <si>
    <t>เครื่องพิมพ์บัตรแข็ง</t>
  </si>
  <si>
    <t>401-650826-00003</t>
  </si>
  <si>
    <t>495-65-0003</t>
  </si>
  <si>
    <t>เครื่องคอมพิวเตอร์สำหรับงานประมวลผลแบบที่ 1 ยี่ห้อ Acer รุ่น Veriton S2680G (อุทยานการเรียนรู้เทศบาลนครลำปาง)</t>
  </si>
  <si>
    <t>410-650826-00263</t>
  </si>
  <si>
    <t>416-65-2125</t>
  </si>
  <si>
    <t>จอคอมพิวเตอร์ ยี่ห้อ Acer ขนาด 19.5 นิ้ว V206HQL (อุทยานการเรียนรู้เทศบาลนครลำปาง)</t>
  </si>
  <si>
    <t>410-650826-00264</t>
  </si>
  <si>
    <t>416-65-2126</t>
  </si>
  <si>
    <t>410-650826-00265</t>
  </si>
  <si>
    <t>416-65-2127</t>
  </si>
  <si>
    <t>410-650826-00266</t>
  </si>
  <si>
    <t>416-65-2128</t>
  </si>
  <si>
    <t>410-650826-00267</t>
  </si>
  <si>
    <t>416-65-2129</t>
  </si>
  <si>
    <t>410-650826-00268</t>
  </si>
  <si>
    <t>416-65-2130</t>
  </si>
  <si>
    <t>410-650826-00269</t>
  </si>
  <si>
    <t>416-65-2131</t>
  </si>
  <si>
    <t>410-650826-00270</t>
  </si>
  <si>
    <t>416-65-2132</t>
  </si>
  <si>
    <t>410-650826-00271</t>
  </si>
  <si>
    <t>416-65-2133</t>
  </si>
  <si>
    <t>410-650826-00272</t>
  </si>
  <si>
    <t>416-65-2134</t>
  </si>
  <si>
    <t>410-650826-00273</t>
  </si>
  <si>
    <t>416-65-2135</t>
  </si>
  <si>
    <t>410-650826-00274</t>
  </si>
  <si>
    <t>416-65-2136</t>
  </si>
  <si>
    <t>410-650826-00275</t>
  </si>
  <si>
    <t>416-65-2137</t>
  </si>
  <si>
    <t>410-650826-00276</t>
  </si>
  <si>
    <t>416-65-2138</t>
  </si>
  <si>
    <t>410-650826-00277</t>
  </si>
  <si>
    <t>416-65-2139</t>
  </si>
  <si>
    <t>410-650826-00278</t>
  </si>
  <si>
    <t>416-65-2140</t>
  </si>
  <si>
    <t>410-650826-00279</t>
  </si>
  <si>
    <t>416-65-2141</t>
  </si>
  <si>
    <t>410-650826-00280</t>
  </si>
  <si>
    <t>416-65-2142</t>
  </si>
  <si>
    <t>เครื่องคอมพิวเตอร์สำหรับงานประมวลผลแบบที่ 1 ยี่ห้อ Acer รุ่น Veriton S2680G</t>
  </si>
  <si>
    <t>410-650826-00281</t>
  </si>
  <si>
    <t>416-65-2143</t>
  </si>
  <si>
    <t>จอคอมพิวเตอร์ ยี่ห้อ Acer ขนาด 19.5 นิ้ว V206HQL</t>
  </si>
  <si>
    <t>410-650826-00282</t>
  </si>
  <si>
    <t>416-65-2144</t>
  </si>
  <si>
    <t>เครื่องสำรองไฟฟ้าขนาด 800VA ยี่ห้อ Cleanline รุ่น L-850C (อุทยานการเรียนรู้เทศบาลนครลำปาง)</t>
  </si>
  <si>
    <t>410-650826-00283</t>
  </si>
  <si>
    <t>416-65-2145</t>
  </si>
  <si>
    <t>410-650826-00284</t>
  </si>
  <si>
    <t>416-65-2146</t>
  </si>
  <si>
    <t>410-650826-00285</t>
  </si>
  <si>
    <t>416-65-2147</t>
  </si>
  <si>
    <t>410-650826-00286</t>
  </si>
  <si>
    <t>416-65-2148</t>
  </si>
  <si>
    <t>410-650826-00287</t>
  </si>
  <si>
    <t>416-65-2149</t>
  </si>
  <si>
    <t>410-650826-00288</t>
  </si>
  <si>
    <t>416-65-2150</t>
  </si>
  <si>
    <t>410-650826-00289</t>
  </si>
  <si>
    <t>416-65-2151</t>
  </si>
  <si>
    <t>410-650826-00290</t>
  </si>
  <si>
    <t>416-65-2152</t>
  </si>
  <si>
    <t>410-650826-00291</t>
  </si>
  <si>
    <t>416-65-2153</t>
  </si>
  <si>
    <t>410-650826-00292</t>
  </si>
  <si>
    <t>416-65-2154</t>
  </si>
  <si>
    <t>ถังเก็บน้ำชนิดวางบนดิน ถัง PE ความจุ 2000 ลิตร พร้อมฐานคอนกรีต หนา 10 ซม. ขนาด 1.5x4.5 ม.</t>
  </si>
  <si>
    <t>401-650927-00002</t>
  </si>
  <si>
    <t>437-65-0055</t>
  </si>
  <si>
    <t>401-650927-00003</t>
  </si>
  <si>
    <t>437-65-0056</t>
  </si>
  <si>
    <t>ปั้มน้ำอัตโนมัติ ขนาด 350 w ขนิดแรงดันคงที่</t>
  </si>
  <si>
    <t>401-650927-00001</t>
  </si>
  <si>
    <t>055-65-0277</t>
  </si>
  <si>
    <t>รถเข็นสามล้อโครงเหล็ก</t>
  </si>
  <si>
    <t>005-66-0134</t>
  </si>
  <si>
    <t xml:space="preserve"> 21 ต.ค. 65</t>
  </si>
  <si>
    <t>ลำโพงอเนกประสงค์ พร้อมไมค์ลอย2ตัว</t>
  </si>
  <si>
    <t>459-66-1133</t>
  </si>
  <si>
    <t xml:space="preserve"> 27 ต.ค. 65</t>
  </si>
  <si>
    <t>อุทยานการเรียนรู้ LK</t>
  </si>
  <si>
    <t>เครื่องตัดหญ้าแบบข้ออ่อน</t>
  </si>
  <si>
    <t>441-66-0183</t>
  </si>
  <si>
    <t>401-66-9914</t>
  </si>
  <si>
    <t xml:space="preserve"> 3 พ.ย. 65</t>
  </si>
  <si>
    <t>401-66-9915</t>
  </si>
  <si>
    <t>401-66-9916</t>
  </si>
  <si>
    <t>401-66-9917</t>
  </si>
  <si>
    <t>401-66-9918</t>
  </si>
  <si>
    <t>เครื่องปรับอากาศ</t>
  </si>
  <si>
    <t>420-66-0444</t>
  </si>
  <si>
    <t>420-66-0445</t>
  </si>
  <si>
    <t>เก้าอี้สีน้ำเงินมีที่วางแขน</t>
  </si>
  <si>
    <t>401-470929-00002</t>
  </si>
  <si>
    <t>401-47-6508</t>
  </si>
  <si>
    <t>อาคารอเนกประสงค์</t>
  </si>
  <si>
    <t>พัดลมโคจรติดผนัง ขนาด 16" พร้อมอุปกรณ์</t>
  </si>
  <si>
    <t>401-640903-00016</t>
  </si>
  <si>
    <t>432-64-1257</t>
  </si>
  <si>
    <t xml:space="preserve"> 6 ม.ค. 63</t>
  </si>
  <si>
    <t>401-640903-00017</t>
  </si>
  <si>
    <t>432-64-1258</t>
  </si>
  <si>
    <t>401-640903-00018</t>
  </si>
  <si>
    <t>432-64-1259</t>
  </si>
  <si>
    <t>401-640903-00019</t>
  </si>
  <si>
    <t>432-64-1260</t>
  </si>
  <si>
    <t>401-640903-00020</t>
  </si>
  <si>
    <t>432-64-1261</t>
  </si>
  <si>
    <t>401-640903-00021</t>
  </si>
  <si>
    <t>432-64-1262</t>
  </si>
  <si>
    <t>401-640903-00022</t>
  </si>
  <si>
    <t>432-64-1263</t>
  </si>
  <si>
    <t>401-640903-00023</t>
  </si>
  <si>
    <t>432-64-1264</t>
  </si>
  <si>
    <t>401-640903-00024</t>
  </si>
  <si>
    <t>432-64-1265</t>
  </si>
  <si>
    <t>401-640903-00025</t>
  </si>
  <si>
    <t>432-64-1266</t>
  </si>
  <si>
    <t>401-640903-00026</t>
  </si>
  <si>
    <t>432-64-1267</t>
  </si>
  <si>
    <t>401-640903-00027</t>
  </si>
  <si>
    <t>432-64-1268</t>
  </si>
  <si>
    <t>401-640903-00028</t>
  </si>
  <si>
    <t>432-64-1269</t>
  </si>
  <si>
    <t>401-640903-00029</t>
  </si>
  <si>
    <t>432-64-1270</t>
  </si>
  <si>
    <t>401-640903-00030</t>
  </si>
  <si>
    <t>432-64-1271</t>
  </si>
  <si>
    <t>401-640903-00031</t>
  </si>
  <si>
    <t>432-64-1272</t>
  </si>
  <si>
    <t>401-640903-00032</t>
  </si>
  <si>
    <t>432-64-1273</t>
  </si>
  <si>
    <t>401-640903-00033</t>
  </si>
  <si>
    <t>432-64-1274</t>
  </si>
  <si>
    <t>401-640903-00034</t>
  </si>
  <si>
    <t>432-64-1275</t>
  </si>
  <si>
    <t>401-640903-00035</t>
  </si>
  <si>
    <t>432-64-1276</t>
  </si>
  <si>
    <t>เครื่องปรับอากาศ 20,000 BTU</t>
  </si>
  <si>
    <t>401-640903-00015</t>
  </si>
  <si>
    <t>420-64-0349</t>
  </si>
  <si>
    <t>แป้นสกอร์บอร์ดไฟฟ้าพร้อมแผงกดขึ้นตัวเลขและข้อความ</t>
  </si>
  <si>
    <t>403-640903-00056</t>
  </si>
  <si>
    <t>499-64-0001</t>
  </si>
  <si>
    <t>ระบบเครื่องเสียงพร้อมไมค์ลอยและลำโพง</t>
  </si>
  <si>
    <t>403-640903-00006</t>
  </si>
  <si>
    <t>462-64-0361</t>
  </si>
  <si>
    <t>แป้นบาสเกตบอล</t>
  </si>
  <si>
    <t>413-640903-00001</t>
  </si>
  <si>
    <t>806-64-0101</t>
  </si>
  <si>
    <t>413-640903-00002</t>
  </si>
  <si>
    <t>806-64-0102</t>
  </si>
  <si>
    <t>โต๊ะพับหน้าขาวปิดโฟเมก้า 180x75x75</t>
  </si>
  <si>
    <t>401-640903-00455</t>
  </si>
  <si>
    <t>400-64-6806</t>
  </si>
  <si>
    <t xml:space="preserve"> 28 ส.ค. 64</t>
  </si>
  <si>
    <t>401-640903-00456</t>
  </si>
  <si>
    <t>400-64-6807</t>
  </si>
  <si>
    <t>401-640903-00458</t>
  </si>
  <si>
    <t>400-64-6809</t>
  </si>
  <si>
    <t>401-640903-00459</t>
  </si>
  <si>
    <t>400-64-6810</t>
  </si>
  <si>
    <t>401-640903-00460</t>
  </si>
  <si>
    <t>400-64-6811</t>
  </si>
  <si>
    <t>401-640903-00461</t>
  </si>
  <si>
    <t>400-64-6812</t>
  </si>
  <si>
    <t>401-640903-00462</t>
  </si>
  <si>
    <t>400-64-6813</t>
  </si>
  <si>
    <t>401-640903-00463</t>
  </si>
  <si>
    <t>400-64-6814</t>
  </si>
  <si>
    <t>401-640903-00464</t>
  </si>
  <si>
    <t>400-64-6815</t>
  </si>
  <si>
    <t>401-640903-00465</t>
  </si>
  <si>
    <t>400-64-6816</t>
  </si>
  <si>
    <t>401-640903-00466</t>
  </si>
  <si>
    <t>400-64-6817</t>
  </si>
  <si>
    <t>401-640903-00467</t>
  </si>
  <si>
    <t>400-64-6818</t>
  </si>
  <si>
    <t>401-640903-00468</t>
  </si>
  <si>
    <t>400-64-6819</t>
  </si>
  <si>
    <t>401-640903-00469</t>
  </si>
  <si>
    <t>400-64-6820</t>
  </si>
  <si>
    <t>401-640903-00470</t>
  </si>
  <si>
    <t>400-64-6821</t>
  </si>
  <si>
    <t>401-640903-00471</t>
  </si>
  <si>
    <t>400-64-6822</t>
  </si>
  <si>
    <t>401-640903-00472</t>
  </si>
  <si>
    <t>400-64-6823</t>
  </si>
  <si>
    <t>401-640903-00473</t>
  </si>
  <si>
    <t>400-64-6824</t>
  </si>
  <si>
    <t>401-640903-00474</t>
  </si>
  <si>
    <t>400-64-6825</t>
  </si>
  <si>
    <t>โต๊ะทำงานเหล็ก</t>
  </si>
  <si>
    <t>401-640927-00025</t>
  </si>
  <si>
    <t>400-64-6838</t>
  </si>
  <si>
    <t xml:space="preserve"> 10 ก.ย. 64</t>
  </si>
  <si>
    <t>401-640927-00026</t>
  </si>
  <si>
    <t>400-64-6839</t>
  </si>
  <si>
    <t>ชุดโต๊ะทำงาน</t>
  </si>
  <si>
    <t>401-640927-00027</t>
  </si>
  <si>
    <t>400-64-6840</t>
  </si>
  <si>
    <t>เก้าอี้ทำงาน</t>
  </si>
  <si>
    <t>401-640927-00028</t>
  </si>
  <si>
    <t>401-64-9762</t>
  </si>
  <si>
    <t>401-640927-00029</t>
  </si>
  <si>
    <t>401-64-9763</t>
  </si>
  <si>
    <t>401-640927-00030</t>
  </si>
  <si>
    <t>401-64-9764</t>
  </si>
  <si>
    <t>401-640927-00032</t>
  </si>
  <si>
    <t>401-64-9766</t>
  </si>
  <si>
    <t>401-640927-00033</t>
  </si>
  <si>
    <t>401-64-9767</t>
  </si>
  <si>
    <t>401-640927-00034</t>
  </si>
  <si>
    <t>401-64-9768</t>
  </si>
  <si>
    <t>401-640927-00035</t>
  </si>
  <si>
    <t>401-64-9769</t>
  </si>
  <si>
    <t>401-640927-00036</t>
  </si>
  <si>
    <t>401-64-9770</t>
  </si>
  <si>
    <t>401-640927-00037</t>
  </si>
  <si>
    <t>401-64-9771</t>
  </si>
  <si>
    <t>401-640927-00038</t>
  </si>
  <si>
    <t>401-64-9772</t>
  </si>
  <si>
    <t>401-640927-00039</t>
  </si>
  <si>
    <t>401-64-9773</t>
  </si>
  <si>
    <t>ม้านั่งขาเหล็ก 130x30x45</t>
  </si>
  <si>
    <t>401-640903-00475</t>
  </si>
  <si>
    <t>402-64-0888</t>
  </si>
  <si>
    <t>401-640903-00476</t>
  </si>
  <si>
    <t>402-64-0889</t>
  </si>
  <si>
    <t>401-640903-00477</t>
  </si>
  <si>
    <t>402-64-0890</t>
  </si>
  <si>
    <t>401-640903-00478</t>
  </si>
  <si>
    <t>402-64-0891</t>
  </si>
  <si>
    <t>401-640903-00479</t>
  </si>
  <si>
    <t>402-64-0892</t>
  </si>
  <si>
    <t>401-640903-00480</t>
  </si>
  <si>
    <t>402-64-0893</t>
  </si>
  <si>
    <t>401-640903-00481</t>
  </si>
  <si>
    <t>402-64-0894</t>
  </si>
  <si>
    <t>401-640903-00482</t>
  </si>
  <si>
    <t>402-64-0895</t>
  </si>
  <si>
    <t>401-640903-00483</t>
  </si>
  <si>
    <t>402-64-0896</t>
  </si>
  <si>
    <t>401-640903-00484</t>
  </si>
  <si>
    <t>402-64-0897</t>
  </si>
  <si>
    <t>ชุดโซฟารับแขก (ชุดเล็ก) เบาะหนัง</t>
  </si>
  <si>
    <t>401-640903-00539</t>
  </si>
  <si>
    <t>403-64-0198</t>
  </si>
  <si>
    <t xml:space="preserve"> 26 ส.ค. 64</t>
  </si>
  <si>
    <t>ชั้นเหล็ก 4 ชั้น</t>
  </si>
  <si>
    <t>401-640927-00013</t>
  </si>
  <si>
    <t>404-64-0324</t>
  </si>
  <si>
    <t xml:space="preserve"> 3 ก.ย. 64</t>
  </si>
  <si>
    <t>401-640927-00014</t>
  </si>
  <si>
    <t>404-64-0325</t>
  </si>
  <si>
    <t>ตู้ล็อกเกอร์แบบ 12 ช่อง ขนาดไม่น้อยกว่า 90x45x180 ซม</t>
  </si>
  <si>
    <t>401-640903-00452</t>
  </si>
  <si>
    <t>406-64-1352</t>
  </si>
  <si>
    <t>406-64-1337</t>
  </si>
  <si>
    <t>406-64-1338</t>
  </si>
  <si>
    <t>406-64-1339</t>
  </si>
  <si>
    <t>406-64-1340</t>
  </si>
  <si>
    <t>401-640903-00457</t>
  </si>
  <si>
    <t>406-64-1341</t>
  </si>
  <si>
    <t>406-64-1342</t>
  </si>
  <si>
    <t>406-64-1343</t>
  </si>
  <si>
    <t>406-64-1344</t>
  </si>
  <si>
    <t>406-64-1345</t>
  </si>
  <si>
    <t>ตู้เหล็กแบบ 2 บาน</t>
  </si>
  <si>
    <t>401-640927-00040</t>
  </si>
  <si>
    <t>406-64-1346</t>
  </si>
  <si>
    <t>401-640927-00041</t>
  </si>
  <si>
    <t>406-64-1347</t>
  </si>
  <si>
    <t>401-640927-00042</t>
  </si>
  <si>
    <t>406-64-1348</t>
  </si>
  <si>
    <t>401-640927-00043</t>
  </si>
  <si>
    <t>406-64-1349</t>
  </si>
  <si>
    <t>401-640927-00044</t>
  </si>
  <si>
    <t>406-64-1350</t>
  </si>
  <si>
    <t>เครื่องปรับอากาศแบบแยกส่วน แบบตั้งแบบแขวน ขนาด 20000 BTU</t>
  </si>
  <si>
    <t>401-640903-00440</t>
  </si>
  <si>
    <t>420-64-0406</t>
  </si>
  <si>
    <t xml:space="preserve"> 19 ส.ค. 64</t>
  </si>
  <si>
    <t>พัดลม Victor IFC2402</t>
  </si>
  <si>
    <t>401-640903-00485</t>
  </si>
  <si>
    <t>432-64-1358</t>
  </si>
  <si>
    <t>401-640903-00487</t>
  </si>
  <si>
    <t>432-64-1360</t>
  </si>
  <si>
    <t>พัดลม MASTERKOOL MIK55EX</t>
  </si>
  <si>
    <t>401-640903-00489</t>
  </si>
  <si>
    <t>432-64-1362</t>
  </si>
  <si>
    <t>401-640903-00490</t>
  </si>
  <si>
    <t>432-64-1363</t>
  </si>
  <si>
    <t>401-640903-00491</t>
  </si>
  <si>
    <t>432-64-1364</t>
  </si>
  <si>
    <t>401-640903-00492</t>
  </si>
  <si>
    <t>432-64-1365</t>
  </si>
  <si>
    <t>ถังเก็บน้ำชนิดวางบนดิน ถัง PE ความจุ 2000 ลิตร พร้อมฐานครอบ</t>
  </si>
  <si>
    <t>401-640927-00011</t>
  </si>
  <si>
    <t>437-64-0052</t>
  </si>
  <si>
    <t xml:space="preserve"> 30 มิ.ย. 64</t>
  </si>
  <si>
    <t>401-640927-00012</t>
  </si>
  <si>
    <t>437-64-0053</t>
  </si>
  <si>
    <t>เครื่องทำน้ำเย็นแบบต่อท่อขนาด 2 ก๊อก ยี่ห้อ Standard</t>
  </si>
  <si>
    <t>439-64-0092</t>
  </si>
  <si>
    <t xml:space="preserve"> 9 ก.ย. 64</t>
  </si>
  <si>
    <t>439-64-0093</t>
  </si>
  <si>
    <t>เตียงเหล็ก พร้อมที่นอน ขนาด 3.5 ฟุต และหมอนหนุน</t>
  </si>
  <si>
    <t>412-640903-00063</t>
  </si>
  <si>
    <t>440-64-0108</t>
  </si>
  <si>
    <t>412-640903-00064</t>
  </si>
  <si>
    <t>440-64-0109</t>
  </si>
  <si>
    <t>ตู้เย็น 2 ประตู ขนาด 9.2 คิว ยี่ห้อ LG</t>
  </si>
  <si>
    <t>412-640903-00062</t>
  </si>
  <si>
    <t>703-64-0046</t>
  </si>
  <si>
    <t>โต๊ะเทเบิลเทนนิส พร้อมเสาตาข่าย รุ่น DNS-T-1223 25 MM</t>
  </si>
  <si>
    <t>413-640903-00008</t>
  </si>
  <si>
    <t>803-64-0001</t>
  </si>
  <si>
    <t xml:space="preserve"> 31 ส.ค. 64</t>
  </si>
  <si>
    <t>413-640903-00009</t>
  </si>
  <si>
    <t>803-64-0002</t>
  </si>
  <si>
    <t>413-640903-00010</t>
  </si>
  <si>
    <t>803-64-0003</t>
  </si>
  <si>
    <t>413-640903-00011</t>
  </si>
  <si>
    <t>803-64-0004</t>
  </si>
  <si>
    <t>ประตูฟุตซอล 2 ประตู 3x2 เมตร พร้อมตาข่าย</t>
  </si>
  <si>
    <t>413-640903-00012</t>
  </si>
  <si>
    <t>812-64-0001</t>
  </si>
  <si>
    <t>เก้าอี้กรรมการกีฬา</t>
  </si>
  <si>
    <t>413-640903-00013</t>
  </si>
  <si>
    <t>813-64-0001</t>
  </si>
  <si>
    <t>เก้าอี้กรรมการกีฬาวอลเลย์บอล</t>
  </si>
  <si>
    <t>413-640927-00001</t>
  </si>
  <si>
    <t>813-64-0002</t>
  </si>
  <si>
    <t xml:space="preserve"> 14 ก.ย. 64</t>
  </si>
  <si>
    <t>เครื่องปั๊มน้ำอัตโนมัติ ขนาด 350 วัตต์ แรงดันคงที่</t>
  </si>
  <si>
    <t>405-640927-00001</t>
  </si>
  <si>
    <t>055-64-0265</t>
  </si>
  <si>
    <t>เก้าอี้อเนกประสงค์เบาะหนัง</t>
  </si>
  <si>
    <t>401-640927-00077</t>
  </si>
  <si>
    <t>401-64-9788</t>
  </si>
  <si>
    <t xml:space="preserve"> 16 ก.ย. 64</t>
  </si>
  <si>
    <t>401-640927-00078</t>
  </si>
  <si>
    <t>401-64-9789</t>
  </si>
  <si>
    <t>401-640927-00079</t>
  </si>
  <si>
    <t>401-64-9790</t>
  </si>
  <si>
    <t>401-640927-00080</t>
  </si>
  <si>
    <t>401-64-9791</t>
  </si>
  <si>
    <t>401-640927-00081</t>
  </si>
  <si>
    <t>401-64-9792</t>
  </si>
  <si>
    <t>401-640927-00082</t>
  </si>
  <si>
    <t>401-64-9793</t>
  </si>
  <si>
    <t>401-640927-00083</t>
  </si>
  <si>
    <t>401-64-9794</t>
  </si>
  <si>
    <t>401-640927-00084</t>
  </si>
  <si>
    <t>401-64-9795</t>
  </si>
  <si>
    <t>401-640927-00085</t>
  </si>
  <si>
    <t>401-64-9796</t>
  </si>
  <si>
    <t>401-640927-00086</t>
  </si>
  <si>
    <t>401-64-9797</t>
  </si>
  <si>
    <t>401-640927-00087</t>
  </si>
  <si>
    <t>401-64-9798</t>
  </si>
  <si>
    <t>401-640927-00088</t>
  </si>
  <si>
    <t>401-64-9799</t>
  </si>
  <si>
    <t>401-640927-00089</t>
  </si>
  <si>
    <t>401-64-9800</t>
  </si>
  <si>
    <t>401-640927-00090</t>
  </si>
  <si>
    <t>401-64-9801</t>
  </si>
  <si>
    <t>401-640927-00091</t>
  </si>
  <si>
    <t>401-64-9802</t>
  </si>
  <si>
    <t>401-640927-00092</t>
  </si>
  <si>
    <t>401-64-9803</t>
  </si>
  <si>
    <t>401-640927-00093</t>
  </si>
  <si>
    <t>401-64-9804</t>
  </si>
  <si>
    <t>401-640927-00094</t>
  </si>
  <si>
    <t>401-64-9805</t>
  </si>
  <si>
    <t>401-640927-00095</t>
  </si>
  <si>
    <t>401-64-9806</t>
  </si>
  <si>
    <t>401-640927-00096</t>
  </si>
  <si>
    <t>401-64-9807</t>
  </si>
  <si>
    <t>เก้าอี้พักนักกีฬาแบบไม่มีหลังคา</t>
  </si>
  <si>
    <t>401-650815-00001</t>
  </si>
  <si>
    <t>401-65-9808</t>
  </si>
  <si>
    <t xml:space="preserve"> 1 ต.ค. 64</t>
  </si>
  <si>
    <t>401-650815-00002</t>
  </si>
  <si>
    <t>401-65-9809</t>
  </si>
  <si>
    <t>401-650815-00003</t>
  </si>
  <si>
    <t>401-65-9810</t>
  </si>
  <si>
    <t>401-650815-00004</t>
  </si>
  <si>
    <t>401-65-9811</t>
  </si>
  <si>
    <t>เครื่องเล่นสนามกลางแจ้ง ขนาดไม่น้อยกว่า 250x520x180 ซม.</t>
  </si>
  <si>
    <t>413-650815-00001</t>
  </si>
  <si>
    <t>808-65-0020</t>
  </si>
  <si>
    <t xml:space="preserve"> 24 ธ.ค. 64</t>
  </si>
  <si>
    <t>413-650815-00002</t>
  </si>
  <si>
    <t>808-65-0021</t>
  </si>
  <si>
    <t>413-650815-00003</t>
  </si>
  <si>
    <t>808-65-0022</t>
  </si>
  <si>
    <t>เครื่องเล่นชิงช้า 6 ที่นั่ง ขนาดไม่น้อยกว่า 120x180x180 ซม.</t>
  </si>
  <si>
    <t>413-650815-00004</t>
  </si>
  <si>
    <t>808-65-0023</t>
  </si>
  <si>
    <t>413-650815-00005</t>
  </si>
  <si>
    <t>808-65-0024</t>
  </si>
  <si>
    <t>413-650815-00006</t>
  </si>
  <si>
    <t>808-65-0025</t>
  </si>
  <si>
    <t>เครื่องเล่นม้าหมุน 4 ที่นั่ง ขนาดไม่น้อยกว่า 150x150x80 ซม.</t>
  </si>
  <si>
    <t>413-650815-00007</t>
  </si>
  <si>
    <t>808-65-0026</t>
  </si>
  <si>
    <t>413-650815-00008</t>
  </si>
  <si>
    <t>808-65-0027</t>
  </si>
  <si>
    <t>413-650815-00009</t>
  </si>
  <si>
    <t>808-65-0028</t>
  </si>
  <si>
    <t>เครื่องเล่นสนามกลางแจ้ง ขนาดไม่น้อยกว่า 250x450x280 ซม.</t>
  </si>
  <si>
    <t>413-650815-00010</t>
  </si>
  <si>
    <t>808-65-0029</t>
  </si>
  <si>
    <t>413-650815-00011</t>
  </si>
  <si>
    <t>808-65-0030</t>
  </si>
  <si>
    <t>เครื่องเล่นปีนป่าย ห่วงโหน และปีนป่ายผามหาสนุก 120x280x200 ซม.</t>
  </si>
  <si>
    <t>413-650815-00012</t>
  </si>
  <si>
    <t>808-65-0031</t>
  </si>
  <si>
    <t>413-650815-00013</t>
  </si>
  <si>
    <t>808-65-0032</t>
  </si>
  <si>
    <t>413-650815-00014</t>
  </si>
  <si>
    <t>808-65-0033</t>
  </si>
  <si>
    <t>413-650815-00015</t>
  </si>
  <si>
    <t>808-65-0034</t>
  </si>
  <si>
    <t>ชุดเตียงซิทอัพ</t>
  </si>
  <si>
    <t>413-650815-00016</t>
  </si>
  <si>
    <t>807-65-0095</t>
  </si>
  <si>
    <t>ชุดบริหารหน้าท้อง</t>
  </si>
  <si>
    <t>413-650815-00017</t>
  </si>
  <si>
    <t>807-65-0096</t>
  </si>
  <si>
    <t>ชุดบริหารหัวไหล่</t>
  </si>
  <si>
    <t>413-650815-00018</t>
  </si>
  <si>
    <t>807-65-0097</t>
  </si>
  <si>
    <t>ชุดบริหารขาแบบก้าวเดิน</t>
  </si>
  <si>
    <t>413-650815-00019</t>
  </si>
  <si>
    <t>807-65-0098</t>
  </si>
  <si>
    <t>ชุดบริหารขาแบบจักรยานก้าวเดิน</t>
  </si>
  <si>
    <t>413-650815-00020</t>
  </si>
  <si>
    <t>807-65-0099</t>
  </si>
  <si>
    <t>ชุดบาร์ยกตัวพร้อมจานหมุนเอว</t>
  </si>
  <si>
    <t>413-650815-00021</t>
  </si>
  <si>
    <t>807-65-0100</t>
  </si>
  <si>
    <t>ชุดบริหารสะโพก ลุกตุ้มแกว่งตัว</t>
  </si>
  <si>
    <t>413-650815-00022</t>
  </si>
  <si>
    <t>807-65-0101</t>
  </si>
  <si>
    <t>ชุดบริหารข้อเท้าและเข่า</t>
  </si>
  <si>
    <t>413-650815-00023</t>
  </si>
  <si>
    <t>807-65-0102</t>
  </si>
  <si>
    <t>413-650815-00024</t>
  </si>
  <si>
    <t>807-65-0103</t>
  </si>
  <si>
    <t>413-650815-00025</t>
  </si>
  <si>
    <t>807-65-0104</t>
  </si>
  <si>
    <t>413-650815-00026</t>
  </si>
  <si>
    <t>807-65-0105</t>
  </si>
  <si>
    <t>413-650815-00027</t>
  </si>
  <si>
    <t>807-65-0106</t>
  </si>
  <si>
    <t>413-650815-00028</t>
  </si>
  <si>
    <t>807-65-0107</t>
  </si>
  <si>
    <t>413-650815-00029</t>
  </si>
  <si>
    <t>807-65-0108</t>
  </si>
  <si>
    <t>413-650815-00030</t>
  </si>
  <si>
    <t>807-65-0109</t>
  </si>
  <si>
    <t>413-650815-00031</t>
  </si>
  <si>
    <t>807-65-0110</t>
  </si>
  <si>
    <t>413-650815-00032</t>
  </si>
  <si>
    <t>807-65-0111</t>
  </si>
  <si>
    <t>413-650815-00033</t>
  </si>
  <si>
    <t>807-65-0112</t>
  </si>
  <si>
    <t>413-650815-00034</t>
  </si>
  <si>
    <t>807-65-0113</t>
  </si>
  <si>
    <t>413-650815-00035</t>
  </si>
  <si>
    <t>807-65-0114</t>
  </si>
  <si>
    <t>413-650815-00036</t>
  </si>
  <si>
    <t>807-65-0115</t>
  </si>
  <si>
    <t>413-650815-00037</t>
  </si>
  <si>
    <t>807-65-0116</t>
  </si>
  <si>
    <t>413-650815-00038</t>
  </si>
  <si>
    <t>807-65-0117</t>
  </si>
  <si>
    <t>413-650815-00039</t>
  </si>
  <si>
    <t>807-65-0118</t>
  </si>
  <si>
    <t>เครื่องบริหารไหล่ แขน และขา</t>
  </si>
  <si>
    <t>413-650815-00040</t>
  </si>
  <si>
    <t>807-65-0119</t>
  </si>
  <si>
    <t>เครื่องบริหารไหล่ แขน ขา และข้อสะโพก</t>
  </si>
  <si>
    <t>413-650815-00041</t>
  </si>
  <si>
    <t>807-65-0120</t>
  </si>
  <si>
    <t>เครื่องยืนหมุนบริหารเอวและสะโพก สำหรับ 3 คน</t>
  </si>
  <si>
    <t>413-650815-00042</t>
  </si>
  <si>
    <t>807-65-0121</t>
  </si>
  <si>
    <t>เครื่องบริหารแขน ไหล่ แบบบาร์โหนตัวคู่</t>
  </si>
  <si>
    <t>413-650815-00043</t>
  </si>
  <si>
    <t>807-65-0122</t>
  </si>
  <si>
    <t>เครื่องบริหารแขน และไหล่ แบบพวงมาลัยเดี่ยว 2 คน</t>
  </si>
  <si>
    <t>413-650815-00044</t>
  </si>
  <si>
    <t>807-65-0123</t>
  </si>
  <si>
    <t>เครื่องบริหารกล้ามท้อง แบบนอนซิทอัพ บนลูกระนาด</t>
  </si>
  <si>
    <t>413-650815-00045</t>
  </si>
  <si>
    <t>807-65-0124</t>
  </si>
  <si>
    <t>เครื่องบริหารข้อสะโพก ชนิดเหวี่ยงคู่</t>
  </si>
  <si>
    <t>413-650815-00046</t>
  </si>
  <si>
    <t>807-65-0125</t>
  </si>
  <si>
    <t>เครื่องบริหารขา และแขน แบบย่ำสลับเท้า</t>
  </si>
  <si>
    <t>413-650815-00047</t>
  </si>
  <si>
    <t>807-65-0126</t>
  </si>
  <si>
    <t>เครื่องบริหารเอว และสะโพก แบบหมุนบิดตัว (คู่)</t>
  </si>
  <si>
    <t>413-650815-00048</t>
  </si>
  <si>
    <t>807-65-0127</t>
  </si>
  <si>
    <t>เครื่องบริหารขา แบบเดินอากาศเดี่ยว</t>
  </si>
  <si>
    <t>413-650815-00049</t>
  </si>
  <si>
    <t>807-65-0128</t>
  </si>
  <si>
    <t>เครื่องโยกขี่ม้า บริหารหน้าท้อง แขน ขา</t>
  </si>
  <si>
    <t>413-650815-00050</t>
  </si>
  <si>
    <t>807-65-0129</t>
  </si>
  <si>
    <t>เครื่องโยกบริหารหน้าท้อง แขน ขา</t>
  </si>
  <si>
    <t>413-650815-00051</t>
  </si>
  <si>
    <t>807-65-0130</t>
  </si>
  <si>
    <t>เครื่องบริหารขา ข้อพับ แบบยกล้อถ่วง</t>
  </si>
  <si>
    <t>413-650815-00052</t>
  </si>
  <si>
    <t>807-65-0131</t>
  </si>
  <si>
    <t>จักรยานบริหารข้อเข่าและขา แบบเดี่ยว</t>
  </si>
  <si>
    <t>413-650815-00053</t>
  </si>
  <si>
    <t>807-65-0132</t>
  </si>
  <si>
    <t>อุปกรณ์แกว่งบริหารขา และข้อเข่า</t>
  </si>
  <si>
    <t>413-650815-00054</t>
  </si>
  <si>
    <t>807-65-0133</t>
  </si>
  <si>
    <t>413-650815-00055</t>
  </si>
  <si>
    <t>807-65-0134</t>
  </si>
  <si>
    <t>413-650815-00056</t>
  </si>
  <si>
    <t>807-65-0135</t>
  </si>
  <si>
    <t>413-650815-00057</t>
  </si>
  <si>
    <t>807-65-0136</t>
  </si>
  <si>
    <t>413-650815-00058</t>
  </si>
  <si>
    <t>807-65-0137</t>
  </si>
  <si>
    <t>413-650815-00059</t>
  </si>
  <si>
    <t>807-65-0138</t>
  </si>
  <si>
    <t>413-650815-00060</t>
  </si>
  <si>
    <t>807-65-0139</t>
  </si>
  <si>
    <t>413-650815-00061</t>
  </si>
  <si>
    <t>807-65-0140</t>
  </si>
  <si>
    <t>413-650815-00062</t>
  </si>
  <si>
    <t>807-65-0141</t>
  </si>
  <si>
    <t>413-650815-00063</t>
  </si>
  <si>
    <t>807-65-0142</t>
  </si>
  <si>
    <t>413-650815-00064</t>
  </si>
  <si>
    <t>807-65-0143</t>
  </si>
  <si>
    <t>413-650815-00065</t>
  </si>
  <si>
    <t>807-65-0144</t>
  </si>
  <si>
    <t>413-650815-00066</t>
  </si>
  <si>
    <t>807-65-0145</t>
  </si>
  <si>
    <t>413-650815-00067</t>
  </si>
  <si>
    <t>807-65-0146</t>
  </si>
  <si>
    <t>413-650815-00068</t>
  </si>
  <si>
    <t>807-65-0147</t>
  </si>
  <si>
    <t>413-650815-00069</t>
  </si>
  <si>
    <t>807-65-0148</t>
  </si>
  <si>
    <t>413-650815-00070</t>
  </si>
  <si>
    <t>807-65-0149</t>
  </si>
  <si>
    <t>413-650815-00071</t>
  </si>
  <si>
    <t>807-65-0150</t>
  </si>
  <si>
    <t>413-650815-00072</t>
  </si>
  <si>
    <t>807-65-0151</t>
  </si>
  <si>
    <t>413-650815-00073</t>
  </si>
  <si>
    <t>807-65-0152</t>
  </si>
  <si>
    <t>413-650815-00074</t>
  </si>
  <si>
    <t>807-65-0153</t>
  </si>
  <si>
    <t>413-650815-00075</t>
  </si>
  <si>
    <t>807-65-0154</t>
  </si>
  <si>
    <t>413-650815-00076</t>
  </si>
  <si>
    <t>807-65-0155</t>
  </si>
  <si>
    <t>413-650815-00077</t>
  </si>
  <si>
    <t>807-65-0156</t>
  </si>
  <si>
    <t>413-650815-00078</t>
  </si>
  <si>
    <t>807-65-0157</t>
  </si>
  <si>
    <t>413-650815-00079</t>
  </si>
  <si>
    <t>807-65-0158</t>
  </si>
  <si>
    <t>413-650815-00080</t>
  </si>
  <si>
    <t>807-65-0159</t>
  </si>
  <si>
    <t>413-650815-00081</t>
  </si>
  <si>
    <t>807-65-0160</t>
  </si>
  <si>
    <t>413-650815-00082</t>
  </si>
  <si>
    <t>807-65-0161</t>
  </si>
  <si>
    <t>413-650815-00083</t>
  </si>
  <si>
    <t>807-65-0162</t>
  </si>
  <si>
    <t>413-650815-00084</t>
  </si>
  <si>
    <t>807-65-0163</t>
  </si>
  <si>
    <t>413-650815-00085</t>
  </si>
  <si>
    <t>807-65-0164</t>
  </si>
  <si>
    <t>413-650815-00086</t>
  </si>
  <si>
    <t>807-65-0165</t>
  </si>
  <si>
    <t>413-650815-00087</t>
  </si>
  <si>
    <t>807-65-0166</t>
  </si>
  <si>
    <t>413-650815-00088</t>
  </si>
  <si>
    <t>807-65-0167</t>
  </si>
  <si>
    <t>413-650815-00089</t>
  </si>
  <si>
    <t>807-65-0168</t>
  </si>
  <si>
    <t>413-650815-00090</t>
  </si>
  <si>
    <t>807-65-0169</t>
  </si>
  <si>
    <t>413-650815-00091</t>
  </si>
  <si>
    <t>807-65-0170</t>
  </si>
  <si>
    <t>413-650815-00092</t>
  </si>
  <si>
    <t>807-65-0171</t>
  </si>
  <si>
    <t>413-650815-00093</t>
  </si>
  <si>
    <t>807-65-0172</t>
  </si>
  <si>
    <t>413-650815-00094</t>
  </si>
  <si>
    <t>807-65-0173</t>
  </si>
  <si>
    <t>413-650815-00095</t>
  </si>
  <si>
    <t>807-65-0174</t>
  </si>
  <si>
    <t>413-650815-00096</t>
  </si>
  <si>
    <t>807-65-0175</t>
  </si>
  <si>
    <t>413-650815-00097</t>
  </si>
  <si>
    <t>807-65-0176</t>
  </si>
  <si>
    <t>413-650815-00098</t>
  </si>
  <si>
    <t>807-65-0177</t>
  </si>
  <si>
    <t>413-650815-00099</t>
  </si>
  <si>
    <t>807-65-0178</t>
  </si>
  <si>
    <t>413-650815-00100</t>
  </si>
  <si>
    <t>807-65-0179</t>
  </si>
  <si>
    <t>413-650815-00101</t>
  </si>
  <si>
    <t>807-65-0180</t>
  </si>
  <si>
    <t>413-650815-00102</t>
  </si>
  <si>
    <t>807-65-0181</t>
  </si>
  <si>
    <t>413-650815-00103</t>
  </si>
  <si>
    <t>807-65-0182</t>
  </si>
  <si>
    <t>413-650815-00104</t>
  </si>
  <si>
    <t>807-65-0183</t>
  </si>
  <si>
    <t>413-650815-00105</t>
  </si>
  <si>
    <t>807-65-0184</t>
  </si>
  <si>
    <t>413-650815-00106</t>
  </si>
  <si>
    <t>807-65-0185</t>
  </si>
  <si>
    <t>413-650815-00107</t>
  </si>
  <si>
    <t>807-65-0186</t>
  </si>
  <si>
    <t>413-650815-00108</t>
  </si>
  <si>
    <t>807-65-0187</t>
  </si>
  <si>
    <t>413-650815-00109</t>
  </si>
  <si>
    <t>807-65-0188</t>
  </si>
  <si>
    <t>413-650815-00110</t>
  </si>
  <si>
    <t>807-65-0189</t>
  </si>
  <si>
    <t>413-650815-00111</t>
  </si>
  <si>
    <t>807-65-0190</t>
  </si>
  <si>
    <t>413-650815-00112</t>
  </si>
  <si>
    <t>807-65-0191</t>
  </si>
  <si>
    <t>413-650815-00113</t>
  </si>
  <si>
    <t>807-65-0192</t>
  </si>
  <si>
    <t>413-650815-00114</t>
  </si>
  <si>
    <t>807-65-0193</t>
  </si>
  <si>
    <t>413-650815-00115</t>
  </si>
  <si>
    <t>807-65-0194</t>
  </si>
  <si>
    <t>413-650815-00116</t>
  </si>
  <si>
    <t>807-65-0195</t>
  </si>
  <si>
    <t>413-650815-00117</t>
  </si>
  <si>
    <t>807-65-0196</t>
  </si>
  <si>
    <t>413-650815-00118</t>
  </si>
  <si>
    <t>807-65-0197</t>
  </si>
  <si>
    <t>413-650815-00119</t>
  </si>
  <si>
    <t>807-65-0198</t>
  </si>
  <si>
    <t>413-650815-00120</t>
  </si>
  <si>
    <t>807-65-0199</t>
  </si>
  <si>
    <t>413-650815-00121</t>
  </si>
  <si>
    <t>807-65-0200</t>
  </si>
  <si>
    <t>413-650815-00122</t>
  </si>
  <si>
    <t>807-65-0201</t>
  </si>
  <si>
    <t>413-650815-00123</t>
  </si>
  <si>
    <t>807-65-0202</t>
  </si>
  <si>
    <t>413-650815-00124</t>
  </si>
  <si>
    <t>807-65-0203</t>
  </si>
  <si>
    <t>413-650815-00125</t>
  </si>
  <si>
    <t>807-65-0204</t>
  </si>
  <si>
    <t>413-650815-00126</t>
  </si>
  <si>
    <t>807-65-0205</t>
  </si>
  <si>
    <t>413-650815-00127</t>
  </si>
  <si>
    <t>807-65-0206</t>
  </si>
  <si>
    <t>413-650815-00128</t>
  </si>
  <si>
    <t>807-65-0207</t>
  </si>
  <si>
    <t>413-650815-00129</t>
  </si>
  <si>
    <t>807-65-0208</t>
  </si>
  <si>
    <t>413-650815-00130</t>
  </si>
  <si>
    <t>807-65-0209</t>
  </si>
  <si>
    <t>413-650815-00131</t>
  </si>
  <si>
    <t>807-65-0210</t>
  </si>
  <si>
    <t>413-650815-00132</t>
  </si>
  <si>
    <t>807-65-0211</t>
  </si>
  <si>
    <t>413-650815-00133</t>
  </si>
  <si>
    <t>807-65-0212</t>
  </si>
  <si>
    <t>413-650815-00134</t>
  </si>
  <si>
    <t>807-65-0213</t>
  </si>
  <si>
    <t>413-650815-00135</t>
  </si>
  <si>
    <t>807-65-0214</t>
  </si>
  <si>
    <t>413-650815-00136</t>
  </si>
  <si>
    <t>807-65-0215</t>
  </si>
  <si>
    <t>413-650815-00137</t>
  </si>
  <si>
    <t>807-65-0216</t>
  </si>
  <si>
    <t>413-650815-00138</t>
  </si>
  <si>
    <t>807-65-0217</t>
  </si>
  <si>
    <t>413-650815-00139</t>
  </si>
  <si>
    <t>807-65-0218</t>
  </si>
  <si>
    <t>413-650815-00140</t>
  </si>
  <si>
    <t>807-65-0219</t>
  </si>
  <si>
    <t>413-650815-00141</t>
  </si>
  <si>
    <t>807-65-0220</t>
  </si>
  <si>
    <t>413-650815-00142</t>
  </si>
  <si>
    <t>807-65-0221</t>
  </si>
  <si>
    <t>413-650815-00143</t>
  </si>
  <si>
    <t>807-65-0222</t>
  </si>
  <si>
    <t>413-650815-00144</t>
  </si>
  <si>
    <t>807-65-0223</t>
  </si>
  <si>
    <t>413-650815-00145</t>
  </si>
  <si>
    <t>807-65-0224</t>
  </si>
  <si>
    <t>413-650815-00146</t>
  </si>
  <si>
    <t>807-65-0225</t>
  </si>
  <si>
    <t>413-650815-00147</t>
  </si>
  <si>
    <t>807-65-0226</t>
  </si>
  <si>
    <t>413-650815-00148</t>
  </si>
  <si>
    <t>807-65-0227</t>
  </si>
  <si>
    <t>413-650815-00149</t>
  </si>
  <si>
    <t>807-65-0228</t>
  </si>
  <si>
    <t>413-650815-00150</t>
  </si>
  <si>
    <t>807-65-0229</t>
  </si>
  <si>
    <t>413-650815-00151</t>
  </si>
  <si>
    <t>807-65-0230</t>
  </si>
  <si>
    <t>413-650815-00152</t>
  </si>
  <si>
    <t>807-65-0231</t>
  </si>
  <si>
    <t>413-650815-00153</t>
  </si>
  <si>
    <t>807-65-0232</t>
  </si>
  <si>
    <t>413-650815-00154</t>
  </si>
  <si>
    <t>807-65-0233</t>
  </si>
  <si>
    <t>413-650815-00155</t>
  </si>
  <si>
    <t>807-65-0234</t>
  </si>
  <si>
    <t>413-650815-00156</t>
  </si>
  <si>
    <t>807-65-0235</t>
  </si>
  <si>
    <t>413-650815-00157</t>
  </si>
  <si>
    <t>807-65-0236</t>
  </si>
  <si>
    <t>413-650815-00158</t>
  </si>
  <si>
    <t>807-65-0237</t>
  </si>
  <si>
    <t>413-650815-00159</t>
  </si>
  <si>
    <t>807-65-0238</t>
  </si>
  <si>
    <t>413-650815-00160</t>
  </si>
  <si>
    <t>807-65-0239</t>
  </si>
  <si>
    <t>413-650815-00161</t>
  </si>
  <si>
    <t>807-65-0240</t>
  </si>
  <si>
    <t>413-650815-00162</t>
  </si>
  <si>
    <t>807-65-0241</t>
  </si>
  <si>
    <t>413-650815-00163</t>
  </si>
  <si>
    <t>807-65-0242</t>
  </si>
  <si>
    <t>413-650815-00164</t>
  </si>
  <si>
    <t>807-65-0243</t>
  </si>
  <si>
    <t>413-650815-00165</t>
  </si>
  <si>
    <t>807-65-0244</t>
  </si>
  <si>
    <t>413-650815-00166</t>
  </si>
  <si>
    <t>807-65-0245</t>
  </si>
  <si>
    <t>413-650815-00167</t>
  </si>
  <si>
    <t>807-65-0246</t>
  </si>
  <si>
    <t>413-650815-00168</t>
  </si>
  <si>
    <t>807-65-0247</t>
  </si>
  <si>
    <t>413-650815-00169</t>
  </si>
  <si>
    <t>807-65-0248</t>
  </si>
  <si>
    <t>413-650815-00170</t>
  </si>
  <si>
    <t>807-65-0249</t>
  </si>
  <si>
    <t>413-650815-00171</t>
  </si>
  <si>
    <t>807-65-0250</t>
  </si>
  <si>
    <t>413-650815-00172</t>
  </si>
  <si>
    <t>807-65-0251</t>
  </si>
  <si>
    <t>413-650815-00173</t>
  </si>
  <si>
    <t>807-65-0252</t>
  </si>
  <si>
    <t>413-650815-00174</t>
  </si>
  <si>
    <t>807-65-0253</t>
  </si>
  <si>
    <t>413-650815-00175</t>
  </si>
  <si>
    <t>807-65-0254</t>
  </si>
  <si>
    <t>413-650815-00176</t>
  </si>
  <si>
    <t>807-65-0255</t>
  </si>
  <si>
    <t>413-650815-00177</t>
  </si>
  <si>
    <t>807-65-0256</t>
  </si>
  <si>
    <t>413-650815-00178</t>
  </si>
  <si>
    <t>807-65-0257</t>
  </si>
  <si>
    <t>413-650815-00179</t>
  </si>
  <si>
    <t>807-65-0258</t>
  </si>
  <si>
    <t>413-650815-00180</t>
  </si>
  <si>
    <t>807-65-0259</t>
  </si>
  <si>
    <t>413-650815-00181</t>
  </si>
  <si>
    <t>807-65-0260</t>
  </si>
  <si>
    <t>413-650815-00182</t>
  </si>
  <si>
    <t>807-65-0261</t>
  </si>
  <si>
    <t>เครื่องบริหารแขนไหล่ แบบบาร์โหนตัวคู่</t>
  </si>
  <si>
    <t>413-650815-00183</t>
  </si>
  <si>
    <t>807-65-0262</t>
  </si>
  <si>
    <t>413-650815-00184</t>
  </si>
  <si>
    <t>807-65-0263</t>
  </si>
  <si>
    <t>413-650815-00185</t>
  </si>
  <si>
    <t>807-65-0264</t>
  </si>
  <si>
    <t>413-650815-00186</t>
  </si>
  <si>
    <t>807-65-0265</t>
  </si>
  <si>
    <t>413-650815-00187</t>
  </si>
  <si>
    <t>807-65-0266</t>
  </si>
  <si>
    <t>413-650815-00188</t>
  </si>
  <si>
    <t>807-65-0267</t>
  </si>
  <si>
    <t>413-650815-00189</t>
  </si>
  <si>
    <t>807-65-0268</t>
  </si>
  <si>
    <t>413-650815-00190</t>
  </si>
  <si>
    <t>807-65-0269</t>
  </si>
  <si>
    <t>413-650815-00191</t>
  </si>
  <si>
    <t>807-65-0270</t>
  </si>
  <si>
    <t>413-650815-00192</t>
  </si>
  <si>
    <t>807-65-0271</t>
  </si>
  <si>
    <t>413-650815-00193</t>
  </si>
  <si>
    <t>807-65-0272</t>
  </si>
  <si>
    <t>413-650815-00194</t>
  </si>
  <si>
    <t>807-65-0273</t>
  </si>
  <si>
    <t>413-650815-00195</t>
  </si>
  <si>
    <t>807-65-0274</t>
  </si>
  <si>
    <t>413-650815-00196</t>
  </si>
  <si>
    <t>807-65-0275</t>
  </si>
  <si>
    <t>413-650815-00197</t>
  </si>
  <si>
    <t>807-65-0276</t>
  </si>
  <si>
    <t>413-650815-00198</t>
  </si>
  <si>
    <t>807-65-0277</t>
  </si>
  <si>
    <t>413-650815-00199</t>
  </si>
  <si>
    <t>807-65-0278</t>
  </si>
  <si>
    <t>413-650815-00200</t>
  </si>
  <si>
    <t>807-65-0279</t>
  </si>
  <si>
    <t>413-650815-00201</t>
  </si>
  <si>
    <t>807-65-0280</t>
  </si>
  <si>
    <t>413-650815-00202</t>
  </si>
  <si>
    <t>807-65-0281</t>
  </si>
  <si>
    <t>413-650815-00203</t>
  </si>
  <si>
    <t>807-65-0282</t>
  </si>
  <si>
    <t>413-650815-00204</t>
  </si>
  <si>
    <t>807-65-0283</t>
  </si>
  <si>
    <t>413-650815-00205</t>
  </si>
  <si>
    <t>807-65-0284</t>
  </si>
  <si>
    <t>413-650815-00206</t>
  </si>
  <si>
    <t>807-65-0285</t>
  </si>
  <si>
    <t>413-650815-00207</t>
  </si>
  <si>
    <t>807-65-0286</t>
  </si>
  <si>
    <t>413-650815-00208</t>
  </si>
  <si>
    <t>807-65-0287</t>
  </si>
  <si>
    <t>413-650815-00209</t>
  </si>
  <si>
    <t>807-65-0288</t>
  </si>
  <si>
    <t>413-650815-00210</t>
  </si>
  <si>
    <t>807-65-0289</t>
  </si>
  <si>
    <t>413-650815-00211</t>
  </si>
  <si>
    <t>807-65-0290</t>
  </si>
  <si>
    <t>413-650815-00212</t>
  </si>
  <si>
    <t>807-65-0291</t>
  </si>
  <si>
    <t>413-650815-00213</t>
  </si>
  <si>
    <t>807-65-0292</t>
  </si>
  <si>
    <t>413-650815-00214</t>
  </si>
  <si>
    <t>807-65-0293</t>
  </si>
  <si>
    <t>413-650815-00215</t>
  </si>
  <si>
    <t>807-65-0294</t>
  </si>
  <si>
    <t>413-650815-00216</t>
  </si>
  <si>
    <t>807-65-0295</t>
  </si>
  <si>
    <t>413-650815-00217</t>
  </si>
  <si>
    <t>807-65-0296</t>
  </si>
  <si>
    <t>413-650815-00218</t>
  </si>
  <si>
    <t>807-65-0297</t>
  </si>
  <si>
    <t>413-650815-00219</t>
  </si>
  <si>
    <t>807-65-0298</t>
  </si>
  <si>
    <t>413-650815-00220</t>
  </si>
  <si>
    <t>807-65-0299</t>
  </si>
  <si>
    <t>413-650815-00221</t>
  </si>
  <si>
    <t>807-65-0300</t>
  </si>
  <si>
    <t>413-650815-00222</t>
  </si>
  <si>
    <t>807-65-0301</t>
  </si>
  <si>
    <t>413-650815-00223</t>
  </si>
  <si>
    <t>807-65-0302</t>
  </si>
  <si>
    <t>413-650815-00224</t>
  </si>
  <si>
    <t>807-65-0303</t>
  </si>
  <si>
    <t>413-650815-00225</t>
  </si>
  <si>
    <t>807-65-0304</t>
  </si>
  <si>
    <t>413-650815-00226</t>
  </si>
  <si>
    <t>807-65-0305</t>
  </si>
  <si>
    <t>413-650815-00227</t>
  </si>
  <si>
    <t>807-65-0306</t>
  </si>
  <si>
    <t>413-650815-00228</t>
  </si>
  <si>
    <t>807-65-0307</t>
  </si>
  <si>
    <t>413-650815-00229</t>
  </si>
  <si>
    <t>807-65-0308</t>
  </si>
  <si>
    <t>413-650815-00230</t>
  </si>
  <si>
    <t>807-65-0309</t>
  </si>
  <si>
    <t>413-650815-00231</t>
  </si>
  <si>
    <t>807-65-0310</t>
  </si>
  <si>
    <t>413-650815-00232</t>
  </si>
  <si>
    <t>807-65-0311</t>
  </si>
  <si>
    <t>413-650815-00233</t>
  </si>
  <si>
    <t>807-65-0312</t>
  </si>
  <si>
    <t>413-650815-00234</t>
  </si>
  <si>
    <t>807-65-0313</t>
  </si>
  <si>
    <t>413-650815-00235</t>
  </si>
  <si>
    <t>807-65-0314</t>
  </si>
  <si>
    <t>413-650815-00236</t>
  </si>
  <si>
    <t>807-65-0315</t>
  </si>
  <si>
    <t>413-650815-00237</t>
  </si>
  <si>
    <t>807-65-0316</t>
  </si>
  <si>
    <t>413-650815-00238</t>
  </si>
  <si>
    <t>807-65-0317</t>
  </si>
  <si>
    <t>413-650815-00239</t>
  </si>
  <si>
    <t>807-65-0318</t>
  </si>
  <si>
    <t>413-650815-00240</t>
  </si>
  <si>
    <t>807-65-0319</t>
  </si>
  <si>
    <t>413-650815-00241</t>
  </si>
  <si>
    <t>807-65-0320</t>
  </si>
  <si>
    <t>413-650815-00242</t>
  </si>
  <si>
    <t>807-65-0321</t>
  </si>
  <si>
    <t>413-650815-00243</t>
  </si>
  <si>
    <t>807-65-0322</t>
  </si>
  <si>
    <t>413-650815-00244</t>
  </si>
  <si>
    <t>807-65-0323</t>
  </si>
  <si>
    <t>413-650815-00245</t>
  </si>
  <si>
    <t>807-65-0324</t>
  </si>
  <si>
    <t>413-650815-00246</t>
  </si>
  <si>
    <t>807-65-0325</t>
  </si>
  <si>
    <t>413-650815-00247</t>
  </si>
  <si>
    <t>807-65-0326</t>
  </si>
  <si>
    <t>413-650815-00248</t>
  </si>
  <si>
    <t>807-65-0327</t>
  </si>
  <si>
    <t>413-650815-00249</t>
  </si>
  <si>
    <t>807-65-0328</t>
  </si>
  <si>
    <t>413-650815-00250</t>
  </si>
  <si>
    <t>807-65-0329</t>
  </si>
  <si>
    <t>413-650815-00251</t>
  </si>
  <si>
    <t>807-65-0330</t>
  </si>
  <si>
    <t>413-650815-00252</t>
  </si>
  <si>
    <t>807-65-0331</t>
  </si>
  <si>
    <t>413-650815-00253</t>
  </si>
  <si>
    <t>807-65-0332</t>
  </si>
  <si>
    <t>413-650815-00254</t>
  </si>
  <si>
    <t>807-65-0333</t>
  </si>
  <si>
    <t>413-650815-00255</t>
  </si>
  <si>
    <t>807-65-0334</t>
  </si>
  <si>
    <t>413-650815-00256</t>
  </si>
  <si>
    <t>807-65-0335</t>
  </si>
  <si>
    <t>413-650815-00257</t>
  </si>
  <si>
    <t>807-65-0336</t>
  </si>
  <si>
    <t>413-650815-00258</t>
  </si>
  <si>
    <t>807-65-0337</t>
  </si>
  <si>
    <t>413-650815-00259</t>
  </si>
  <si>
    <t>807-65-0338</t>
  </si>
  <si>
    <t>413-650815-00260</t>
  </si>
  <si>
    <t>807-65-0339</t>
  </si>
  <si>
    <t>413-650815-00261</t>
  </si>
  <si>
    <t>807-65-0340</t>
  </si>
  <si>
    <t>413-650815-00262</t>
  </si>
  <si>
    <t>807-65-0341</t>
  </si>
  <si>
    <t>413-650815-00263</t>
  </si>
  <si>
    <t>807-65-0342</t>
  </si>
  <si>
    <t>413-650815-00264</t>
  </si>
  <si>
    <t>807-65-0343</t>
  </si>
  <si>
    <t>410-650826-00071</t>
  </si>
  <si>
    <t>416-65-1913</t>
  </si>
  <si>
    <t>410-650826-00072</t>
  </si>
  <si>
    <t>416-65-1914</t>
  </si>
  <si>
    <t>อัฒฑจันทร์สำเร็จรูประบบไฟฟ้า</t>
  </si>
  <si>
    <t>413-650819-00001</t>
  </si>
  <si>
    <t>814-65-0001</t>
  </si>
  <si>
    <t>พัดลมไอเย็น MASTERKOOL</t>
  </si>
  <si>
    <t>432-66-1564</t>
  </si>
  <si>
    <t xml:space="preserve"> 9 ธ.ค. 65</t>
  </si>
  <si>
    <t>อาคารศูนย์กีฬาและนันทนาการ สุขสวัสดิ์2</t>
  </si>
  <si>
    <t>432-66-1565</t>
  </si>
  <si>
    <t>พัดลมอุตสาหกรรม VICTOR</t>
  </si>
  <si>
    <t>432-66-1566</t>
  </si>
  <si>
    <t>432-66-1567</t>
  </si>
  <si>
    <t>432-66-1568</t>
  </si>
  <si>
    <t>432-66-1569</t>
  </si>
  <si>
    <t>432-66-1570</t>
  </si>
  <si>
    <t>432-66-1571</t>
  </si>
  <si>
    <t>401-660831-00001</t>
  </si>
  <si>
    <t>420-66-0461</t>
  </si>
  <si>
    <t xml:space="preserve">อาคารศูนย์กีฬาและนันทนาการ </t>
  </si>
  <si>
    <t>401-660831-00002</t>
  </si>
  <si>
    <t>420-66-0462</t>
  </si>
  <si>
    <t>เครื่องกรองน้ำสแตนเลส</t>
  </si>
  <si>
    <t xml:space="preserve">412-660905-00001 </t>
  </si>
  <si>
    <t>701-66-0032</t>
  </si>
  <si>
    <t>อาคารศูนย์กีฬาและนันทนาการ</t>
  </si>
  <si>
    <t xml:space="preserve">412-660905-00002 </t>
  </si>
  <si>
    <t>701-66-0033</t>
  </si>
  <si>
    <t>ชุดรับแขก   1  ชุด</t>
  </si>
  <si>
    <t>401-231229-00001</t>
  </si>
  <si>
    <t>403-23-0026</t>
  </si>
  <si>
    <t>มิวเซียมลำปาง</t>
  </si>
  <si>
    <t>เก้าอี้ไม้หันหลังชนกัน</t>
  </si>
  <si>
    <t>401-600320-00001</t>
  </si>
  <si>
    <t>401-60-8961</t>
  </si>
  <si>
    <t xml:space="preserve"> 20 มี.ค. 60</t>
  </si>
  <si>
    <t>มิวเซี่ยม(ลำปาง)</t>
  </si>
  <si>
    <t>401-600320-00002</t>
  </si>
  <si>
    <t>401-60-8962</t>
  </si>
  <si>
    <t>เครื่องโทรสาร ยี่ห้อ Canon รุ่น L170</t>
  </si>
  <si>
    <t>401-600329-00001</t>
  </si>
  <si>
    <t>424-60-0034</t>
  </si>
  <si>
    <t xml:space="preserve">ตู้ทำน้ำเย็นยี่ห้อ Sharp รุ่น 5B-C10 </t>
  </si>
  <si>
    <t>412-600407-00001</t>
  </si>
  <si>
    <t>439-60-0084</t>
  </si>
  <si>
    <t xml:space="preserve"> 7 เม.ย. 60</t>
  </si>
  <si>
    <t>412-600407-00002</t>
  </si>
  <si>
    <t>439-60-0085</t>
  </si>
  <si>
    <t>กล้องถ่ายภาพนิ่งระบบดิจิตอล ยี่ห้อ CANNON</t>
  </si>
  <si>
    <t>404-600515-00001</t>
  </si>
  <si>
    <t>452-60-0081</t>
  </si>
  <si>
    <t xml:space="preserve"> 15 พ.ค. 60</t>
  </si>
  <si>
    <t>เครื่องพิมพ์ชนิดเลเซอร์ Fuji Xerox รุ่น Cp305d</t>
  </si>
  <si>
    <t>410-600607-00003</t>
  </si>
  <si>
    <t>416-60-1285</t>
  </si>
  <si>
    <t>เครื่องคอมพิวเตอร์สำหรับประมวลผล แบบที่ 2</t>
  </si>
  <si>
    <t>410-600607-00016</t>
  </si>
  <si>
    <t>416-60-1284</t>
  </si>
  <si>
    <t>เครื่องสำรองไฟฟ้า ขนาด 1 kva ยี่ห้อ Zicorn</t>
  </si>
  <si>
    <t>410-600607-00005</t>
  </si>
  <si>
    <t>416-60-1286</t>
  </si>
  <si>
    <t>จอคอมพิวเตอร์ ขนาด 18.5 นิ้ว</t>
  </si>
  <si>
    <t>410-600607-00001</t>
  </si>
  <si>
    <t>416-60-1289</t>
  </si>
  <si>
    <t>โต๊ะทำงาน หน้าโต๊ะปิดผิวเมลามีน มีลิ้นชักและมีกุญแจ</t>
  </si>
  <si>
    <t>401-600717-00001</t>
  </si>
  <si>
    <t>400-60-6488</t>
  </si>
  <si>
    <t xml:space="preserve"> 17 ก.ค. 60</t>
  </si>
  <si>
    <t>401-600717-00002</t>
  </si>
  <si>
    <t>400-60-6489</t>
  </si>
  <si>
    <t>401-600717-00003</t>
  </si>
  <si>
    <t>400-60-6490</t>
  </si>
  <si>
    <t>401-600717-00004</t>
  </si>
  <si>
    <t>400-60-6491</t>
  </si>
  <si>
    <t>โต๊ะประชุม 12-20 ที่นั่ง ยี่ห้อ NOTECH</t>
  </si>
  <si>
    <t>401-600717-00005</t>
  </si>
  <si>
    <t>400-60-6492</t>
  </si>
  <si>
    <t xml:space="preserve">โต๊ะวางคอมพิวเตอร์ หน้าโต๊ะปิดผิวเมลามีน </t>
  </si>
  <si>
    <t>401-600717-00006</t>
  </si>
  <si>
    <t>400-60-6493</t>
  </si>
  <si>
    <t>เก้าอี้ทำงานแบบมีพนักพิง Mono</t>
  </si>
  <si>
    <t>401-600717-00007</t>
  </si>
  <si>
    <t>401-60-8963</t>
  </si>
  <si>
    <t>401-600717-00008</t>
  </si>
  <si>
    <t>401-60-8964</t>
  </si>
  <si>
    <t>401-600717-00009</t>
  </si>
  <si>
    <t>401-60-8965</t>
  </si>
  <si>
    <t>401-600717-00010</t>
  </si>
  <si>
    <t>401-60-8966</t>
  </si>
  <si>
    <t>เก้าอี้อเนกประสงค์เบาะหนัง ขาเหล็กมีพนักพิง</t>
  </si>
  <si>
    <t>401-600717-00011</t>
  </si>
  <si>
    <t>401-60-8967</t>
  </si>
  <si>
    <t>401-600717-00012</t>
  </si>
  <si>
    <t>401-60-8968</t>
  </si>
  <si>
    <t>401-600717-00013</t>
  </si>
  <si>
    <t>401-60-8969</t>
  </si>
  <si>
    <t>401-600717-00014</t>
  </si>
  <si>
    <t>401-60-8970</t>
  </si>
  <si>
    <t>401-600717-00015</t>
  </si>
  <si>
    <t>401-60-8971</t>
  </si>
  <si>
    <t>401-600717-00016</t>
  </si>
  <si>
    <t>401-60-8972</t>
  </si>
  <si>
    <t>401-600717-00017</t>
  </si>
  <si>
    <t>401-60-8973</t>
  </si>
  <si>
    <t>401-600717-00018</t>
  </si>
  <si>
    <t>401-60-8974</t>
  </si>
  <si>
    <t>401-600717-00019</t>
  </si>
  <si>
    <t>401-60-8975</t>
  </si>
  <si>
    <t>401-600717-00020</t>
  </si>
  <si>
    <t>401-60-8976</t>
  </si>
  <si>
    <t>401-600717-00021</t>
  </si>
  <si>
    <t>401-60-8977</t>
  </si>
  <si>
    <t>401-600717-00022</t>
  </si>
  <si>
    <t>401-60-8978</t>
  </si>
  <si>
    <t>401-600717-00023</t>
  </si>
  <si>
    <t>401-60-8979</t>
  </si>
  <si>
    <t>401-600717-00024</t>
  </si>
  <si>
    <t>401-60-8980</t>
  </si>
  <si>
    <t>401-600717-00025</t>
  </si>
  <si>
    <t>401-60-8981</t>
  </si>
  <si>
    <t>401-600717-00026</t>
  </si>
  <si>
    <t>401-60-8982</t>
  </si>
  <si>
    <t>401-600717-00027</t>
  </si>
  <si>
    <t>401-60-8983</t>
  </si>
  <si>
    <t>401-600717-00028</t>
  </si>
  <si>
    <t>401-60-8984</t>
  </si>
  <si>
    <t>401-600717-00029</t>
  </si>
  <si>
    <t>401-60-8985</t>
  </si>
  <si>
    <t>401-600717-00030</t>
  </si>
  <si>
    <t>401-60-8986</t>
  </si>
  <si>
    <t>401-600717-00031</t>
  </si>
  <si>
    <t>401-60-8987</t>
  </si>
  <si>
    <t>401-600717-00032</t>
  </si>
  <si>
    <t>401-60-8988</t>
  </si>
  <si>
    <t>401-600717-00033</t>
  </si>
  <si>
    <t>401-60-8989</t>
  </si>
  <si>
    <t>401-600717-00034</t>
  </si>
  <si>
    <t>401-60-8990</t>
  </si>
  <si>
    <t>401-600717-00035</t>
  </si>
  <si>
    <t>401-60-8991</t>
  </si>
  <si>
    <t>401-600717-00036</t>
  </si>
  <si>
    <t>401-60-8992</t>
  </si>
  <si>
    <t>401-600717-00037</t>
  </si>
  <si>
    <t>401-60-8993</t>
  </si>
  <si>
    <t>401-600717-00038</t>
  </si>
  <si>
    <t>401-60-8994</t>
  </si>
  <si>
    <t>401-600717-00039</t>
  </si>
  <si>
    <t>401-60-8995</t>
  </si>
  <si>
    <t>401-600717-00040</t>
  </si>
  <si>
    <t>401-60-8996</t>
  </si>
  <si>
    <t>401-600717-00041</t>
  </si>
  <si>
    <t>401-60-8997</t>
  </si>
  <si>
    <t>401-600717-00042</t>
  </si>
  <si>
    <t>401-60-8998</t>
  </si>
  <si>
    <t>401-600717-00043</t>
  </si>
  <si>
    <t>401-60-8999</t>
  </si>
  <si>
    <t>401-600717-00044</t>
  </si>
  <si>
    <t>401-60-9000</t>
  </si>
  <si>
    <t>401-600717-00045</t>
  </si>
  <si>
    <t>401-60-9001</t>
  </si>
  <si>
    <t>401-600717-00046</t>
  </si>
  <si>
    <t>401-60-9002</t>
  </si>
  <si>
    <t>401-600717-00047</t>
  </si>
  <si>
    <t>401-60-9003</t>
  </si>
  <si>
    <t>401-600717-00048</t>
  </si>
  <si>
    <t>401-60-9004</t>
  </si>
  <si>
    <t>401-600717-00049</t>
  </si>
  <si>
    <t>401-60-9005</t>
  </si>
  <si>
    <t>401-600717-00050</t>
  </si>
  <si>
    <t>401-60-9006</t>
  </si>
  <si>
    <t>เครื่องปรับอากาศ ยี่ห้อ UNIMASTER ขนาด 40795.65 BTU</t>
  </si>
  <si>
    <t>401-600915-00001</t>
  </si>
  <si>
    <t>420-60-0284</t>
  </si>
  <si>
    <t xml:space="preserve"> 15 ก.ย. 60</t>
  </si>
  <si>
    <t>401-600915-00002</t>
  </si>
  <si>
    <t>420-60-0285</t>
  </si>
  <si>
    <t>401-600915-00003</t>
  </si>
  <si>
    <t>420-60-0286</t>
  </si>
  <si>
    <t>เครื่องปรับอากาศ ยี่ห้อ UNIMASTER ขนาด 48000 BTU</t>
  </si>
  <si>
    <t>401-600915-00004</t>
  </si>
  <si>
    <t>420-60-0287</t>
  </si>
  <si>
    <t>401-600915-00005</t>
  </si>
  <si>
    <t>420-60-0288</t>
  </si>
  <si>
    <t>401-600915-00006</t>
  </si>
  <si>
    <t>420-60-0289</t>
  </si>
  <si>
    <t>เครื่องปรับอากาศ ยี่ห้อ UNIMASTER ขนาด 25100 BTU</t>
  </si>
  <si>
    <t>401-600915-00007</t>
  </si>
  <si>
    <t>420-60-0290</t>
  </si>
  <si>
    <t>401-600915-00008</t>
  </si>
  <si>
    <t>420-60-0291</t>
  </si>
  <si>
    <t>เก้าอี้กลม สูง 45 CM.</t>
  </si>
  <si>
    <t>401-621107-00001</t>
  </si>
  <si>
    <t>401-60-9014</t>
  </si>
  <si>
    <t xml:space="preserve"> 19 ก.ย. 60</t>
  </si>
  <si>
    <t>401-621107-00002</t>
  </si>
  <si>
    <t>401-60-9015</t>
  </si>
  <si>
    <t>เครื่องขยายเสียงพกพา ชนิดคาดเอว ยี่ห้อ ACTOR</t>
  </si>
  <si>
    <t>403-610209-00001</t>
  </si>
  <si>
    <t>462-61-0337</t>
  </si>
  <si>
    <t xml:space="preserve"> 9 ก.พ. 61</t>
  </si>
  <si>
    <t>403-610209-00002</t>
  </si>
  <si>
    <t>462-61-0338</t>
  </si>
  <si>
    <t>403-610209-00003</t>
  </si>
  <si>
    <t>462-61-0339</t>
  </si>
  <si>
    <t>403-610209-00004</t>
  </si>
  <si>
    <t>462-61-0340</t>
  </si>
  <si>
    <t>ตู้เย็นแบบ 2 ประตู ยี่ห้อ SHAPP</t>
  </si>
  <si>
    <t>412-610220-00001</t>
  </si>
  <si>
    <t>703-61-0044</t>
  </si>
  <si>
    <t xml:space="preserve"> 20 ก.พ. 61</t>
  </si>
  <si>
    <t>412-610220-00002</t>
  </si>
  <si>
    <t>703-61-0045</t>
  </si>
  <si>
    <t xml:space="preserve">จอรับภาพชนิดมอเตอร์ไฟฟ้า  ยี่ห้อ Screenboy           </t>
  </si>
  <si>
    <t>404-610305-00002</t>
  </si>
  <si>
    <t>444-61-0029</t>
  </si>
  <si>
    <t xml:space="preserve"> 5 มี.ค. 61</t>
  </si>
  <si>
    <t>เครื่องมัลติมีเดียโปรเจคเตอร์ ยี่ห้อ EPSON รุ่น EB-X04</t>
  </si>
  <si>
    <t>404-610305-00001</t>
  </si>
  <si>
    <t>447-61-0032</t>
  </si>
  <si>
    <t>ตู้ควบคุมระบบไฟฟ้า ประกอบด้วย รางเคเบิ้ลเทรย์ สายเมนไฟฟ้า ตู้เมน</t>
  </si>
  <si>
    <t>403-610405-00001</t>
  </si>
  <si>
    <t>466-61-0040</t>
  </si>
  <si>
    <t xml:space="preserve"> 5 เม.ย. 61</t>
  </si>
  <si>
    <t>เครื่องคอมพิวเตอร์ ยี่ห้อ Acer รุ่น Verition Essential S2710G</t>
  </si>
  <si>
    <t>410-621111-00040</t>
  </si>
  <si>
    <t>416-62-1319</t>
  </si>
  <si>
    <t xml:space="preserve"> 16 ต.ค. 61</t>
  </si>
  <si>
    <t>จอภาพ ยี่ห้อ Acer ขนาด 19.5 นิ้ว</t>
  </si>
  <si>
    <t>410-621111-00041</t>
  </si>
  <si>
    <t>416-62-1320</t>
  </si>
  <si>
    <t>410-621111-00042</t>
  </si>
  <si>
    <t>416-62-1321</t>
  </si>
  <si>
    <t>410-621111-00043</t>
  </si>
  <si>
    <t>416-62-1322</t>
  </si>
  <si>
    <t>เครื่องคอมพิวเตอร์โน๊ตบุ๊ค ยี่ห้อ Acer รุ่น TMP249 พร้อมกระเป๋า และ Mouse ML</t>
  </si>
  <si>
    <t>410-621111-00044</t>
  </si>
  <si>
    <t>416-62-1323</t>
  </si>
  <si>
    <t xml:space="preserve">ชุดไมค์ลอยพร้อมตัวรับสัญญาณ ยี่ห้อ NTS รุ่น SL-802 </t>
  </si>
  <si>
    <t>403-62111-00302</t>
  </si>
  <si>
    <t>458-62-0194</t>
  </si>
  <si>
    <t xml:space="preserve"> 30 พ.ย. 61</t>
  </si>
  <si>
    <t>ไมค์สายคุณภาพดี ยี่ห้อ NTS รุ่น B.58 จำนวน 2 อัน</t>
  </si>
  <si>
    <t>403-62111-00303</t>
  </si>
  <si>
    <t>458-62-0195</t>
  </si>
  <si>
    <t>ลำโพงขนาด 12 นิ้ว กำลังไฟ 500 วัตต์ ยี่ห้อ PROEURO TECH รุ่น B:12 พร้อมขาตั้งลำโพง ยี่ห้อ LOSEN        รุ่น SP-306 สีดำ</t>
  </si>
  <si>
    <t>403-62111-00282</t>
  </si>
  <si>
    <t>459-62-0983</t>
  </si>
  <si>
    <t>403-62111-00283</t>
  </si>
  <si>
    <t>459-62-0984</t>
  </si>
  <si>
    <t>ลำโพงขนาด 6 นิ้ว กำลังไฟ 30วัตต์ ยี่ห้อ NPE รุ่น HB-602T</t>
  </si>
  <si>
    <t>403-62111-00284</t>
  </si>
  <si>
    <t>459-62-0985</t>
  </si>
  <si>
    <t>403-62111-00285</t>
  </si>
  <si>
    <t>459-62-0986</t>
  </si>
  <si>
    <t>403-62111-00286</t>
  </si>
  <si>
    <t>459-62-0987</t>
  </si>
  <si>
    <t>403-62111-00287</t>
  </si>
  <si>
    <t>459-62-0988</t>
  </si>
  <si>
    <t>403-62111-00288</t>
  </si>
  <si>
    <t>459-62-0989</t>
  </si>
  <si>
    <t>403-62111-00289</t>
  </si>
  <si>
    <t>459-62-0990</t>
  </si>
  <si>
    <t>403-62111-00290</t>
  </si>
  <si>
    <t>459-62-0991</t>
  </si>
  <si>
    <t>403-62111-00291</t>
  </si>
  <si>
    <t>459-62-0992</t>
  </si>
  <si>
    <t>403-62111-00292</t>
  </si>
  <si>
    <t>459-62-0993</t>
  </si>
  <si>
    <t>403-62111-00293</t>
  </si>
  <si>
    <t>459-62-0994</t>
  </si>
  <si>
    <t>403-62111-00294</t>
  </si>
  <si>
    <t>459-62-0995</t>
  </si>
  <si>
    <t>403-62111-00295</t>
  </si>
  <si>
    <t>459-62-0996</t>
  </si>
  <si>
    <t>403-62111-00296</t>
  </si>
  <si>
    <t>459-62-0997</t>
  </si>
  <si>
    <t>403-62111-00297</t>
  </si>
  <si>
    <t>459-62-0998</t>
  </si>
  <si>
    <t xml:space="preserve">Mixer Stereo 8 Channel สีดำ ยี่ห้อ NTS </t>
  </si>
  <si>
    <t>403-62111-00298</t>
  </si>
  <si>
    <t>462-62-0350</t>
  </si>
  <si>
    <t>Amplifier Stereo 500 วัตต์ ยี่ห้อ NPE</t>
  </si>
  <si>
    <t>403-62111-00299</t>
  </si>
  <si>
    <t>462-62-0351</t>
  </si>
  <si>
    <t>Amplifier Stereo 1000 วัตต์ ยี่ห้อActor พร้อมตู้แร็คใส่เครื่องเสียง</t>
  </si>
  <si>
    <t>403-62111-00300</t>
  </si>
  <si>
    <t>462-62-0352</t>
  </si>
  <si>
    <t>Crossover ยี่ห้อ NTS สีดำ</t>
  </si>
  <si>
    <t>403-62111-00301</t>
  </si>
  <si>
    <t>462-62-0353</t>
  </si>
  <si>
    <t>เก้าอี้เบาะหนังมีพนักพิง ขนาด กว้าง 45 ซม. สูง 45-90 ซม.</t>
  </si>
  <si>
    <t>401-62111-00209</t>
  </si>
  <si>
    <t>401-62-9316</t>
  </si>
  <si>
    <t>401-62111-00210</t>
  </si>
  <si>
    <t>401-62-9317</t>
  </si>
  <si>
    <t>401-62111-00211</t>
  </si>
  <si>
    <t>401-62-9318</t>
  </si>
  <si>
    <t>เครื่องปรับอากาศแบบแยกส่วนขนาด 15,424 BTU สีขาว  ยี่ห้อ SAIJO DENKI รุ่น SSU-13E-D-STMP1/SOR-46E-D-STMP1</t>
  </si>
  <si>
    <t>401-62111-00228</t>
  </si>
  <si>
    <t>420-62-0317</t>
  </si>
  <si>
    <t>เครื่องปรับอากาศแบบแยกส่วนขนาด 26,393 BTU สีขาว ยี่ห้อ SAIJO DENKI รุ่น SSU-2SE-D-STMP1/SOR-2SE-D-STMP1</t>
  </si>
  <si>
    <t>401-62111-00229</t>
  </si>
  <si>
    <t>420-62-0318</t>
  </si>
  <si>
    <t>401-62111-00230</t>
  </si>
  <si>
    <t>420-62-0319</t>
  </si>
  <si>
    <t>401-62111-00231</t>
  </si>
  <si>
    <t>420-62-0320</t>
  </si>
  <si>
    <t>401-62111-00232</t>
  </si>
  <si>
    <t>420-62-0321</t>
  </si>
  <si>
    <t>401-62111-00233</t>
  </si>
  <si>
    <t>420-62-0322</t>
  </si>
  <si>
    <t>เครื่องปรับอากาศแบบแยกส่วนขนาด 30,000 BTU สีขาว     ยี่ห้อ SAIJO DENKI</t>
  </si>
  <si>
    <t>401-62111-00234</t>
  </si>
  <si>
    <t>420-62-0323</t>
  </si>
  <si>
    <t xml:space="preserve">เครื่องปรับอากาศแบบแยกส่วนขนาด 30,000 BTU สีขาว     ยี่ห้อ SAIJO DENKI </t>
  </si>
  <si>
    <t>401-62111-00235</t>
  </si>
  <si>
    <t>420-62-0324</t>
  </si>
  <si>
    <t>พัดลมโคจรติดผนังเพดานหรือผนังอาคาร ขนาด 18 นิ้ว สีขาว ยี่ห้อ MIRA รุ่น M-1832</t>
  </si>
  <si>
    <t>401-62111-00236</t>
  </si>
  <si>
    <t>432-62-1013</t>
  </si>
  <si>
    <t>401-62111-00237</t>
  </si>
  <si>
    <t>432-62-1014</t>
  </si>
  <si>
    <t>401-62111-00238</t>
  </si>
  <si>
    <t>432-62-1015</t>
  </si>
  <si>
    <t>401-62111-00239</t>
  </si>
  <si>
    <t>432-62-1016</t>
  </si>
  <si>
    <t>401-62111-00240</t>
  </si>
  <si>
    <t>432-62-1017</t>
  </si>
  <si>
    <t>401-62111-00241</t>
  </si>
  <si>
    <t>432-62-1018</t>
  </si>
  <si>
    <t>401-62111-00242</t>
  </si>
  <si>
    <t>432-62-1019</t>
  </si>
  <si>
    <t>401-62111-00243</t>
  </si>
  <si>
    <t>432-62-1020</t>
  </si>
  <si>
    <t>401-62111-00244</t>
  </si>
  <si>
    <t>432-62-1021</t>
  </si>
  <si>
    <t>401-62111-00245</t>
  </si>
  <si>
    <t>432-62-1022</t>
  </si>
  <si>
    <t>401-62111-00246</t>
  </si>
  <si>
    <t>432-62-1023</t>
  </si>
  <si>
    <t>401-62111-00247</t>
  </si>
  <si>
    <t>432-62-1024</t>
  </si>
  <si>
    <t>401-62111-00249</t>
  </si>
  <si>
    <t>432-62-1026</t>
  </si>
  <si>
    <t>401-62111-00250</t>
  </si>
  <si>
    <t>432-62-1027</t>
  </si>
  <si>
    <t>401-62111-00251</t>
  </si>
  <si>
    <t>432-62-1028</t>
  </si>
  <si>
    <t>401-62111-00252</t>
  </si>
  <si>
    <t>432-62-1029</t>
  </si>
  <si>
    <t>401-62111-00253</t>
  </si>
  <si>
    <t>432-62-1030</t>
  </si>
  <si>
    <t>401-62111-00254</t>
  </si>
  <si>
    <t>432-62-1031</t>
  </si>
  <si>
    <t>401-62111-00255</t>
  </si>
  <si>
    <t>432-62-1032</t>
  </si>
  <si>
    <t>401-62111-00256</t>
  </si>
  <si>
    <t>432-62-1033</t>
  </si>
  <si>
    <t>401-62111-00257</t>
  </si>
  <si>
    <t>432-62-1034</t>
  </si>
  <si>
    <t>401-62111-00258</t>
  </si>
  <si>
    <t>432-62-1035</t>
  </si>
  <si>
    <t>401-62111-00259</t>
  </si>
  <si>
    <t>432-62-1036</t>
  </si>
  <si>
    <t>401-62111-00260</t>
  </si>
  <si>
    <t>432-62-1037</t>
  </si>
  <si>
    <t>401-62111-00261</t>
  </si>
  <si>
    <t>432-62-1038</t>
  </si>
  <si>
    <t>401-62111-00262</t>
  </si>
  <si>
    <t>432-62-1039</t>
  </si>
  <si>
    <t>401-62111-00263</t>
  </si>
  <si>
    <t>432-62-1040</t>
  </si>
  <si>
    <t>401-62111-00264</t>
  </si>
  <si>
    <t>432-62-1041</t>
  </si>
  <si>
    <t>401-62111-00265</t>
  </si>
  <si>
    <t>432-62-1042</t>
  </si>
  <si>
    <t>401-62111-00266</t>
  </si>
  <si>
    <t>432-62-1043</t>
  </si>
  <si>
    <t>401-62111-00267</t>
  </si>
  <si>
    <t>432-62-1044</t>
  </si>
  <si>
    <t>401-62111-00268</t>
  </si>
  <si>
    <t>432-62-1045</t>
  </si>
  <si>
    <t>401-62111-00269</t>
  </si>
  <si>
    <t>432-62-1046</t>
  </si>
  <si>
    <t>401-62111-00270</t>
  </si>
  <si>
    <t>432-62-1047</t>
  </si>
  <si>
    <t>ผ้าม่านหน้าต่าง 2 ชั้น พร้อมอุปกรณ์ สีครีม</t>
  </si>
  <si>
    <t>412-62111-00017</t>
  </si>
  <si>
    <t>434-62-0039</t>
  </si>
  <si>
    <t>412-62111-00018</t>
  </si>
  <si>
    <t>434-62-0040</t>
  </si>
  <si>
    <t>412-62111-00019</t>
  </si>
  <si>
    <t>434-62-0041</t>
  </si>
  <si>
    <t>412-62111-00020</t>
  </si>
  <si>
    <t>434-62-0042</t>
  </si>
  <si>
    <t>412-62111-00021</t>
  </si>
  <si>
    <t>434-62-0043</t>
  </si>
  <si>
    <t>412-62111-00022</t>
  </si>
  <si>
    <t>434-62-0044</t>
  </si>
  <si>
    <t>412-62111-00023</t>
  </si>
  <si>
    <t>434-62-0045</t>
  </si>
  <si>
    <t>412-62111-00024</t>
  </si>
  <si>
    <t>434-62-0046</t>
  </si>
  <si>
    <t>412-62111-00025</t>
  </si>
  <si>
    <t>434-62-0047</t>
  </si>
  <si>
    <t>412-62111-00026</t>
  </si>
  <si>
    <t>434-62-0048</t>
  </si>
  <si>
    <t>412-62111-00027</t>
  </si>
  <si>
    <t>434-62-0049</t>
  </si>
  <si>
    <t>412-62111-00028</t>
  </si>
  <si>
    <t>434-62-0050</t>
  </si>
  <si>
    <t>412-62111-00029</t>
  </si>
  <si>
    <t>434-62-0051</t>
  </si>
  <si>
    <t>412-62111-00030</t>
  </si>
  <si>
    <t>434-62-0052</t>
  </si>
  <si>
    <t>412-62111-00031</t>
  </si>
  <si>
    <t>434-62-0053</t>
  </si>
  <si>
    <t>412-62111-00032</t>
  </si>
  <si>
    <t>434-62-0054</t>
  </si>
  <si>
    <t>412-62111-00033</t>
  </si>
  <si>
    <t>434-62-0055</t>
  </si>
  <si>
    <t>412-62111-00034</t>
  </si>
  <si>
    <t>434-62-0056</t>
  </si>
  <si>
    <t>412-62111-00035</t>
  </si>
  <si>
    <t>434-62-0057</t>
  </si>
  <si>
    <t>412-62111-00036</t>
  </si>
  <si>
    <t>434-62-0058</t>
  </si>
  <si>
    <t>412-62111-00037</t>
  </si>
  <si>
    <t>434-62-0059</t>
  </si>
  <si>
    <t>412-62111-00038</t>
  </si>
  <si>
    <t>434-62-0060</t>
  </si>
  <si>
    <t>412-62111-00039</t>
  </si>
  <si>
    <t>434-62-0061</t>
  </si>
  <si>
    <t>412-62111-00040</t>
  </si>
  <si>
    <t>434-62-0062</t>
  </si>
  <si>
    <t>412-62111-00041</t>
  </si>
  <si>
    <t>434-62-0063</t>
  </si>
  <si>
    <t>412-62111-00042</t>
  </si>
  <si>
    <t>434-62-0064</t>
  </si>
  <si>
    <t>412-62111-00043</t>
  </si>
  <si>
    <t>434-62-0065</t>
  </si>
  <si>
    <t>ผ้าม่านหลุยส์ 2 ชั้น พร้อมอุปกรณ์ สีครีม</t>
  </si>
  <si>
    <t>412-62111-00044</t>
  </si>
  <si>
    <t>434-62-0066</t>
  </si>
  <si>
    <t>412-62111-00045</t>
  </si>
  <si>
    <t>434-62-0067</t>
  </si>
  <si>
    <t>412-62111-00046</t>
  </si>
  <si>
    <t>434-62-0068</t>
  </si>
  <si>
    <t>ชั้นวางหนังสือโครงเหล็ก 5 ชั้น ขนาด 96x49x200 ซม. ยี่ห้อ TAIYO</t>
  </si>
  <si>
    <t>401-62111-00212</t>
  </si>
  <si>
    <t>404-62-0285</t>
  </si>
  <si>
    <t xml:space="preserve"> 22 ก.พ. 62</t>
  </si>
  <si>
    <t>401-62111-00213</t>
  </si>
  <si>
    <t>404-62-0286</t>
  </si>
  <si>
    <t>401-62111-00214</t>
  </si>
  <si>
    <t>404-62-0287</t>
  </si>
  <si>
    <t>401-62111-00215</t>
  </si>
  <si>
    <t>404-62-0288</t>
  </si>
  <si>
    <t>401-62111-00216</t>
  </si>
  <si>
    <t>404-62-0289</t>
  </si>
  <si>
    <t>401-62111-00217</t>
  </si>
  <si>
    <t>404-62-0290</t>
  </si>
  <si>
    <t>401-62111-00218</t>
  </si>
  <si>
    <t>404-62-0291</t>
  </si>
  <si>
    <t>401-62111-00219</t>
  </si>
  <si>
    <t>404-62-0292</t>
  </si>
  <si>
    <t>401-62111-00220</t>
  </si>
  <si>
    <t>404-62-0293</t>
  </si>
  <si>
    <t>401-62111-00221</t>
  </si>
  <si>
    <t>404-62-0294</t>
  </si>
  <si>
    <t>401-62111-00222</t>
  </si>
  <si>
    <t>404-62-0295</t>
  </si>
  <si>
    <t>401-62111-00223</t>
  </si>
  <si>
    <t>404-62-0296</t>
  </si>
  <si>
    <t>401-62111-00224</t>
  </si>
  <si>
    <t>404-62-0297</t>
  </si>
  <si>
    <t>401-62111-00225</t>
  </si>
  <si>
    <t>404-62-0298</t>
  </si>
  <si>
    <t>401-62111-00226</t>
  </si>
  <si>
    <t>404-62-0299</t>
  </si>
  <si>
    <t>401-62111-00227</t>
  </si>
  <si>
    <t>404-62-0300</t>
  </si>
  <si>
    <t>จอคอมพิวเตอร์แม่ข่าย ยี่ห้อ Acer รุ่น AT350 F3</t>
  </si>
  <si>
    <t>410-631012-00049</t>
  </si>
  <si>
    <t>416-63-1394</t>
  </si>
  <si>
    <t>CPU คอมพิวเตอร์แม่ข่าย แบบที่ 1 ยี่ห้อ Acer รุ่น AT350 F3</t>
  </si>
  <si>
    <t>410-631012-00050</t>
  </si>
  <si>
    <t>416-63-1395</t>
  </si>
  <si>
    <t>410-631012-00051</t>
  </si>
  <si>
    <t>416-63-1406</t>
  </si>
  <si>
    <t>เครื่องสำรองไฟ ขนาด 2KVA ยี่ห้อ Syndome รุ่น Atom-2000LCD</t>
  </si>
  <si>
    <t>410-631012-00052</t>
  </si>
  <si>
    <t>416-63-1417</t>
  </si>
  <si>
    <t>เครื่องสำรองไฟ ขนาด 3KVA ยี่ห้อ Syndome รุ่น HERT-3k</t>
  </si>
  <si>
    <t>410-631012-00053</t>
  </si>
  <si>
    <t>416-63-1418</t>
  </si>
  <si>
    <t xml:space="preserve"> มิวเซียมลำปาง</t>
  </si>
  <si>
    <t>อุปกรณ์กระจายสัญญาณ(L2 Switch) ขนาด 24 ช่อง ยี่ห้อ TP-Link</t>
  </si>
  <si>
    <t>410-631012-00054</t>
  </si>
  <si>
    <t>416-63-1419</t>
  </si>
  <si>
    <t>410-631012-00055</t>
  </si>
  <si>
    <t>416-63-1420</t>
  </si>
  <si>
    <t>410-631012-00056</t>
  </si>
  <si>
    <t>416-63-1421</t>
  </si>
  <si>
    <t>อุปกรณ์กระจายสัญญาณ (Access Point) ยี่ห้อ Tp-Link</t>
  </si>
  <si>
    <t>410-631012-00057</t>
  </si>
  <si>
    <t>416-63-1422</t>
  </si>
  <si>
    <t>410-631012-00058</t>
  </si>
  <si>
    <t>416-63-1423</t>
  </si>
  <si>
    <t>อุปกรณ์จัดเก็บ Log File ระบบเครือข่าย ยี่ห้อ Sran Light</t>
  </si>
  <si>
    <t>410-631012-00059</t>
  </si>
  <si>
    <t>416-63-1424</t>
  </si>
  <si>
    <t>ชุดไมค์ลอย 2 ตัว พร้อมรับสัญญาณ</t>
  </si>
  <si>
    <t>403-631012-00068</t>
  </si>
  <si>
    <t>458-63-0200</t>
  </si>
  <si>
    <t xml:space="preserve"> 30 มี.ค. 63</t>
  </si>
  <si>
    <t>งานพิพิธภัณฑ์(มิวเซียม)</t>
  </si>
  <si>
    <t>ไมค์สายคุณภาพดี พร้อมงานเดินสายไมค์</t>
  </si>
  <si>
    <t>403-631012-00069</t>
  </si>
  <si>
    <t>458-63-0201</t>
  </si>
  <si>
    <t>403-631012-00070</t>
  </si>
  <si>
    <t>458-63-0202</t>
  </si>
  <si>
    <t>ลำโพงซับ 6" 30 W ชนิด LINE</t>
  </si>
  <si>
    <t>403-631012-00061</t>
  </si>
  <si>
    <t>459-63-1096</t>
  </si>
  <si>
    <t>ลำโพงซับ 15 "</t>
  </si>
  <si>
    <t>403-631012-00062</t>
  </si>
  <si>
    <t>459-63-1098</t>
  </si>
  <si>
    <t>ลำโพงเสียงกลาง-สูง 6" 30 W ชนิด LINE พร้อมงานเดินสายลำโพง 50 เมตร</t>
  </si>
  <si>
    <t>403-631012-00063</t>
  </si>
  <si>
    <t>459-63-1097</t>
  </si>
  <si>
    <t>MixcerDtereo8channel พร้อม ราง Wildway เหล็ก 4x2</t>
  </si>
  <si>
    <t>403-631012-00064</t>
  </si>
  <si>
    <t>462-63-0362</t>
  </si>
  <si>
    <t>ตู้แร็คใส่เครื่องเสียงลึก 19 " พร้อม AmpliflerSterco 500 w</t>
  </si>
  <si>
    <t>403-631012-00065</t>
  </si>
  <si>
    <t>462-63-0363</t>
  </si>
  <si>
    <t>Amplifierco 100 w</t>
  </si>
  <si>
    <t>403-631012-00066</t>
  </si>
  <si>
    <t>462-63-0364</t>
  </si>
  <si>
    <t>Crossover</t>
  </si>
  <si>
    <t>403-631012-00067</t>
  </si>
  <si>
    <t>462-63-0365</t>
  </si>
  <si>
    <t>ป้ายตัวหนังสือแผ่นทองเหลืองหนาไม่น้อยกว่า 0.7 มม กัดกรด 1 สี รองฐานป้าย MDF หนาไม่น้อยกว่า 8 มม.</t>
  </si>
  <si>
    <t>401-631012-00293</t>
  </si>
  <si>
    <t>081-63-0019</t>
  </si>
  <si>
    <t>งานพิพิธภัณฑ์ (มิวเซียม)</t>
  </si>
  <si>
    <t>401-631012-00294</t>
  </si>
  <si>
    <t>081-63-0020</t>
  </si>
  <si>
    <t>401-631012-00295</t>
  </si>
  <si>
    <t>081-63-0021</t>
  </si>
  <si>
    <t>401-631012-00296</t>
  </si>
  <si>
    <t>081-63-0022</t>
  </si>
  <si>
    <t>401-631012-00297</t>
  </si>
  <si>
    <t>081-63-0023</t>
  </si>
  <si>
    <t>401-631012-00298</t>
  </si>
  <si>
    <t>081-63-0024</t>
  </si>
  <si>
    <t>401-631012-00299</t>
  </si>
  <si>
    <t>081-63-0025</t>
  </si>
  <si>
    <t>401-631012-00300</t>
  </si>
  <si>
    <t>081-63-0026</t>
  </si>
  <si>
    <t>401-631012-00301</t>
  </si>
  <si>
    <t>081-63-0027</t>
  </si>
  <si>
    <t>401-631012-00302</t>
  </si>
  <si>
    <t>081-63-0028</t>
  </si>
  <si>
    <t>401-631012-00303</t>
  </si>
  <si>
    <t>081-63-0029</t>
  </si>
  <si>
    <t>401-631012-00304</t>
  </si>
  <si>
    <t>081-63-0030</t>
  </si>
  <si>
    <t>ป้ายหนีไฟแบบมีไฟส่องสว่างติดบนเพดาน</t>
  </si>
  <si>
    <t>401-631012-00305</t>
  </si>
  <si>
    <t>081-63-0031</t>
  </si>
  <si>
    <t>401-631012-00306</t>
  </si>
  <si>
    <t>081-63-0032</t>
  </si>
  <si>
    <t>401-631012-00307</t>
  </si>
  <si>
    <t>081-63-0033</t>
  </si>
  <si>
    <t>401-631012-00308</t>
  </si>
  <si>
    <t>081-63-0034</t>
  </si>
  <si>
    <t>ป้ายประชาสัมพันธ์ตารางการแสดงอะคริลิคใส       ขนาดไม่น้อยกว่า 31x39 ซม. หนาไม่น้อยกว่า 5 มม ประกบพร้อมน็อตโชว์สีน้ำเงิน</t>
  </si>
  <si>
    <t>401-631012-00309</t>
  </si>
  <si>
    <t>081-63-0035</t>
  </si>
  <si>
    <t>ป้ายบอกเวลาเปิด-ปิดสแตนเลสกรดสีเงิน ขนาดไม่น้อยกว่า 40x30 ซม. หนาไม่น้อยกว่า 0.70 ซม กัดกรด 1 สี ยืดน็อต โชว์สีเงิน 4 ตัว</t>
  </si>
  <si>
    <t>401-631012-00310</t>
  </si>
  <si>
    <t>081-63-0036</t>
  </si>
  <si>
    <t>โต๊ะทำงาน 3 ลิ้นชัก เมลาท็อปหนา 2.5 มม. ขนาด 75x1</t>
  </si>
  <si>
    <t>401-631012-00245</t>
  </si>
  <si>
    <t>400-63-6664</t>
  </si>
  <si>
    <t>401-631012-00249</t>
  </si>
  <si>
    <t>400-63-6665</t>
  </si>
  <si>
    <t>401-631012-00250</t>
  </si>
  <si>
    <t>400-63-6666</t>
  </si>
  <si>
    <t>401-631012-00251</t>
  </si>
  <si>
    <t>400-63-6667</t>
  </si>
  <si>
    <t>โต๊ะทำงานลิ้นชักเมลมิลท็อปหนา 2.2 มม. ขนาด 75X1</t>
  </si>
  <si>
    <t>401-631012-00316</t>
  </si>
  <si>
    <t>400-63-6668</t>
  </si>
  <si>
    <t>401-631012-00318</t>
  </si>
  <si>
    <t>400-63-6669</t>
  </si>
  <si>
    <t>โต๊ะวางคอมพิวเตอร์หน้าโต๊ะปิดผิวเมลามิล มีชั้นวางคีย์บอร์ดและเมาส์โดยใช้รางเลื่อนมีลิ้นชักและกุญแจสำหรับเปิด-ปิดมีชั้นวาง CPU ขนาด 120x60x75</t>
  </si>
  <si>
    <t>401-631012-00336</t>
  </si>
  <si>
    <t>400-63-6670</t>
  </si>
  <si>
    <t>401-631012-00337</t>
  </si>
  <si>
    <t>400-63-6671</t>
  </si>
  <si>
    <t>โต๊ะวางคอมพิวเตอร์หน้าโต๊ะปิดผิวเมลามิล มีชั้นวางคีย์บอร์ดและเมาส์โดยใช้รางเลื่อนมีลิ้นชักและกุญแจสำหรับเปิด-ปิดมีชั้นวาง CPU ขนาด 120x60x76</t>
  </si>
  <si>
    <t>401-631012-00338</t>
  </si>
  <si>
    <t>400-63-6672</t>
  </si>
  <si>
    <t>โต๊ะวางคอมพิวเตอร์หน้าโต๊ะปิดผิวเมลามิลมีชั้นวางคีย์บอร์ดและเมาส์โดยใช้รางเลื่อนมีลิ้นชักและกุญแจสำหรับเปิด-ปิดมีชั้นวาง CPU ขนาด 120x60x76</t>
  </si>
  <si>
    <t>401-631012-00339</t>
  </si>
  <si>
    <t>400-63-6673</t>
  </si>
  <si>
    <t>401-631012-00340</t>
  </si>
  <si>
    <t>400-63-6674</t>
  </si>
  <si>
    <t>401-631012-00341</t>
  </si>
  <si>
    <t>400-63-6675</t>
  </si>
  <si>
    <t>โต๊ะวางคอมพิวเตอร์หน้าโต๊ะปิดผิวเมลามิล มีชั้นวางคีย์บอร์ดและเมาส์โดยใช้รางเลื่อนมีลิ้นชักและกุญแจสำหรับเปิด-ปิดมีชั้นวาง CPU ขนาด 120x60x77</t>
  </si>
  <si>
    <t>401-631012-00342</t>
  </si>
  <si>
    <t>400-63-6676</t>
  </si>
  <si>
    <t>โต๊ะวางคอมพิวเตอร์หน้าโต๊ะปิดผิวเมลามิลมีชั้นวางคีย์บอร์ดและเมาส์โดยใช้รางเลื่อนมีลิ้นชักและกุญแจสำหรับเปิด-ปิดมีชั้นวาง CPU ขนาด 120x60x77</t>
  </si>
  <si>
    <t>401-631012-00343</t>
  </si>
  <si>
    <t>400-63-6677</t>
  </si>
  <si>
    <t>โต๊ะพับเอนกประสงค์หน้าโต๊ะติดโฟเมก้าสีขาว โครงขาเหล็กชุบโครเมียม ขนาด 60x150x75 ซม.</t>
  </si>
  <si>
    <t>401-640308-00001</t>
  </si>
  <si>
    <t>400-63-6678</t>
  </si>
  <si>
    <t>401-640308-00002</t>
  </si>
  <si>
    <t>400-63-6679</t>
  </si>
  <si>
    <t>401-640308-00003</t>
  </si>
  <si>
    <t>400-63-6680</t>
  </si>
  <si>
    <t>401-640308-00004</t>
  </si>
  <si>
    <t>400-63-6681</t>
  </si>
  <si>
    <t>401-640308-00005</t>
  </si>
  <si>
    <t>400-63-6682</t>
  </si>
  <si>
    <t>401-640308-00006</t>
  </si>
  <si>
    <t>400-63-6683</t>
  </si>
  <si>
    <t>401-640308-0007</t>
  </si>
  <si>
    <t>400-63-6684</t>
  </si>
  <si>
    <t>401-640308-0008</t>
  </si>
  <si>
    <t>400-63-6685</t>
  </si>
  <si>
    <t>401-640308-0009</t>
  </si>
  <si>
    <t>400-63-6686</t>
  </si>
  <si>
    <t>401-640308-0010</t>
  </si>
  <si>
    <t>400-63-6687</t>
  </si>
  <si>
    <t>401-640308-0011</t>
  </si>
  <si>
    <t>400-63-6688</t>
  </si>
  <si>
    <t>401-640308-0012</t>
  </si>
  <si>
    <t>400-63-6689</t>
  </si>
  <si>
    <t>401-640308-0013</t>
  </si>
  <si>
    <t>400-63-6690</t>
  </si>
  <si>
    <t>401-640308-0014</t>
  </si>
  <si>
    <t>400-63-6691</t>
  </si>
  <si>
    <t>401-640308-0015</t>
  </si>
  <si>
    <t>400-63-6692</t>
  </si>
  <si>
    <t>401-640308-0016</t>
  </si>
  <si>
    <t>400-63-6693</t>
  </si>
  <si>
    <t>401-640308-0017</t>
  </si>
  <si>
    <t>400-63-6694</t>
  </si>
  <si>
    <t>401-640308-0018</t>
  </si>
  <si>
    <t>400-63-6695</t>
  </si>
  <si>
    <t>401-640308-0019</t>
  </si>
  <si>
    <t>400-63-6696</t>
  </si>
  <si>
    <t>401-640308-0020</t>
  </si>
  <si>
    <t>400-63-6697</t>
  </si>
  <si>
    <t>โต๊ะกลมสำหรับอ่านหนังสือหน้าโต๊ะปิดผิวเมลาเนต 100 ซม. สูง 75 ซม.</t>
  </si>
  <si>
    <t>401-631012-00364</t>
  </si>
  <si>
    <t>400-63-6698</t>
  </si>
  <si>
    <t>401-631012-00365</t>
  </si>
  <si>
    <t>400-63-6699</t>
  </si>
  <si>
    <t>401-631012-00366</t>
  </si>
  <si>
    <t>400-63-6700</t>
  </si>
  <si>
    <t>401-631012-00367</t>
  </si>
  <si>
    <t>400-63-6701</t>
  </si>
  <si>
    <t>เก้าอี้ทำงานเบาะหนังที่ท้าวแขนมีพนักพิงขนาด 5x57x89 ซม.</t>
  </si>
  <si>
    <t>401-631012-00232</t>
  </si>
  <si>
    <t>401-63-9430</t>
  </si>
  <si>
    <t>401-631012-00233</t>
  </si>
  <si>
    <t>401-63-9431</t>
  </si>
  <si>
    <t>401-631012-00234</t>
  </si>
  <si>
    <t>401-63-9432</t>
  </si>
  <si>
    <t>401-631012-00246</t>
  </si>
  <si>
    <t>401-63-9433</t>
  </si>
  <si>
    <t>เก้าอี้เอนกประสงค์ชนิดหุ้มเบาะมีพนักพิง</t>
  </si>
  <si>
    <t>401-631012-00247</t>
  </si>
  <si>
    <t>401-63-9434</t>
  </si>
  <si>
    <t>401-631012-00248</t>
  </si>
  <si>
    <t>401-63-9435</t>
  </si>
  <si>
    <t>เก้าอี้ทำงานเบาะหนังมีที่ท้าวแขนมีพนักพิงขนาด 57x57x89 ซม.</t>
  </si>
  <si>
    <t>401-631012-00252</t>
  </si>
  <si>
    <t>401-63-9436</t>
  </si>
  <si>
    <t>401-631012-00253</t>
  </si>
  <si>
    <t>401-63-9437</t>
  </si>
  <si>
    <t>401-631012-00254</t>
  </si>
  <si>
    <t>401-63-9438</t>
  </si>
  <si>
    <t>401-631012-00255</t>
  </si>
  <si>
    <t>401-63-9439</t>
  </si>
  <si>
    <t>401-631012-00256</t>
  </si>
  <si>
    <t>401-63-9440</t>
  </si>
  <si>
    <t>401-631012-00257</t>
  </si>
  <si>
    <t>401-63-9441</t>
  </si>
  <si>
    <t>401-631012-00258</t>
  </si>
  <si>
    <t>401-63-9442</t>
  </si>
  <si>
    <t>401-631012-00259</t>
  </si>
  <si>
    <t>401-63-9443</t>
  </si>
  <si>
    <t>401-631012-00260</t>
  </si>
  <si>
    <t>401-63-9444</t>
  </si>
  <si>
    <t>เก้าอี้นั่งยาวหุ้มหวายกาหลงเคลือบน้ำยากันเชื้อราอย่างดีขนาดกว้าง 40 ซม</t>
  </si>
  <si>
    <t>401-631012-00264</t>
  </si>
  <si>
    <t>401-63-9445</t>
  </si>
  <si>
    <t>401-631012-00265</t>
  </si>
  <si>
    <t>401-63-9446</t>
  </si>
  <si>
    <t>401-631012-00266</t>
  </si>
  <si>
    <t>401-63-9447</t>
  </si>
  <si>
    <t>401-631012-00267</t>
  </si>
  <si>
    <t>401-63-9448</t>
  </si>
  <si>
    <t>401-631012-00268</t>
  </si>
  <si>
    <t>401-63-9449</t>
  </si>
  <si>
    <t>401-631012-00269</t>
  </si>
  <si>
    <t>401-63-9450</t>
  </si>
  <si>
    <t>401-631012-00270</t>
  </si>
  <si>
    <t>401-63-9451</t>
  </si>
  <si>
    <t>401-631012-00271</t>
  </si>
  <si>
    <t>401-63-9452</t>
  </si>
  <si>
    <t>401-631012-00272</t>
  </si>
  <si>
    <t>401-63-9453</t>
  </si>
  <si>
    <t>401-631012-00273</t>
  </si>
  <si>
    <t>401-63-9454</t>
  </si>
  <si>
    <t>401-631012-00274</t>
  </si>
  <si>
    <t>401-63-9455</t>
  </si>
  <si>
    <t>401-631012-00275</t>
  </si>
  <si>
    <t>401-63-9456</t>
  </si>
  <si>
    <t>401-631012-00276</t>
  </si>
  <si>
    <t>401-63-9457</t>
  </si>
  <si>
    <t>401-631012-00277</t>
  </si>
  <si>
    <t>401-63-9458</t>
  </si>
  <si>
    <t>401-631012-00278</t>
  </si>
  <si>
    <t>401-63-9459</t>
  </si>
  <si>
    <t>401-631012-00279</t>
  </si>
  <si>
    <t>401-63-9460</t>
  </si>
  <si>
    <t>401-631012-00280</t>
  </si>
  <si>
    <t>401-63-9461</t>
  </si>
  <si>
    <t>401-631012-00281</t>
  </si>
  <si>
    <t>401-63-9462</t>
  </si>
  <si>
    <t>401-631012-00282</t>
  </si>
  <si>
    <t>401-63-9463</t>
  </si>
  <si>
    <t>401-631012-00283</t>
  </si>
  <si>
    <t>401-63-9464</t>
  </si>
  <si>
    <t>401-631012-00284</t>
  </si>
  <si>
    <t>401-63-9465</t>
  </si>
  <si>
    <t>401-631012-00285</t>
  </si>
  <si>
    <t>401-63-9466</t>
  </si>
  <si>
    <t>401-631012-00286</t>
  </si>
  <si>
    <t>401-63-9467</t>
  </si>
  <si>
    <t>401-631012-00287</t>
  </si>
  <si>
    <t>401-63-9468</t>
  </si>
  <si>
    <t>เก้าอี้ทำงานเบาะหนังมีที่ท้าวแขนมีพนักพิง 57x57x89 ซม.</t>
  </si>
  <si>
    <t>401-631012-00317</t>
  </si>
  <si>
    <t>401-63-9469</t>
  </si>
  <si>
    <t>401-631012-00319</t>
  </si>
  <si>
    <t>401-63-9470</t>
  </si>
  <si>
    <t>เก้าอี้ทำงานเบาะหนังแบบมีพนักพิงมีที่ท้าวแขน       ปรับระดับสูงต่ำด้วยโช๊คไฮโดรลิก</t>
  </si>
  <si>
    <t>401-631012-00368</t>
  </si>
  <si>
    <t>401-63-9471</t>
  </si>
  <si>
    <t>401-631012-00369</t>
  </si>
  <si>
    <t>401-63-9472</t>
  </si>
  <si>
    <t>401-631012-00370</t>
  </si>
  <si>
    <t>401-63-9473</t>
  </si>
  <si>
    <t>401-631012-00371</t>
  </si>
  <si>
    <t>401-63-9474</t>
  </si>
  <si>
    <t>401-631012-00372</t>
  </si>
  <si>
    <t>401-63-9475</t>
  </si>
  <si>
    <t>401-631012-00373</t>
  </si>
  <si>
    <t>401-63-9476</t>
  </si>
  <si>
    <t>401-631012-00374</t>
  </si>
  <si>
    <t>401-63-9477</t>
  </si>
  <si>
    <t>401-631012-00375</t>
  </si>
  <si>
    <t>401-63-9478</t>
  </si>
  <si>
    <t>401-631012-00376</t>
  </si>
  <si>
    <t>401-63-9479</t>
  </si>
  <si>
    <t>401-631012-00377</t>
  </si>
  <si>
    <t>401-63-9480</t>
  </si>
  <si>
    <t>401-631012-00378</t>
  </si>
  <si>
    <t>401-63-9481</t>
  </si>
  <si>
    <t>401-631012-00379</t>
  </si>
  <si>
    <t>401-63-9482</t>
  </si>
  <si>
    <t>401-631012-00380</t>
  </si>
  <si>
    <t>401-63-9483</t>
  </si>
  <si>
    <t>401-631012-00381</t>
  </si>
  <si>
    <t>401-63-9484</t>
  </si>
  <si>
    <t>401-631012-00382</t>
  </si>
  <si>
    <t>401-63-9485</t>
  </si>
  <si>
    <t>401-631012-00383</t>
  </si>
  <si>
    <t>401-63-9486</t>
  </si>
  <si>
    <t>401-631012-00384</t>
  </si>
  <si>
    <t>401-63-9487</t>
  </si>
  <si>
    <t>401-631012-00385</t>
  </si>
  <si>
    <t>401-63-9488</t>
  </si>
  <si>
    <t>401-631012-00386</t>
  </si>
  <si>
    <t>401-63-9489</t>
  </si>
  <si>
    <t>401-631012-00387</t>
  </si>
  <si>
    <t>401-63-9490</t>
  </si>
  <si>
    <t>401-631012-00388</t>
  </si>
  <si>
    <t>401-63-9491</t>
  </si>
  <si>
    <t>401-631012-00389</t>
  </si>
  <si>
    <t>401-63-9492</t>
  </si>
  <si>
    <t>เก้าอี้เอนกประสงค์เบาะหนังขาเหล็กมีพนักพิง</t>
  </si>
  <si>
    <t>401-631012-00390</t>
  </si>
  <si>
    <t>401-63-9493</t>
  </si>
  <si>
    <t>401-631012-00391</t>
  </si>
  <si>
    <t>401-63-9494</t>
  </si>
  <si>
    <t>401-631012-00392</t>
  </si>
  <si>
    <t>401-63-9495</t>
  </si>
  <si>
    <t>401-631012-00393</t>
  </si>
  <si>
    <t>401-63-9496</t>
  </si>
  <si>
    <t>401-631012-00394</t>
  </si>
  <si>
    <t>401-63-9497</t>
  </si>
  <si>
    <t>401-631012-00395</t>
  </si>
  <si>
    <t>401-63-9498</t>
  </si>
  <si>
    <t>401-631012-00396</t>
  </si>
  <si>
    <t>401-63-9499</t>
  </si>
  <si>
    <t>401-631012-00397</t>
  </si>
  <si>
    <t>401-63-9500</t>
  </si>
  <si>
    <t>401-631012-00398</t>
  </si>
  <si>
    <t>401-63-9501</t>
  </si>
  <si>
    <t>401-631012-00399</t>
  </si>
  <si>
    <t>401-63-9502</t>
  </si>
  <si>
    <t>401-631012-00400</t>
  </si>
  <si>
    <t>401-63-9503</t>
  </si>
  <si>
    <t>401-631012-00401</t>
  </si>
  <si>
    <t>401-63-9504</t>
  </si>
  <si>
    <t>401-631012-00402</t>
  </si>
  <si>
    <t>401-63-9505</t>
  </si>
  <si>
    <t>401-631012-00403</t>
  </si>
  <si>
    <t>401-63-9506</t>
  </si>
  <si>
    <t>401-631012-00404</t>
  </si>
  <si>
    <t>401-63-9507</t>
  </si>
  <si>
    <t>401-631012-00405</t>
  </si>
  <si>
    <t>401-63-9508</t>
  </si>
  <si>
    <t>401-631012-00406</t>
  </si>
  <si>
    <t>401-63-9509</t>
  </si>
  <si>
    <t>401-631012-00407</t>
  </si>
  <si>
    <t>401-63-9510</t>
  </si>
  <si>
    <t>401-631012-00408</t>
  </si>
  <si>
    <t>401-63-9511</t>
  </si>
  <si>
    <t>401-631012-00409</t>
  </si>
  <si>
    <t>401-63-9512</t>
  </si>
  <si>
    <t>เก้าอี้สำหรับอ่านหนังสือแบบมีพนักพิงผลิตจากพลาสติกโทลีโพพีลีนขาชุบโครเมียม</t>
  </si>
  <si>
    <t>401-631012-00410</t>
  </si>
  <si>
    <t>401-63-9513</t>
  </si>
  <si>
    <t>401-631012-00411</t>
  </si>
  <si>
    <t>401-63-9514</t>
  </si>
  <si>
    <t>401-631012-00412</t>
  </si>
  <si>
    <t>401-63-9515</t>
  </si>
  <si>
    <t>401-631012-00413</t>
  </si>
  <si>
    <t>401-63-9516</t>
  </si>
  <si>
    <t>401-631012-00414</t>
  </si>
  <si>
    <t>401-63-9517</t>
  </si>
  <si>
    <t>401-631012-00415</t>
  </si>
  <si>
    <t>401-63-9518</t>
  </si>
  <si>
    <t>401-631012-00416</t>
  </si>
  <si>
    <t>401-63-9519</t>
  </si>
  <si>
    <t>401-631012-00417</t>
  </si>
  <si>
    <t>401-63-9520</t>
  </si>
  <si>
    <t>401-631012-00418</t>
  </si>
  <si>
    <t>401-63-9521</t>
  </si>
  <si>
    <t>401-631012-00419</t>
  </si>
  <si>
    <t>401-63-9522</t>
  </si>
  <si>
    <t>401-631012-00420</t>
  </si>
  <si>
    <t>401-63-9523</t>
  </si>
  <si>
    <t>401-631012-00421</t>
  </si>
  <si>
    <t>401-63-9524</t>
  </si>
  <si>
    <t>401-631012-00422</t>
  </si>
  <si>
    <t>401-63-9525</t>
  </si>
  <si>
    <t>401-631012-00423</t>
  </si>
  <si>
    <t>401-63-9526</t>
  </si>
  <si>
    <t>401-631012-00424</t>
  </si>
  <si>
    <t>401-63-9527</t>
  </si>
  <si>
    <t>401-631012-00425</t>
  </si>
  <si>
    <t>401-63-9528</t>
  </si>
  <si>
    <t>ชุดโซฟารับแขก(ชุดเล็ก)เบาะหนัง+โต๊ะกลางกระจก 1 ตัว  ขนาด 90x60x40 ซม. + โซฟา 3 ที่นั่ง จำนวน 1 ตัว       ขนาด 201x85x82 ซม. + โซฟา 1 ที่นั่ง จำนวน 2 ตัว     ขนาด 91x85 ซม</t>
  </si>
  <si>
    <t>401-631012-00334</t>
  </si>
  <si>
    <t>403-63-0196</t>
  </si>
  <si>
    <t>ชุดโซฟารับแขก (ชุดใหญ่)หุ้มผ้าหลุยส์+โต๊ะกลางกระจก 1 ตัว ขนาด 120x60x45 ซม.+โซฟา 1 ที่นั่งจำนวน 4 ตัว ขนาด 73 ซม.</t>
  </si>
  <si>
    <t>401-631012-00335</t>
  </si>
  <si>
    <t>403-63-0197</t>
  </si>
  <si>
    <t>ชั้นวางหนังสือ 3 ช่องผลิตจากไม้ปิดด้วยเมลามิล ขนาดความสูง 120 ซม</t>
  </si>
  <si>
    <t>401-631012-00324</t>
  </si>
  <si>
    <t>404-63-0304</t>
  </si>
  <si>
    <t>401-631012-00325</t>
  </si>
  <si>
    <t>404-63-0305</t>
  </si>
  <si>
    <t>401-631012-00326</t>
  </si>
  <si>
    <t>404-63-0306</t>
  </si>
  <si>
    <t>401-631012-00327</t>
  </si>
  <si>
    <t>404-63-0307</t>
  </si>
  <si>
    <t>401-631012-00328</t>
  </si>
  <si>
    <t>404-63-0308</t>
  </si>
  <si>
    <t>401-631012-00329</t>
  </si>
  <si>
    <t>404-63-0309</t>
  </si>
  <si>
    <t>401-631012-00330</t>
  </si>
  <si>
    <t>404-63-0310</t>
  </si>
  <si>
    <t>401-631012-00331</t>
  </si>
  <si>
    <t>404-63-0311</t>
  </si>
  <si>
    <t>401-631012-00332</t>
  </si>
  <si>
    <t>404-63-0312</t>
  </si>
  <si>
    <t>401-631012-00333</t>
  </si>
  <si>
    <t>404-63-0313</t>
  </si>
  <si>
    <t>ตู้ทรงสูงสำหรับเก็บอุปกรณ์โครงสร้างเป็นไม้ปาติเกิ้ล บอร์ดขนาดลึก 0.50 ยาว 1.20 สูง 2.00 มม.</t>
  </si>
  <si>
    <t>401-631012-00261</t>
  </si>
  <si>
    <t>406-63-1304</t>
  </si>
  <si>
    <t>401-631012-00262</t>
  </si>
  <si>
    <t>406-63-1305</t>
  </si>
  <si>
    <t>401-631012-00263</t>
  </si>
  <si>
    <t>406-63-1306</t>
  </si>
  <si>
    <t>ตู้เหล็กแบบ 4 ลิ้นชักมีหูลิ้นชัก (มอก)</t>
  </si>
  <si>
    <t>401-631012-00320</t>
  </si>
  <si>
    <t>406-63-1307</t>
  </si>
  <si>
    <t>401-631012-00321</t>
  </si>
  <si>
    <t>406-63-1308</t>
  </si>
  <si>
    <t>ตู้แฟ้มบานเก็ดสูงขนาด 80x40x163 ซม. โครงตู้ไม้   ปาร์ติเกิ้ลหนา 19 มม. ปิดผิว PVC ชั้นบนโล่ง 2 ชั้น    ชั้นล่าง 2 ชั้นมีบานเปิดกุญแจ</t>
  </si>
  <si>
    <t>401-631012-00322</t>
  </si>
  <si>
    <t>406-63-1309</t>
  </si>
  <si>
    <t>401-631012-00323</t>
  </si>
  <si>
    <t>406-63-1310</t>
  </si>
  <si>
    <t>เคาน์เตอร์จำหน่ายของที่ระลึก</t>
  </si>
  <si>
    <t>401-631012-00235</t>
  </si>
  <si>
    <t>427-63-0127</t>
  </si>
  <si>
    <t>401-631012-00236</t>
  </si>
  <si>
    <t>427-63-0128</t>
  </si>
  <si>
    <t>401-631012-00237</t>
  </si>
  <si>
    <t>427-63-0129</t>
  </si>
  <si>
    <t>401-631012-00238</t>
  </si>
  <si>
    <t>427-63-0130</t>
  </si>
  <si>
    <t>401-631012-00239</t>
  </si>
  <si>
    <t>427-63-0131</t>
  </si>
  <si>
    <t>เคาน์เตอร์จำหน่ายของที่ระลึกผิวลามิเนตลายไม้     ขนาด 0.60 x 3.60 ม. สูง 0.80 ม.</t>
  </si>
  <si>
    <t>401-631012-00240</t>
  </si>
  <si>
    <t>427-63-0132</t>
  </si>
  <si>
    <t>เคาน์เตอร์ประชาสัมพันธ์ผิวลามิเนตลายไม้ยาว 5.50 ม.</t>
  </si>
  <si>
    <t>401-631012-00241</t>
  </si>
  <si>
    <t>427-63-0133</t>
  </si>
  <si>
    <t>401-631012-00242</t>
  </si>
  <si>
    <t>427-63-0134</t>
  </si>
  <si>
    <t>401-631012-00243</t>
  </si>
  <si>
    <t>427-63-0135</t>
  </si>
  <si>
    <t>เคาน์เตอร์จำหน่ายหนังสือผิวลามิเนตลายไม้          ขนาด 0.40 x 0.60 x7.20 ม. สูง 1.80 ม.</t>
  </si>
  <si>
    <t>401-631012-00244</t>
  </si>
  <si>
    <t>427-63-0136</t>
  </si>
  <si>
    <t>ตู้โทรศัพท์สาขา 4 สายนอก 8 สายใน (NEC2100) พร้อมสายโทรศัพท์ภายในแบบ 4C</t>
  </si>
  <si>
    <t>401-631012-00311</t>
  </si>
  <si>
    <t>422-63-0007</t>
  </si>
  <si>
    <t xml:space="preserve">โทรศัพท์แบบใช้สาย พร้อมอุปกรณ์ต่อพ่วงอื่น ๆ </t>
  </si>
  <si>
    <t>401-631012-00312</t>
  </si>
  <si>
    <t>423-63-0048</t>
  </si>
  <si>
    <t>401-631012-00313</t>
  </si>
  <si>
    <t>423-63-0049</t>
  </si>
  <si>
    <t>401-631012-00314</t>
  </si>
  <si>
    <t>423-63-0050</t>
  </si>
  <si>
    <t>401-631012-00315</t>
  </si>
  <si>
    <t>423-63-0051</t>
  </si>
  <si>
    <t>ป้าย IndoorFullcolorScreen แบบ FrontService ชนิดหลอด</t>
  </si>
  <si>
    <t>404-631012-00007</t>
  </si>
  <si>
    <t>444-63-0062</t>
  </si>
  <si>
    <t>จอมอนิเตอร์ LED ขนาด 82" อุปกรณ์สับสัญญาณเสียง ชนิด 4 ช่อง งานเดินระบบสายสัญญาณภาพใช้สาย</t>
  </si>
  <si>
    <t>404-631012-00008</t>
  </si>
  <si>
    <t>444-63-0061</t>
  </si>
  <si>
    <t>เตียงผู้ป่วยไกร์มือหมุน เตียงขนาด 0.80x1.85 ม. สูง 0.55 พร้อมที่นอนกันน้ำ 4 ตอน หนา 8 ซม. ผ้าปูที่นอนพร้อมปลอกหมอน-หมอนใยมะพร้าวหุ้มหนังเทียม</t>
  </si>
  <si>
    <t>409-631012-00002</t>
  </si>
  <si>
    <t>282-63-0032</t>
  </si>
  <si>
    <t>ตู้สำหรับล้างและเก็บอุปกรณ์ทางการแพทย์โครงสร้าง เป็นไม้ปาติเกิ้ลบอร์ด หน้าตู้ปิดด้วยลามิเนตพร้อมอ่างน้ำ และก็อกขนาดลึก 0.60 ยาว 1.20 สูง 0.80 ซม.</t>
  </si>
  <si>
    <t>409-631012-00003</t>
  </si>
  <si>
    <t>239-63-0016</t>
  </si>
  <si>
    <t>ตู้ทรงสูงสำหรับเก็บอุปกรณ์ทางวิทยาศาสตร์โครงสร้าง เป็นไม้ปาติเกิ้ลบอร์ด ขนาดลึก 0.50 ยาว 1.20 สูง 2 ม.</t>
  </si>
  <si>
    <t>409-631012-00004</t>
  </si>
  <si>
    <t>239-63-0017</t>
  </si>
  <si>
    <t>ระบบคอมพิวเตอร์ควบคุม</t>
  </si>
  <si>
    <t>410-631012-00227</t>
  </si>
  <si>
    <t>416-63-1617</t>
  </si>
  <si>
    <t>410-631012-00228</t>
  </si>
  <si>
    <t>416-63-1618</t>
  </si>
  <si>
    <t>อุปกรณ์สัญญาณไร้สาย (AccessPoint) Engenins EWS</t>
  </si>
  <si>
    <t>410-631012-00229</t>
  </si>
  <si>
    <t>416-63-1653</t>
  </si>
  <si>
    <t>POElnjector</t>
  </si>
  <si>
    <t>410-631012-00230</t>
  </si>
  <si>
    <t>416-63-1654</t>
  </si>
  <si>
    <t>PortGigabitDestop/RackmountSwitch 1610/10</t>
  </si>
  <si>
    <t>410-631012-00231</t>
  </si>
  <si>
    <t>416-63-1655</t>
  </si>
  <si>
    <t>เดินสายสัญญาณด้วยสาย CAT6UTP จำนวน 32 เส้นทาง โดยเดินสายร้อยท่อ ตู้เก็บอุปกรณ์กระจายสัญญาณ 9U ลึก อุปกรณ์ 3 ตู้เครื่องสำรองไฟขนาด 800 VA3 ชุดควบคุมเบรคเกอร์ 1 ชุด</t>
  </si>
  <si>
    <t>410-631012-00232</t>
  </si>
  <si>
    <t>416-63-1656</t>
  </si>
  <si>
    <t>ถังดับเพลิงชนิดเคมีโฟมขนาด 15 ปอนด์/ถังแขวนติดผนังสูง 1.50 ม.</t>
  </si>
  <si>
    <t>401-631012-00289</t>
  </si>
  <si>
    <t>472-63-0018</t>
  </si>
  <si>
    <t>401-631012-00290</t>
  </si>
  <si>
    <t>472-63-0019</t>
  </si>
  <si>
    <t>401-631012-00291</t>
  </si>
  <si>
    <t>472-63-0020</t>
  </si>
  <si>
    <t>401-631012-00292</t>
  </si>
  <si>
    <t>472-63-0021</t>
  </si>
  <si>
    <t>โครงสร้างสำหรับยืดป้ายพร้อมวัสดุหุ้ม</t>
  </si>
  <si>
    <t>401-631012-00288</t>
  </si>
  <si>
    <t>081-63-0037</t>
  </si>
  <si>
    <t xml:space="preserve"> 28 เม.ย. 63</t>
  </si>
  <si>
    <t>ระบบควบคุม(ส่วนป้าย)+VDOprocessor+คอมพิวเตอร์ ,ระบบสายส่งข้อมูล (ไม่เกิน 100 เมตร) ระบบคอมพิวเตอร์ควบคุมและแสดงภาพสำหรับจอ LED</t>
  </si>
  <si>
    <t>410-631012-00226</t>
  </si>
  <si>
    <t>416-63-1616</t>
  </si>
  <si>
    <t>คอมพิวเตอร์สำหรับแสดงสื่อต้นแบบ ยี่ห้อ HP พร้อมชุด โปรแกรมจัดการสำนักงานและระบบปฏิบัติการ</t>
  </si>
  <si>
    <t>410-631012-00259</t>
  </si>
  <si>
    <t>416-63-1631</t>
  </si>
  <si>
    <t xml:space="preserve"> 18 มี.ค. 63</t>
  </si>
  <si>
    <t>410-631012-00260</t>
  </si>
  <si>
    <t>416-63-1632</t>
  </si>
  <si>
    <t>410-631012-00261</t>
  </si>
  <si>
    <t>416-63-1633</t>
  </si>
  <si>
    <t>410-631012-00262</t>
  </si>
  <si>
    <t>416-63-1634</t>
  </si>
  <si>
    <t>คอมพิวเตอร์สำหรับงานห้องสมุด ยี่ห้อ HP พร้อมชุดโปรแกรมจัดการสำนักงานและระบบปฏิบัติการ</t>
  </si>
  <si>
    <t>410-631012-00263</t>
  </si>
  <si>
    <t>416-63-1635</t>
  </si>
  <si>
    <t>เครื่อง Server สำหรับระบบสืบค้นทรัพยากรสารสนเทศ ของห้องสมุด (OPAC) ยี่ห้อ HP และจอมอนิเตอร์</t>
  </si>
  <si>
    <t>410-631012-00264</t>
  </si>
  <si>
    <t>416-63-1636</t>
  </si>
  <si>
    <t>เครื่องพิมพ์ชนิดเลเซอร์สี ยี่ห้อ RICOH</t>
  </si>
  <si>
    <t>410-631012-00265</t>
  </si>
  <si>
    <t>416-63-1637</t>
  </si>
  <si>
    <t>เครื่อง Scanner ยี่ห้อ CANON รุ่น Lide220</t>
  </si>
  <si>
    <t>410-631012-00266</t>
  </si>
  <si>
    <t>416-63-1638</t>
  </si>
  <si>
    <t>เครื่อง Server สำหรับระบบสมาชิก ยี่ห้อ HP</t>
  </si>
  <si>
    <t>410-631012-00267</t>
  </si>
  <si>
    <t>416-63-1639</t>
  </si>
  <si>
    <t>เครื่องสำรองไฟฟ้า สำหรับ Sever ยี่ห้อ APC</t>
  </si>
  <si>
    <t>410-631012-00268</t>
  </si>
  <si>
    <t>416-63-1640</t>
  </si>
  <si>
    <t>คอมพิวเตอร์ สำหรับบริหารจัดหารระบบสมาชิก ยี่ห้อ HP พร้อมชุดโปรแกรมจัดการสำนักงานและระบบปฏิบัติการ</t>
  </si>
  <si>
    <t>410-631012-00269</t>
  </si>
  <si>
    <t>416-63-1641</t>
  </si>
  <si>
    <t>แผงตรวจจับสัญญาณแม่เหล็ก 2 ช่องทาง (3 บาน)</t>
  </si>
  <si>
    <t>410-631012-00270</t>
  </si>
  <si>
    <t>416-63-1642</t>
  </si>
  <si>
    <t>เครื่องตั้งและลบสัญญาณแม่เหล็กสำหรับหนังสือ       ยี่ห้อ 3M รุ่น 942</t>
  </si>
  <si>
    <t>410-631012-00271</t>
  </si>
  <si>
    <t>416-63-1643</t>
  </si>
  <si>
    <t>410-631012-00272</t>
  </si>
  <si>
    <t>416-63-1644</t>
  </si>
  <si>
    <t>เครื่องอ่านบาร์โค้ด ยี่ห้อ Honeywell รุ่น 1250 g2</t>
  </si>
  <si>
    <t>410-631012-00273</t>
  </si>
  <si>
    <t>416-63-1645</t>
  </si>
  <si>
    <t>410-631012-00274</t>
  </si>
  <si>
    <t>416-63-1646</t>
  </si>
  <si>
    <t>เครื่องพิมพ์ชนิดความร้อน ยี่ห้อ Epson รุ่น TM-T88V</t>
  </si>
  <si>
    <t>410-631012-00275</t>
  </si>
  <si>
    <t>416-63-1647</t>
  </si>
  <si>
    <t>เครื่องพิมพ์บัตรสมาชิก ยี่ห้อ Solid</t>
  </si>
  <si>
    <t>410-631012-00276</t>
  </si>
  <si>
    <t>416-63-1648</t>
  </si>
  <si>
    <t>กล้องเว็ปแคม ยี่ห้อ Logitech รุ่น C922</t>
  </si>
  <si>
    <t>410-631012-00277</t>
  </si>
  <si>
    <t>416-63-1649</t>
  </si>
  <si>
    <t>เครื่องพิมพ์สลิปทางการเงินแบบมีสำเนา ยี่ห้อ Epson</t>
  </si>
  <si>
    <t>410-631012-00278</t>
  </si>
  <si>
    <t>416-63-1650</t>
  </si>
  <si>
    <t>410-631012-00279</t>
  </si>
  <si>
    <t>416-63-1651</t>
  </si>
  <si>
    <t>ลิ้นชักเก็บเงิน ยี่ห้อ Signature</t>
  </si>
  <si>
    <t>410-631012-00280</t>
  </si>
  <si>
    <t>416-63-1652</t>
  </si>
  <si>
    <t>เครื่องวัดอุณหภูมิ ยี่ห้อ DT-8806C</t>
  </si>
  <si>
    <t>409-631012-00011</t>
  </si>
  <si>
    <t>298-63-0014</t>
  </si>
  <si>
    <t>เครื่องวัดอุณหภูมิ ยี่ห้อ HOCO,FD-01MD</t>
  </si>
  <si>
    <t>409-631012-00014</t>
  </si>
  <si>
    <t>298-63-0017</t>
  </si>
  <si>
    <t>LED TV ชนิดพิเศษ ขนาด 49 นิ้ว พร้อมกรอบจอ พร้อมขาแขวน LED TV</t>
  </si>
  <si>
    <t>404-640903-00006</t>
  </si>
  <si>
    <t>456-64-0109</t>
  </si>
  <si>
    <t xml:space="preserve"> 29 ต.ค. 63</t>
  </si>
  <si>
    <t>404-640903-00007</t>
  </si>
  <si>
    <t>456-64-0110</t>
  </si>
  <si>
    <t>404-640903-00008</t>
  </si>
  <si>
    <t>456-64-0111</t>
  </si>
  <si>
    <t>404-640903-00009</t>
  </si>
  <si>
    <t>456-64-0112</t>
  </si>
  <si>
    <t>LED TV ชนิดพิเศษ ขนาด 32  นิ้ว ยี่ห้อ SAMSUNG</t>
  </si>
  <si>
    <t>404-640903-00010</t>
  </si>
  <si>
    <t>456-64-0113</t>
  </si>
  <si>
    <t>404-640903-00011</t>
  </si>
  <si>
    <t>456-64-0114</t>
  </si>
  <si>
    <t>404-640903-00012</t>
  </si>
  <si>
    <t>456-64-0115</t>
  </si>
  <si>
    <t>404-640903-00013</t>
  </si>
  <si>
    <t>456-64-0116</t>
  </si>
  <si>
    <t>LED TV ชนิดธรรมดา ขนาด 49  นิ้ว ยี่ห้อ SAMSUNG</t>
  </si>
  <si>
    <t>404-640903-00014</t>
  </si>
  <si>
    <t>456-64-0117</t>
  </si>
  <si>
    <t>404-640903-00015</t>
  </si>
  <si>
    <t>456-64-0118</t>
  </si>
  <si>
    <t>404-640903-00016</t>
  </si>
  <si>
    <t>456-64-0119</t>
  </si>
  <si>
    <t>LED TV ชนิดพิเศษ ขนาด 43  นิ้ว ยี่ห้อ SAMSUNG</t>
  </si>
  <si>
    <t>404-640903-00017</t>
  </si>
  <si>
    <t>456-64-0120</t>
  </si>
  <si>
    <t>404-640903-00018</t>
  </si>
  <si>
    <t>456-64-0121</t>
  </si>
  <si>
    <t>404-640903-00019</t>
  </si>
  <si>
    <t>456-64-0122</t>
  </si>
  <si>
    <t xml:space="preserve">LED ขนาด 49 นิ้ว ยี่ห้อ SAMSUNG </t>
  </si>
  <si>
    <t>404-640903-00020</t>
  </si>
  <si>
    <t>456-64-0123</t>
  </si>
  <si>
    <t>เครื่องฉายภาพ Projector ยี่ห้อ NEC รุ่น PA-703 ความละเอียด 6200 ansilumens พร้อมเลนส์ พร้อมขาแขวน Projector</t>
  </si>
  <si>
    <t>404-640903-00001</t>
  </si>
  <si>
    <t>447-64-0042</t>
  </si>
  <si>
    <t>404-640903-00002</t>
  </si>
  <si>
    <t>447-64-0043</t>
  </si>
  <si>
    <t>404-640903-00003</t>
  </si>
  <si>
    <t>447-64-0044</t>
  </si>
  <si>
    <t>404-640903-00004</t>
  </si>
  <si>
    <t>447-64-0045</t>
  </si>
  <si>
    <t>404-640903-00005</t>
  </si>
  <si>
    <t>447-64-0046</t>
  </si>
  <si>
    <t>Multimedia Controller For Input</t>
  </si>
  <si>
    <t>403-640903-00035</t>
  </si>
  <si>
    <t>462-64-0376</t>
  </si>
  <si>
    <t>403-640903-00036</t>
  </si>
  <si>
    <t>462-64-0377</t>
  </si>
  <si>
    <t>403-640903-00037</t>
  </si>
  <si>
    <t xml:space="preserve"> 462-64-0378</t>
  </si>
  <si>
    <t xml:space="preserve">เครื่องขยายเสียง 30 วัตต์ ยี่ห้อ TOA </t>
  </si>
  <si>
    <t>403-640903-00038</t>
  </si>
  <si>
    <t>462-64-0366</t>
  </si>
  <si>
    <t>ลำโพง ชนิด 2 ทาง ยี่ห้อ TOA  รุ่น F-1300B</t>
  </si>
  <si>
    <t>403-640903-00009</t>
  </si>
  <si>
    <t>459-64-1099</t>
  </si>
  <si>
    <t>403-640903-00010</t>
  </si>
  <si>
    <t>459-64-1100</t>
  </si>
  <si>
    <t>403-640903-00039</t>
  </si>
  <si>
    <t>462-64-0367</t>
  </si>
  <si>
    <t>403-640903-00011</t>
  </si>
  <si>
    <t>459-64-1101</t>
  </si>
  <si>
    <t>403-640903-00012</t>
  </si>
  <si>
    <t>459-64-1102</t>
  </si>
  <si>
    <t>403-640903-00013</t>
  </si>
  <si>
    <t>459-64-1103</t>
  </si>
  <si>
    <t>403-640903-00014</t>
  </si>
  <si>
    <t>459-64-1104</t>
  </si>
  <si>
    <t>403-640903-00040</t>
  </si>
  <si>
    <t>462-64-0368</t>
  </si>
  <si>
    <t>403-640903-00041</t>
  </si>
  <si>
    <t>462-64-0369</t>
  </si>
  <si>
    <t>403-640903-00042</t>
  </si>
  <si>
    <t>462-64-0370</t>
  </si>
  <si>
    <t>403-640903-00043</t>
  </si>
  <si>
    <t>462-64-0371</t>
  </si>
  <si>
    <t>403-640903-00044</t>
  </si>
  <si>
    <t>462-64-0372</t>
  </si>
  <si>
    <t>403-640903-00045</t>
  </si>
  <si>
    <t>462-64-0373</t>
  </si>
  <si>
    <t>403-640903-00046</t>
  </si>
  <si>
    <t>462-64-0374</t>
  </si>
  <si>
    <t>403-640903-00015</t>
  </si>
  <si>
    <t>459-64-1105</t>
  </si>
  <si>
    <t>403-640903-00016</t>
  </si>
  <si>
    <t>459-64-1106</t>
  </si>
  <si>
    <t>403-640903-00017</t>
  </si>
  <si>
    <t>459-64-1107</t>
  </si>
  <si>
    <t xml:space="preserve">เครื่องขยายเสียง 30 วัตต์ ยี่ห้อ TOA  </t>
  </si>
  <si>
    <t>403-640903-00047</t>
  </si>
  <si>
    <t>462-64-0375</t>
  </si>
  <si>
    <t>403-640903-00018</t>
  </si>
  <si>
    <t>459-64-1108</t>
  </si>
  <si>
    <t>ลำโพง ขนาด 1.2 ยี่ห้อ Creative รุ่น A30</t>
  </si>
  <si>
    <t>403-640903-00019</t>
  </si>
  <si>
    <t>459-64-1109</t>
  </si>
  <si>
    <t>403-640903-00020</t>
  </si>
  <si>
    <t>459-64-1110</t>
  </si>
  <si>
    <t>403-640903-00021</t>
  </si>
  <si>
    <t>459-64-1111</t>
  </si>
  <si>
    <t>403-640903-00022</t>
  </si>
  <si>
    <t>459-64-1112</t>
  </si>
  <si>
    <t>403-640903-00023</t>
  </si>
  <si>
    <t>459-64-1113</t>
  </si>
  <si>
    <t>403-640903-00024</t>
  </si>
  <si>
    <t>459-64-1114</t>
  </si>
  <si>
    <t>403-640903-00025</t>
  </si>
  <si>
    <t>459-64-1115</t>
  </si>
  <si>
    <t>403-640903-00026</t>
  </si>
  <si>
    <t>459-64-1116</t>
  </si>
  <si>
    <t>403-640903-00027</t>
  </si>
  <si>
    <t>459-64-1117</t>
  </si>
  <si>
    <t>403-640903-00028</t>
  </si>
  <si>
    <t>459-64-1118</t>
  </si>
  <si>
    <t>403-640903-00029</t>
  </si>
  <si>
    <t>459-64-1119</t>
  </si>
  <si>
    <t>403-640903-00030</t>
  </si>
  <si>
    <t>459-64-1120</t>
  </si>
  <si>
    <t>403-640903-00031</t>
  </si>
  <si>
    <t>459-64-1121</t>
  </si>
  <si>
    <t>403-640903-00032</t>
  </si>
  <si>
    <t>459-64-1122</t>
  </si>
  <si>
    <t>403-640903-00033</t>
  </si>
  <si>
    <t>459-64-1123</t>
  </si>
  <si>
    <t>403-640903-00034</t>
  </si>
  <si>
    <t>459-64-1124</t>
  </si>
  <si>
    <t>HD Player ยี่ห้อ AC Ryan รุ่น PlayOn V2 HD</t>
  </si>
  <si>
    <t>403-640903-00048</t>
  </si>
  <si>
    <t>463-64-0045</t>
  </si>
  <si>
    <t>403-640903-00049</t>
  </si>
  <si>
    <t>463-64-0046</t>
  </si>
  <si>
    <t>403-640903-00050</t>
  </si>
  <si>
    <t>463-64-0047</t>
  </si>
  <si>
    <t>Microphone Cable Microphone ยี่ห้อ TOA</t>
  </si>
  <si>
    <t>403-640903-00007</t>
  </si>
  <si>
    <t>458-64-0203</t>
  </si>
  <si>
    <t>403-640903-00008</t>
  </si>
  <si>
    <t>458-64-0204</t>
  </si>
  <si>
    <t xml:space="preserve">Computer Set สำหรับฉาย 3D Mapping </t>
  </si>
  <si>
    <t>410-640903-00020</t>
  </si>
  <si>
    <t>416-64-1766</t>
  </si>
  <si>
    <t>เครื่องคอมพิวเตอร์ สำหรับงานสำนักงาน ยี่ห้อ Acer</t>
  </si>
  <si>
    <t>410-640903-00021</t>
  </si>
  <si>
    <t>416-64-1767</t>
  </si>
  <si>
    <t>410-640903-00022</t>
  </si>
  <si>
    <t>416-64-1768</t>
  </si>
  <si>
    <t>410-640903-00023</t>
  </si>
  <si>
    <t>416-64-1769</t>
  </si>
  <si>
    <t>410-640903-00024</t>
  </si>
  <si>
    <t>416-64-1770</t>
  </si>
  <si>
    <t>410-640903-00025</t>
  </si>
  <si>
    <t>416-64-1771</t>
  </si>
  <si>
    <t>410-640903-00026</t>
  </si>
  <si>
    <t>416-64-1772</t>
  </si>
  <si>
    <t>410-640903-00027</t>
  </si>
  <si>
    <t>416-64-1773</t>
  </si>
  <si>
    <t>410-640903-00028</t>
  </si>
  <si>
    <t>416-64-1774</t>
  </si>
  <si>
    <t>เครื่องคอมพิวเตอร์ PC ยี่ห้อ ACER รุ่น TC-780</t>
  </si>
  <si>
    <t>410-640903-00029</t>
  </si>
  <si>
    <t>416-64-1775</t>
  </si>
  <si>
    <t>410-640903-00030</t>
  </si>
  <si>
    <t>416-64-1776</t>
  </si>
  <si>
    <t>410-640903-00031</t>
  </si>
  <si>
    <t>416-64-1777</t>
  </si>
  <si>
    <t>เครื่องคอมพิวเตอร์แบบ Touch screen</t>
  </si>
  <si>
    <t>410-640903-00032</t>
  </si>
  <si>
    <t>416-64-1778</t>
  </si>
  <si>
    <t>410-640903-00033</t>
  </si>
  <si>
    <t>416-64-1779</t>
  </si>
  <si>
    <t>410-640903-00034</t>
  </si>
  <si>
    <t>416-64-1780</t>
  </si>
  <si>
    <t>410-640903-00035</t>
  </si>
  <si>
    <t>416-64-1781</t>
  </si>
  <si>
    <t>410-640903-00036</t>
  </si>
  <si>
    <t>416-64-1782</t>
  </si>
  <si>
    <t>410-640903-00037</t>
  </si>
  <si>
    <t>416-64-1783</t>
  </si>
  <si>
    <t xml:space="preserve">เครื่องสำรองไฟฟ้า 3000 VA </t>
  </si>
  <si>
    <t>410-640903-00038</t>
  </si>
  <si>
    <t>416-64-1784</t>
  </si>
  <si>
    <t>เครื่องสำรองไฟ ยี่ห้อ CLEANLINE รุ่น D2000L</t>
  </si>
  <si>
    <t>410-640903-00039</t>
  </si>
  <si>
    <t>416-64-1785</t>
  </si>
  <si>
    <t>410-640903-00040</t>
  </si>
  <si>
    <t>416-64-1786</t>
  </si>
  <si>
    <t>410-640903-00041</t>
  </si>
  <si>
    <t>416-64-1787</t>
  </si>
  <si>
    <t>410-640903-00042</t>
  </si>
  <si>
    <t>416-64-1788</t>
  </si>
  <si>
    <t>410-640903-00043</t>
  </si>
  <si>
    <t>416-64-1789</t>
  </si>
  <si>
    <t>410-640903-00044</t>
  </si>
  <si>
    <t>416-64-1790</t>
  </si>
  <si>
    <t xml:space="preserve">เครื่องสำรองไฟ ยี่ห้อ CLEANLINE </t>
  </si>
  <si>
    <t>410-640903-00045</t>
  </si>
  <si>
    <t>416-64-1791</t>
  </si>
  <si>
    <t>410-640903-00046</t>
  </si>
  <si>
    <t>416-64-1792</t>
  </si>
  <si>
    <t>410-640903-00047</t>
  </si>
  <si>
    <t>416-64-1793</t>
  </si>
  <si>
    <t>410-640903-00048</t>
  </si>
  <si>
    <t>416-64-1794</t>
  </si>
  <si>
    <t>410-640903-00049</t>
  </si>
  <si>
    <t>416-64-1795</t>
  </si>
  <si>
    <t>410-640903-00050</t>
  </si>
  <si>
    <t>416-64-1796</t>
  </si>
  <si>
    <t>410-640903-00052</t>
  </si>
  <si>
    <t>416-64-1798</t>
  </si>
  <si>
    <t>พัดลมระบายอากาศ ยี่ห้อ ADA รุ่น Fan</t>
  </si>
  <si>
    <t>401-640903-00036</t>
  </si>
  <si>
    <t>432-64-1293</t>
  </si>
  <si>
    <t>401-640903-00037</t>
  </si>
  <si>
    <t>432-64-1294</t>
  </si>
  <si>
    <t>401-640903-00038</t>
  </si>
  <si>
    <t>432-64-1295</t>
  </si>
  <si>
    <t>401-640903-00039</t>
  </si>
  <si>
    <t>432-64-1296</t>
  </si>
  <si>
    <t>401-640903-00040</t>
  </si>
  <si>
    <t>432-64-1297</t>
  </si>
  <si>
    <t>401-640903-00041</t>
  </si>
  <si>
    <t>432-64-1298</t>
  </si>
  <si>
    <t>401-640903-00042</t>
  </si>
  <si>
    <t>432-64-1299</t>
  </si>
  <si>
    <t>409-640903-00019</t>
  </si>
  <si>
    <t>298-64-0056</t>
  </si>
  <si>
    <t xml:space="preserve">ตู้ควบคุมระบบไฟฟ้า </t>
  </si>
  <si>
    <t>404-640903-00058</t>
  </si>
  <si>
    <t>466-64-0052</t>
  </si>
  <si>
    <t xml:space="preserve"> 14 ก.ค. 64</t>
  </si>
  <si>
    <t>สว่านไฟฟ้า ยี่ห้อ มากีต้า รุ่น HP 1630 พร้อมกล่อง และอุปกรณ์ 710 วัตต์</t>
  </si>
  <si>
    <t>406-640903-00001</t>
  </si>
  <si>
    <t>059-64-0037</t>
  </si>
  <si>
    <t>401-640927-00007</t>
  </si>
  <si>
    <t>420-64-0350</t>
  </si>
  <si>
    <t xml:space="preserve"> 17 ม.ค. 60</t>
  </si>
  <si>
    <t>401-640927-00008</t>
  </si>
  <si>
    <t>420-64-0351</t>
  </si>
  <si>
    <t>401-640927-00009</t>
  </si>
  <si>
    <t>420-64-0352</t>
  </si>
  <si>
    <t>401-640927-00010</t>
  </si>
  <si>
    <t>420-64-0353</t>
  </si>
  <si>
    <t xml:space="preserve">โทรทัศน์จอแอลอีดี ขนาด 55 นิ้ว </t>
  </si>
  <si>
    <t>404-640928-00001</t>
  </si>
  <si>
    <t>456-64-0125</t>
  </si>
  <si>
    <t>404-640928-00002</t>
  </si>
  <si>
    <t>456-64-0126</t>
  </si>
  <si>
    <t xml:space="preserve">เครื่องสำรองไฟขนาด 2000 VA ยี่ห้อ Zircon </t>
  </si>
  <si>
    <t>410-640928-00001</t>
  </si>
  <si>
    <t>416-64-1826</t>
  </si>
  <si>
    <t>410-640928-00002</t>
  </si>
  <si>
    <t>416-64-1827</t>
  </si>
  <si>
    <t>410-640928-00003</t>
  </si>
  <si>
    <t>416-64-1828</t>
  </si>
  <si>
    <t>กล้องโทรทัศน์วงจรปิดชนิดเครือข่ายแบบปรับมุมมอง</t>
  </si>
  <si>
    <t>403-640928-00001</t>
  </si>
  <si>
    <t>454-64-0145</t>
  </si>
  <si>
    <t>กล้องโทรทัศน์วงจรปิดแบบมุมมองคงที่</t>
  </si>
  <si>
    <t>403-640928-00002</t>
  </si>
  <si>
    <t>454-64-0146</t>
  </si>
  <si>
    <t>403-640928-00003</t>
  </si>
  <si>
    <t>454-64-0147</t>
  </si>
  <si>
    <t>403-640928-00004</t>
  </si>
  <si>
    <t>454-64-0148</t>
  </si>
  <si>
    <t>403-640928-00005</t>
  </si>
  <si>
    <t>454-64-0149</t>
  </si>
  <si>
    <t>403-640928-00006</t>
  </si>
  <si>
    <t>454-64-0150</t>
  </si>
  <si>
    <t>403-640928-00007</t>
  </si>
  <si>
    <t>454-64-0151</t>
  </si>
  <si>
    <t>403-640928-00008</t>
  </si>
  <si>
    <t>454-64-0152</t>
  </si>
  <si>
    <t>403-640928-00009</t>
  </si>
  <si>
    <t>454-64-0153</t>
  </si>
  <si>
    <t>403-640928-00010</t>
  </si>
  <si>
    <t>454-64-0154</t>
  </si>
  <si>
    <t>403-640928-00011</t>
  </si>
  <si>
    <t>454-64-0155</t>
  </si>
  <si>
    <t>403-640928-00012</t>
  </si>
  <si>
    <t>454-64-0156</t>
  </si>
  <si>
    <t>403-640928-00013</t>
  </si>
  <si>
    <t>454-64-0157</t>
  </si>
  <si>
    <t>403-640928-00014</t>
  </si>
  <si>
    <t>454-64-0158</t>
  </si>
  <si>
    <t>403-640928-00015</t>
  </si>
  <si>
    <t>454-64-0159</t>
  </si>
  <si>
    <t>403-640928-00016</t>
  </si>
  <si>
    <t>454-64-0160</t>
  </si>
  <si>
    <t>403-640928-00017</t>
  </si>
  <si>
    <t>454-64-0161</t>
  </si>
  <si>
    <t>403-640928-00018</t>
  </si>
  <si>
    <t>454-64-0162</t>
  </si>
  <si>
    <t>403-640928-00019</t>
  </si>
  <si>
    <t>454-64-0163</t>
  </si>
  <si>
    <t>อุปกรณ์บันทึกภาพผ่านเครือข่าย</t>
  </si>
  <si>
    <t>403-640928-00020</t>
  </si>
  <si>
    <t>454-64-0164</t>
  </si>
  <si>
    <t>403-640928-00021</t>
  </si>
  <si>
    <t>454-64-0165</t>
  </si>
  <si>
    <t>อุปกรณ์กระจายสัญญาณแบบ POE</t>
  </si>
  <si>
    <t>403-640928-00022</t>
  </si>
  <si>
    <t>454-64-0166</t>
  </si>
  <si>
    <t>403-640928-00023</t>
  </si>
  <si>
    <t>454-64-0167</t>
  </si>
  <si>
    <t>403-640928-00024</t>
  </si>
  <si>
    <t>454-64-0168</t>
  </si>
  <si>
    <t>ตู้สำหรับจัดเก็บเครื่องคอมพิวเตอร์และอุปกรณ์ (ขนาด 42 U)</t>
  </si>
  <si>
    <t>401-640928-00001</t>
  </si>
  <si>
    <t>406-64-1311</t>
  </si>
  <si>
    <t>401-604928-00002</t>
  </si>
  <si>
    <t>406-64-1312</t>
  </si>
  <si>
    <t>401-640928-00003</t>
  </si>
  <si>
    <t>406-64-1313</t>
  </si>
  <si>
    <t>ตู้ควบคุม ยี่ห้อ Numen</t>
  </si>
  <si>
    <t>403-640928-00025</t>
  </si>
  <si>
    <t>466-64-0053</t>
  </si>
  <si>
    <t>ตู้อุปกรณ์แยกแจ้งสัญญาณ ยี่ห้อ Numen</t>
  </si>
  <si>
    <t>403-640928-00026</t>
  </si>
  <si>
    <t>466-64-0054</t>
  </si>
  <si>
    <t>ตู้สำหรับจัดเก็บอุปกรณ์ควบคุมจอ LED ภายในอาคาร</t>
  </si>
  <si>
    <t>401-650815-00006</t>
  </si>
  <si>
    <t>406-65-1353</t>
  </si>
  <si>
    <t xml:space="preserve"> 6 ต.ค. 64</t>
  </si>
  <si>
    <t>จอแสดงภาพ LED FULL COLOR DISPLAY</t>
  </si>
  <si>
    <t>404-650815-00001</t>
  </si>
  <si>
    <t>444-65-0065</t>
  </si>
  <si>
    <t>ชุด CONTROL พร้อมเซทระบบ</t>
  </si>
  <si>
    <t>404-650815-00002</t>
  </si>
  <si>
    <t>477-65-0004</t>
  </si>
  <si>
    <t xml:space="preserve">ตู้สำหรับจัดเก็บเครื่องคอมพิวเตอร์และอุปกรณ์ แบบที่ 1 ขนาด 36 U ยี่ห้อ Germany export rack </t>
  </si>
  <si>
    <t>410-650826-00262</t>
  </si>
  <si>
    <t>406-65-1387</t>
  </si>
  <si>
    <t>21 ม.ย.65</t>
  </si>
  <si>
    <t xml:space="preserve">เครื่องมัลติมีเดียโปรเจคเตอร์ ระบบ XGA ขนาด 4000 ANSI Lumens </t>
  </si>
  <si>
    <t>447-66-0053</t>
  </si>
  <si>
    <t>มิวเซียม ห้องนิทรรศการถาวร</t>
  </si>
  <si>
    <t>447-66-0054</t>
  </si>
  <si>
    <t>447-66-0055</t>
  </si>
  <si>
    <t>447-66-0056</t>
  </si>
  <si>
    <t>447-66-0057</t>
  </si>
  <si>
    <t>มินิพีซี</t>
  </si>
  <si>
    <t xml:space="preserve">410-660926-00001 </t>
  </si>
  <si>
    <t>416-66-2255</t>
  </si>
  <si>
    <t xml:space="preserve">410-660926-00002 </t>
  </si>
  <si>
    <t>416-66-2256</t>
  </si>
  <si>
    <t xml:space="preserve">410-660926-00003 </t>
  </si>
  <si>
    <t>416-66-2257</t>
  </si>
  <si>
    <t xml:space="preserve">410-660926-00004 </t>
  </si>
  <si>
    <t>416-66-2258</t>
  </si>
  <si>
    <t>401-67-7668</t>
  </si>
  <si>
    <t>401-67-7669</t>
  </si>
  <si>
    <t>401-67-7670</t>
  </si>
  <si>
    <t>401-67-7671</t>
  </si>
  <si>
    <t>401-67-7672</t>
  </si>
  <si>
    <t>401-67-7673</t>
  </si>
  <si>
    <t>401-67-7674</t>
  </si>
  <si>
    <t>401-67-7675</t>
  </si>
  <si>
    <t>454-58-0012</t>
  </si>
  <si>
    <t>454-58-0013</t>
  </si>
  <si>
    <t>454-58-0014</t>
  </si>
  <si>
    <t>454-58-0015</t>
  </si>
  <si>
    <t>454-58-0016</t>
  </si>
  <si>
    <t>454-58-0017</t>
  </si>
  <si>
    <t>454-58-0018</t>
  </si>
  <si>
    <t>454-58-0019</t>
  </si>
  <si>
    <t>เก้าอี้รับรองโครงขาผลิตจากเหล็กชุบโครเมียม ขนาดไม่น้อยกว่า 56*54*80 ซม.</t>
  </si>
  <si>
    <t>เครื่องปรับอากาศ แบบแยกส่วน ชนิดตั้งพื้นหรือแบบแขวน (ระบบ Inverter) ขนาด 24,000 บีทียู</t>
  </si>
  <si>
    <t>เครื่องปรับอากาศ แบบแยกส่วน ชนิดตั้งพื้นหรือแบบแขวน (ระบบ Inverter) ขนาด 36,000 บีทียู</t>
  </si>
  <si>
    <t>สำนักศึกษา</t>
  </si>
  <si>
    <t xml:space="preserve">โต๊ะทำงาน ขนาดกว้าง 120 ซม. ลึก 60 ซม. สูง 75 ซม. </t>
  </si>
  <si>
    <t xml:space="preserve">โต๊ะทำงาน ขนาดกว้าง 120 ซม. ลึก 60 ซม. สูง 75 ซฒ. </t>
  </si>
  <si>
    <t xml:space="preserve">401-670730-00004    </t>
  </si>
  <si>
    <t xml:space="preserve">401-670730-00005    </t>
  </si>
  <si>
    <t xml:space="preserve">401-670730-00006    </t>
  </si>
  <si>
    <t xml:space="preserve">401-670730-00007    </t>
  </si>
  <si>
    <t xml:space="preserve">401-670730-00008    </t>
  </si>
  <si>
    <t xml:space="preserve">401-670730-00009    </t>
  </si>
  <si>
    <t xml:space="preserve">401-670730-00010    </t>
  </si>
  <si>
    <t xml:space="preserve">401-670730-00011    </t>
  </si>
  <si>
    <t xml:space="preserve">401-670730-00012    </t>
  </si>
  <si>
    <t xml:space="preserve">401-670730-00013    </t>
  </si>
  <si>
    <t>เก้าอี้สำนักงานขนาดกว้าง 55 ซม. สูง 85 ซม. ลึก 55 ซม.</t>
  </si>
  <si>
    <t>เก้าอี้สำนักงาน ขนาดกว้าง 55 ซม. สูง 85 ซม. ลึก 55 ซม.</t>
  </si>
  <si>
    <t>เก้าอี้สำนักงาน ขนาดกว้าง 55 ซม. สูง 85 วม. ลึก 55 ซม.</t>
  </si>
  <si>
    <t>ตู้เก็บเอกสารขนาดกว้าง 80 ซม. ลึก 60 ซม. สูง 160 ซม.</t>
  </si>
  <si>
    <t xml:space="preserve">401-670805-00052    </t>
  </si>
  <si>
    <t xml:space="preserve">401-670805-00053    </t>
  </si>
  <si>
    <t xml:space="preserve">401-670805-00054    </t>
  </si>
  <si>
    <t>ตู้ RACK สำหรับเก็บอุปกรณ์</t>
  </si>
  <si>
    <t>ไมโครโฟนแบบมีสายมือถือพร้อมขาตั้ง</t>
  </si>
  <si>
    <t>ไมโครโฟนสำหรับโพเดียม พร้อมฐานวาง</t>
  </si>
  <si>
    <t>455-67-0064</t>
  </si>
  <si>
    <t>ลำโพงหลักคู่หน้าแบบคอลัมป์ 8x4 นิ้ว 600 วัตต์</t>
  </si>
  <si>
    <t>ลำโพงซับวูฟเฟอร์ ขนาด 18 นิ้ว 800 วัตต์</t>
  </si>
  <si>
    <t>ลำโพงมอนิเตอร์บนเวที 2 Way 12 นิ้ว 450 วัตต์</t>
  </si>
  <si>
    <t xml:space="preserve">ลำโพงมอนิเตอร์ 16 วัตต์ </t>
  </si>
  <si>
    <t>ลำโพงเสริมคู่หลัง 2 Way ขนาด 12 นิ้ว 400 วัตต์</t>
  </si>
  <si>
    <t>ชุดไมโครโฟนไร้สายมือถือคู่</t>
  </si>
  <si>
    <t xml:space="preserve">410-670808-00017    </t>
  </si>
  <si>
    <t xml:space="preserve">410-670925-00002    </t>
  </si>
  <si>
    <t>เครื่องพิมพ์ Multifuntion Brather แบบหมึกฉีด Dcp-T7200 DW</t>
  </si>
  <si>
    <t xml:space="preserve">เครื่องพิมพ์เลเซอร์ Brother Laser Color HL-3270CDW </t>
  </si>
  <si>
    <t>เครื่องพิมพ์เลเซอร์หรือ LED สี ชนิด Network แบบที่ 1 เครื่องพิมพ์เลเซอร์ Brother Laser Color HL-3270CDW</t>
  </si>
  <si>
    <t>เครื่องพิมพ์ Multifuntion แบบฉีดหมึก ยี่ห้อ Brother DCP-T720DW</t>
  </si>
  <si>
    <t>แท็บเล็ตสำหรับควบคุมการสลับสัญญาณเสียง ขนาด 10.2 นิ้ว ยี่ห้อ APPLE I PAD รุ่น 9 Gen</t>
  </si>
  <si>
    <t>เครื่องคอมพิวเตอร์สำหรับประมวลผลแบบที่ 1 CPU แบบที่ 1 HP Pro Tower 280 G9 พร้อมจอ</t>
  </si>
  <si>
    <t>เสาบาสเกตบอลโครงเหล็กพร้อมแป้นพลาสติก ขนาด 15 มล. พร้อมห่วง และตาข่าย</t>
  </si>
  <si>
    <t>ศูนย์เยาวชน</t>
  </si>
  <si>
    <t xml:space="preserve">เครื่องปรับอากาศแบบแยกส่วน </t>
  </si>
  <si>
    <t>เครื่องคอมพิวเตอร์โน๊ตบุ้ก ยี่ห้อ Acer รุ่น Travel Mate P TMP 215</t>
  </si>
  <si>
    <t>นิทรรศการถาวร</t>
  </si>
  <si>
    <t>โถงต้อนรับ</t>
  </si>
  <si>
    <t>ห้องสำนักงาน</t>
  </si>
  <si>
    <t>ห้องควบคุมระบบ ชั้น 2</t>
  </si>
  <si>
    <t>ห้องของที่ระลึก</t>
  </si>
  <si>
    <t>ห้องประชุม</t>
  </si>
  <si>
    <t>ห้องอ่านหนังสือ TK</t>
  </si>
  <si>
    <t>ห้องหนังสือ TK</t>
  </si>
  <si>
    <t>ห้องคอม TK</t>
  </si>
  <si>
    <t>ห้องอเนกประสงค์ TK</t>
  </si>
  <si>
    <t>ห้องอเนกประสงค์ ชั้น 2</t>
  </si>
  <si>
    <t>ห้องพยาบาล</t>
  </si>
  <si>
    <t>ห้องประชุมเล็ก</t>
  </si>
  <si>
    <t>ห้องสื่อมัลติมีเดีย</t>
  </si>
  <si>
    <t>ระหว่างทางเดินห้องสมุด TK</t>
  </si>
  <si>
    <t>นิทรรศการหมุนเวียน ชั้น 1</t>
  </si>
  <si>
    <t>ข้างห้องน้ำชาย ชั้น 1</t>
  </si>
  <si>
    <t>ทางเดินห้องสำนักงาน</t>
  </si>
  <si>
    <t>นิทรรศการถาวรชั้น 2</t>
  </si>
  <si>
    <t>หน้าตึกมิวเซียม</t>
  </si>
  <si>
    <t>ร้านกาแฟเก่า</t>
  </si>
  <si>
    <t>หน้าห้องนิทรรศการถาวรชั้น 2</t>
  </si>
  <si>
    <t>หน้าห้องระบบนิทรรศการถาวรชั้น 2</t>
  </si>
  <si>
    <t>ห้องสมุด TK</t>
  </si>
  <si>
    <t>ห้องระบบ TK</t>
  </si>
  <si>
    <t>ห้องเก็บของ</t>
  </si>
  <si>
    <t>ห้องละหมาด</t>
  </si>
  <si>
    <t>ระหว่างทางเดิน TK</t>
  </si>
  <si>
    <t>ระหว่างทางเดินหน้าห้องสื่อมัลติมีเดีย</t>
  </si>
  <si>
    <t>ระหว่างทางเดิน
หน้าห้องนิทรรศการหมุนเวียน</t>
  </si>
  <si>
    <t>นิทรรศการหมุนเวียน</t>
  </si>
  <si>
    <t>ห้องนิทรรศหมุนเวียนท้องถิ่น</t>
  </si>
  <si>
    <t>ระหว่างทางเดินชั้น 2</t>
  </si>
  <si>
    <t>ห้องพักคอย</t>
  </si>
  <si>
    <t>ห้องจัดเตรียมกิจกรรม</t>
  </si>
  <si>
    <t>ห้องนิทรรศการถาวร</t>
  </si>
  <si>
    <t>ห้องรับรอง</t>
  </si>
  <si>
    <t>ห้องอเนกประสงค์</t>
  </si>
  <si>
    <t>ห้องน้ำชายปีกซ้าย</t>
  </si>
  <si>
    <t>ห้องน้ำหญิงปีกซ้าย</t>
  </si>
  <si>
    <t>ห้องนิทรรศการหมุนเวียน</t>
  </si>
  <si>
    <t>ห้องน้ำ</t>
  </si>
  <si>
    <t>ห้องน้ำปีกขวาฝั่ง TK</t>
  </si>
  <si>
    <t>ระหว่างทางเดินชั้น 1</t>
  </si>
  <si>
    <t>หน้าประตูทางเข้ามิวเซียม</t>
  </si>
  <si>
    <t>เคาน์เตอร์จำหน่ายของที่ระลึกผิวลามิเนตลายไม้     ขนาด 1.00 x 3.60 ม. สูง 1.80 ม</t>
  </si>
  <si>
    <t>เคาน์เตอร์จำหน่ายของที่ระลึกผิวลามิเนตลายไม้     ขนาด 0.60 x 1.50 ม. สูง 0.80 ม.</t>
  </si>
  <si>
    <t>ระหว่างทางเดินฝั่งห้องสำนักงาน</t>
  </si>
  <si>
    <t>หน้าห้องน้ำหญิง ชั้น 1</t>
  </si>
  <si>
    <t>ระหว่างทางเดินหน้าห้องควบคุมระบบ ชั้น 2</t>
  </si>
  <si>
    <t>ห้องนิทรรศการถาวร ชั้น 2</t>
  </si>
  <si>
    <t>ด้านหลังตึกมิวเซียม</t>
  </si>
  <si>
    <t>ระหว่างทางเดินมัลติมีเดีย</t>
  </si>
  <si>
    <t>หน้าห้อง TK</t>
  </si>
  <si>
    <t>นอกตึกมิวเซียม</t>
  </si>
  <si>
    <t>หมุนเวียนท้องถิ่น</t>
  </si>
  <si>
    <t>หน้าหมุนเวียนท้องถิ่น</t>
  </si>
  <si>
    <t>ระหว่างทางเดินหมุนเวียน</t>
  </si>
  <si>
    <t>ระหว่างทางเดิน ชั้น 2</t>
  </si>
  <si>
    <t>หน้าห้องนิทรรศการถาวร</t>
  </si>
  <si>
    <t>ห้องมัลติมีเดีย</t>
  </si>
  <si>
    <t>พิพิธภัณฑ์หอปูมละกอน</t>
  </si>
  <si>
    <t xml:space="preserve">ตู้เอกสารบานสไลด์    80X40X84  ซม.   </t>
  </si>
  <si>
    <t>22 ก.พ.55</t>
  </si>
  <si>
    <t>พิพิธภัณฑ์ ฯ</t>
  </si>
  <si>
    <t>410-670808-00018</t>
  </si>
  <si>
    <t>410-670808-00019</t>
  </si>
  <si>
    <t>410-670730-00038</t>
  </si>
  <si>
    <t>410-670730-00041</t>
  </si>
  <si>
    <t>410-670730-00042</t>
  </si>
  <si>
    <t>410-670730-00036</t>
  </si>
  <si>
    <t xml:space="preserve">ตู้เก็บของ ตอนบนเป็นที่หุ้มเบาะ </t>
  </si>
  <si>
    <t>401-240826-00001</t>
  </si>
  <si>
    <t>406-24-0191</t>
  </si>
  <si>
    <t>401-240826-00002</t>
  </si>
  <si>
    <t>ศ.406-24-0192</t>
  </si>
  <si>
    <t>401-240826-00003</t>
  </si>
  <si>
    <t>ศ.406-24-0193</t>
  </si>
  <si>
    <t>401-240826-00004</t>
  </si>
  <si>
    <t>ศ.406-24-0194</t>
  </si>
  <si>
    <t>ผู้ช่วยคอมฯ</t>
  </si>
  <si>
    <t>วก. กิ๊บชั้น 2</t>
  </si>
  <si>
    <t>เครืองปรับอากาศแบบแยกส่วน ชนิดตั้งพื้น หรือชนิดแขวน</t>
  </si>
  <si>
    <t>ผอ.สำนัก</t>
  </si>
  <si>
    <t xml:space="preserve"> ห้องประชุมราชาวดี</t>
  </si>
  <si>
    <t>ห้องผอ .ชั้น 2</t>
  </si>
  <si>
    <t>สุวีณา</t>
  </si>
  <si>
    <t>บุษบกสำหรับอัญเชิญพระเจ้าแก้วมรกต</t>
  </si>
  <si>
    <t>401-101020-00001</t>
  </si>
  <si>
    <t>ศ.406-10-0030</t>
  </si>
  <si>
    <t>ศพด.บ้านดงม่อนกระทิง</t>
  </si>
  <si>
    <t>ศพด.บ้านดง</t>
  </si>
  <si>
    <t>ตู้เหล็กชนิด 4 ลิ้นชัก ยี่ห้อคิงคอง</t>
  </si>
  <si>
    <t>401-240522-00001</t>
  </si>
  <si>
    <t>406-24-0195</t>
  </si>
  <si>
    <t xml:space="preserve">ตู้เหล็กชนิด 4 ลิ้นชัก     </t>
  </si>
  <si>
    <t>401-250702-00005</t>
  </si>
  <si>
    <t>406-25-0239</t>
  </si>
  <si>
    <t>โต๊ะทำงานระดับ 1 พร้อมเก้าอี้</t>
  </si>
  <si>
    <t>401-280131-00001</t>
  </si>
  <si>
    <t>400-28-0750</t>
  </si>
  <si>
    <t>ร.ร.ท.1</t>
  </si>
  <si>
    <t xml:space="preserve">  เทศบัญญัติ     ร.ร. ท.1 (ยืม)</t>
  </si>
  <si>
    <t>โต๊ะทำงานระดับ 1-2 พร้อมเก้าอี้</t>
  </si>
  <si>
    <t>401-310301-00001</t>
  </si>
  <si>
    <t>400-31-1761</t>
  </si>
  <si>
    <t>401-310307-00001</t>
  </si>
  <si>
    <t>400-31-1762</t>
  </si>
  <si>
    <t xml:space="preserve">   เทศบัญญัติ     ร.ร. ท.1 (ยืม)</t>
  </si>
  <si>
    <t>401-440420-00001</t>
  </si>
  <si>
    <t>400-44-2766</t>
  </si>
  <si>
    <t>ร.ร.ท.3</t>
  </si>
  <si>
    <t>เทศบัญญัติ     ร.ร. ท.3 (ยืม)</t>
  </si>
  <si>
    <t>401-460222-00001</t>
  </si>
  <si>
    <t>400-46-5359</t>
  </si>
  <si>
    <t>เทศบัญญัติ  ร.ร. ท.1 (ยืม)</t>
  </si>
  <si>
    <t>เก้าอี้ทำงาน ชนิดเบาะหนัง ยี่ห้อ MONO รุ่น PATONG/H</t>
  </si>
  <si>
    <t>401-631012-00132</t>
  </si>
  <si>
    <t>401-63-9355</t>
  </si>
  <si>
    <t xml:space="preserve"> 11 พ.ย. 62</t>
  </si>
  <si>
    <t>หอปูมละกอน</t>
  </si>
  <si>
    <t>401-631012-00133</t>
  </si>
  <si>
    <t>401-63-9356</t>
  </si>
  <si>
    <t>รถม้าโบราณ 3 ที่นั่งกว้างไม่น้อยกว่า 90 ซม. ยาว 3 เมตร สูง 2.30 เมตร</t>
  </si>
  <si>
    <t>รถม้าโบราณ 2 ที่นั่ง กว้างไม่น้อยกว่า 90 ซม. ยาว 2.20 เมตร สูง 2.30 เมตร</t>
  </si>
  <si>
    <t>สัตตภัณฑ์ล้านนาขนาดไม่น้อยกว่า 40x80 ซม. สูงไม่น้อยกว่า 130 ซม.</t>
  </si>
  <si>
    <t>ท.6</t>
  </si>
  <si>
    <t>เครืองปรับอากาศแบบแยกส่วน ชนิดตั้งพื้นหรือชนิดแขวน</t>
  </si>
  <si>
    <t xml:space="preserve">เครื่องปรับอากาศแบบแยกส่วนชนิดแขวน  9,000 BTU         </t>
  </si>
  <si>
    <t>401-540119-00001</t>
  </si>
  <si>
    <t>(ศ)420-54-0154</t>
  </si>
  <si>
    <t>401-540119-00002</t>
  </si>
  <si>
    <t>(ศ)420-54-0155</t>
  </si>
  <si>
    <t>401-540119-00003</t>
  </si>
  <si>
    <t>(ศ)420-54-0156</t>
  </si>
  <si>
    <t>401-540119-00004</t>
  </si>
  <si>
    <t>(ศ)420-54-0157</t>
  </si>
  <si>
    <t xml:space="preserve">เครื่องปรับอากาศแบบแยกส่วนชนิดแขวน 24,000 BTU         </t>
  </si>
  <si>
    <t>401-540119-00005</t>
  </si>
  <si>
    <t>(ศ)420-54-0158</t>
  </si>
  <si>
    <t xml:space="preserve">เครื่องปรับอากาศแบบแยกส่วนชนิดแขวน  25,000 BTU        </t>
  </si>
  <si>
    <t>401-540119-00006</t>
  </si>
  <si>
    <t>(ศ)420-54-0159</t>
  </si>
  <si>
    <t xml:space="preserve">เครื่องปรับอากาศแบบแยกส่วนชนิดแขวน  18,000 BTU        </t>
  </si>
  <si>
    <t>401-540119-00007</t>
  </si>
  <si>
    <t>(ศ)420-54-0160</t>
  </si>
  <si>
    <t>401-540119-00008</t>
  </si>
  <si>
    <t>(ศ)420-54-0161</t>
  </si>
  <si>
    <t>401-540119-00009</t>
  </si>
  <si>
    <t>(ศ)420-54-0162</t>
  </si>
  <si>
    <t>401-540119-00012</t>
  </si>
  <si>
    <t>(ศ)420-54-0165</t>
  </si>
  <si>
    <t>401-540119-00013</t>
  </si>
  <si>
    <t>(ศ)420-54-0166</t>
  </si>
  <si>
    <t xml:space="preserve">เครื่องปรับอากาศแบบแยกส่วนชนิดแขวน  36,000 BTU        </t>
  </si>
  <si>
    <t>401-540119-00014</t>
  </si>
  <si>
    <t>(ศ)420-54-0167</t>
  </si>
  <si>
    <t>หุ่นไฟเบอร์จำลองคนผู้ชาย แบบลอยตัว พร้อมเสื้อผ้า 1 ตัว</t>
  </si>
  <si>
    <t>411-540119-00001</t>
  </si>
  <si>
    <t>500-54-0001</t>
  </si>
  <si>
    <t xml:space="preserve"> 19 ม.ค. 54</t>
  </si>
  <si>
    <t>หุ่นไฟเบอร์จำลองเด็กผู้หญิงแบบลอยตัว พร้อมเสื้อผ้า 1 ตัว</t>
  </si>
  <si>
    <t>411-540119-00002</t>
  </si>
  <si>
    <t>500-54-0002</t>
  </si>
  <si>
    <t>เค้าโครงร่างแม่ค้าผู้หญิงแบบเต็มตัว</t>
  </si>
  <si>
    <t>411-540119-00003</t>
  </si>
  <si>
    <t>500-54-0004</t>
  </si>
  <si>
    <t>ตัวอย่างจำลองสินค้าเบ็ดเตล็ด</t>
  </si>
  <si>
    <t>411-540119-00004</t>
  </si>
  <si>
    <t>500-54-0006</t>
  </si>
  <si>
    <t>อุปกรณ์ตกแต่งในตลาด 1 ชุด</t>
  </si>
  <si>
    <t>411-540119-00005</t>
  </si>
  <si>
    <t>500-54-0007</t>
  </si>
  <si>
    <t>Lound Speaker</t>
  </si>
  <si>
    <t>403-540119-00010</t>
  </si>
  <si>
    <t>459-54-0006</t>
  </si>
  <si>
    <t>403-540119-00003</t>
  </si>
  <si>
    <t>459-54-0002</t>
  </si>
  <si>
    <t>Sequence Controller (local)</t>
  </si>
  <si>
    <t>410-540119-00001</t>
  </si>
  <si>
    <t>430-54-0007</t>
  </si>
  <si>
    <t>PM 3 Player With controller (local) (ชุดตลาดนานาชาติ)</t>
  </si>
  <si>
    <t>403-540119-00001</t>
  </si>
  <si>
    <t>455-54-0003</t>
  </si>
  <si>
    <t>PM 3 Player With controller (local)</t>
  </si>
  <si>
    <t>403-540119-00007</t>
  </si>
  <si>
    <t>455-54-0005</t>
  </si>
  <si>
    <t>เดิม 452 เปลี่ยนเป็น 454 เมื่อวันที่ 14 ม.ค. 63</t>
  </si>
  <si>
    <t>ขุดวีดีทัศน์ ประกอบด้วย Stereo Amplifier</t>
  </si>
  <si>
    <t>403-540119-00002</t>
  </si>
  <si>
    <t>462-54-0002</t>
  </si>
  <si>
    <t>Stereo Amplifier</t>
  </si>
  <si>
    <t>403-540119-00005</t>
  </si>
  <si>
    <t>462-54-0003</t>
  </si>
  <si>
    <t>403-540119-00008</t>
  </si>
  <si>
    <t>462-54-0004</t>
  </si>
  <si>
    <t>403-540119-00009</t>
  </si>
  <si>
    <t>462-54-0005</t>
  </si>
  <si>
    <t>404-540119-00001</t>
  </si>
  <si>
    <t>456-54-0002</t>
  </si>
  <si>
    <t>404-540119-00002</t>
  </si>
  <si>
    <t>456-54-0001</t>
  </si>
  <si>
    <t>Sensorwith Supply</t>
  </si>
  <si>
    <t>403-540119-00006</t>
  </si>
  <si>
    <t>488-54-0005</t>
  </si>
  <si>
    <t>เครื่องเล่นสื่อโสต สำหรับชุดเจ้าเมืองและตำนานนางสุชาดา</t>
  </si>
  <si>
    <t>404-581125-00001</t>
  </si>
  <si>
    <t>จอสัมผัส ขนาด 27 นิ้ว ชุดมัลติมีเดียสำหรับลงคำปฎิญาณ</t>
  </si>
  <si>
    <t>404-581125-00002</t>
  </si>
  <si>
    <t>เครื่องควบคุมลำดับ ชุดมัลติมีเดียสำหรับลงคำปฎิญาณ</t>
  </si>
  <si>
    <t>404-581125-00004</t>
  </si>
  <si>
    <t>448-59-0018</t>
  </si>
  <si>
    <t>25 พ.ย. 58</t>
  </si>
  <si>
    <t>เครื่องเล่นสื่อโสต สำหรับชุดมัลติเดียลงคำปฎิญาณ</t>
  </si>
  <si>
    <t>404-581125-00003</t>
  </si>
  <si>
    <t>โปรแกรมลงคำปฎิญาณ (ซอฟแวร์)</t>
  </si>
  <si>
    <t>410-640208-00001</t>
  </si>
  <si>
    <t>416-59-1706</t>
  </si>
  <si>
    <t xml:space="preserve"> 25 พ.ย. 58</t>
  </si>
  <si>
    <t>ตู้วางชุดจอระบบสัมผัส</t>
  </si>
  <si>
    <t>401-581125-00001</t>
  </si>
  <si>
    <t>406-59-1228</t>
  </si>
  <si>
    <t>ฉากถ่ายรูปนางงาม</t>
  </si>
  <si>
    <t>401-581125-00002</t>
  </si>
  <si>
    <t>490-59-0015</t>
  </si>
  <si>
    <t>เครื่องวัดอุณหภูมิ ยี่ห้อ CIG LL,MO-T260</t>
  </si>
  <si>
    <t>409-631012-00012</t>
  </si>
  <si>
    <t>298-63-0015</t>
  </si>
  <si>
    <r>
      <t xml:space="preserve">Support For Lcd TV 40 นิ้ว ขาประกอบ </t>
    </r>
    <r>
      <rPr>
        <b/>
        <sz val="14"/>
        <rFont val="TH SarabunPSK"/>
        <family val="2"/>
      </rPr>
      <t>(ชุดเจ้าแม่สุชาดา)</t>
    </r>
  </si>
  <si>
    <t>401-670727-00020</t>
  </si>
  <si>
    <t>401-670727-00021</t>
  </si>
  <si>
    <t>401-670727-00022</t>
  </si>
  <si>
    <t>401-670727-00023</t>
  </si>
  <si>
    <t>401-670727-00024</t>
  </si>
  <si>
    <t>401-670727-00025</t>
  </si>
  <si>
    <t>401-670727-00026</t>
  </si>
  <si>
    <t>401-670727-00027</t>
  </si>
  <si>
    <t>401-670727-00028</t>
  </si>
  <si>
    <t>401-670727-00029</t>
  </si>
  <si>
    <t>401-670727-00030</t>
  </si>
  <si>
    <t>401-670727-00031</t>
  </si>
  <si>
    <t>401-670727-00032</t>
  </si>
  <si>
    <t>401-670727-00033</t>
  </si>
  <si>
    <t>401-670730-00021</t>
  </si>
  <si>
    <t>401-670730-00023</t>
  </si>
  <si>
    <t>401-670730-00025</t>
  </si>
  <si>
    <t>401-670730-00027</t>
  </si>
  <si>
    <t>401-670730-00028</t>
  </si>
  <si>
    <t>401-670730-00029</t>
  </si>
  <si>
    <t>401-670730-00030</t>
  </si>
  <si>
    <t>401-670730-00031</t>
  </si>
  <si>
    <t>401-670730-00032</t>
  </si>
  <si>
    <t>401-670730-00033</t>
  </si>
  <si>
    <t>401-670730-00034</t>
  </si>
  <si>
    <t>401-670730-00035</t>
  </si>
  <si>
    <t>401-670730-00036</t>
  </si>
  <si>
    <t>401-670730-00038</t>
  </si>
  <si>
    <t>401-670730-00039</t>
  </si>
  <si>
    <t>401-670730-00040</t>
  </si>
  <si>
    <t>401-670730-00041</t>
  </si>
  <si>
    <t>401-670730-00042</t>
  </si>
  <si>
    <t>401-670730-00014</t>
  </si>
  <si>
    <t>401-670730-00015</t>
  </si>
  <si>
    <t>401-670804-00002</t>
  </si>
  <si>
    <t>401-670730-00020</t>
  </si>
  <si>
    <t>401-670730-00022</t>
  </si>
  <si>
    <t>401-670731-00005</t>
  </si>
  <si>
    <t>401-670730-00026</t>
  </si>
  <si>
    <t>401-670731-00006</t>
  </si>
  <si>
    <t>401-670731-00007</t>
  </si>
  <si>
    <t>401-670731-00008</t>
  </si>
  <si>
    <t>401-670731-00009</t>
  </si>
  <si>
    <t>401-670731-00010</t>
  </si>
  <si>
    <t>401-670731-00014</t>
  </si>
  <si>
    <t>401-670731-00011</t>
  </si>
  <si>
    <t>401-670731-00012</t>
  </si>
  <si>
    <t>401-670731-00013</t>
  </si>
  <si>
    <t>401-670731-00015</t>
  </si>
  <si>
    <t>401-670731-00016</t>
  </si>
  <si>
    <t>401-670731-00018</t>
  </si>
  <si>
    <t>401-670731-00019</t>
  </si>
  <si>
    <t>401-670731-00020</t>
  </si>
  <si>
    <t>401-670731-00021</t>
  </si>
  <si>
    <t>401-670731-00023</t>
  </si>
  <si>
    <t>401-670731-00024</t>
  </si>
  <si>
    <t>401-670731-00025</t>
  </si>
  <si>
    <t>401-670731-00026</t>
  </si>
  <si>
    <t>401-670731-00027</t>
  </si>
  <si>
    <t>401-670731-00028</t>
  </si>
  <si>
    <t>401-670731-00029</t>
  </si>
  <si>
    <t>401-670731-00030</t>
  </si>
  <si>
    <t>401-670731-00033</t>
  </si>
  <si>
    <t>401-670731-00035</t>
  </si>
  <si>
    <t>401-670731-00045</t>
  </si>
  <si>
    <t>401-670731-00046</t>
  </si>
  <si>
    <t>401-670731-00047</t>
  </si>
  <si>
    <t>401-670731-00049</t>
  </si>
  <si>
    <t>401-670731-00051</t>
  </si>
  <si>
    <t>401-670731-00054</t>
  </si>
  <si>
    <t>401-670805-00001</t>
  </si>
  <si>
    <t>401-670731-00055</t>
  </si>
  <si>
    <t>401-670731-00057</t>
  </si>
  <si>
    <t>401-670731-00059</t>
  </si>
  <si>
    <t>401-670731-00060</t>
  </si>
  <si>
    <t>401-670731-00061</t>
  </si>
  <si>
    <t>401-670731-00063</t>
  </si>
  <si>
    <t>401-670731-00065</t>
  </si>
  <si>
    <t>401-670731-00067</t>
  </si>
  <si>
    <t>401-670731-00068</t>
  </si>
  <si>
    <t>401-670731-00069</t>
  </si>
  <si>
    <t>401-670731-00070</t>
  </si>
  <si>
    <t>401-670731-00071</t>
  </si>
  <si>
    <t>401-670731-00072</t>
  </si>
  <si>
    <t>401-670731-00073</t>
  </si>
  <si>
    <t>401-670731-00075</t>
  </si>
  <si>
    <t>401-670731-00076</t>
  </si>
  <si>
    <t>401-670731-00077</t>
  </si>
  <si>
    <t>401-670731-00078</t>
  </si>
  <si>
    <t>401-670731-00080</t>
  </si>
  <si>
    <t>401-670731-00081</t>
  </si>
  <si>
    <t>401-670731-00083</t>
  </si>
  <si>
    <t>401-670731-00084</t>
  </si>
  <si>
    <t>401-670731-00086</t>
  </si>
  <si>
    <t xml:space="preserve">401-670731-00088 </t>
  </si>
  <si>
    <t>401-670731-00089</t>
  </si>
  <si>
    <t>401-670731-00091</t>
  </si>
  <si>
    <t>401-670731-00092</t>
  </si>
  <si>
    <t>401-670731-00093</t>
  </si>
  <si>
    <t>401-670731-00094</t>
  </si>
  <si>
    <t>413-670809-00002</t>
  </si>
  <si>
    <t>410-670730-00050</t>
  </si>
  <si>
    <t>เครื่องเล่นมัลติมีเดีย PLAYER USB MP3 CD ยี่ห้อ NPE รุ่น UDP-3MX</t>
  </si>
  <si>
    <t>401-670926-00022</t>
  </si>
  <si>
    <t>403-670926-00028</t>
  </si>
  <si>
    <t>403-670926-00029</t>
  </si>
  <si>
    <t>403-670926-00030</t>
  </si>
  <si>
    <t>403-670926-00031</t>
  </si>
  <si>
    <t>403-670926-00032</t>
  </si>
  <si>
    <t>403-670926-00035</t>
  </si>
  <si>
    <t>403-670926-00036</t>
  </si>
  <si>
    <t>403-670926-00037</t>
  </si>
  <si>
    <t>403-670926-00038</t>
  </si>
  <si>
    <t>403-670927-00001</t>
  </si>
  <si>
    <t>403-670927-00002</t>
  </si>
  <si>
    <t>403-670927-00003</t>
  </si>
  <si>
    <t>403-670927-00004</t>
  </si>
  <si>
    <t>403-670927-00005</t>
  </si>
  <si>
    <t>403-670927-00006</t>
  </si>
  <si>
    <t>403-670927-00007</t>
  </si>
  <si>
    <t>403-670927-00008</t>
  </si>
  <si>
    <t>403-670927-00009</t>
  </si>
  <si>
    <t>403-670927-00010</t>
  </si>
  <si>
    <t>403-670927-00011</t>
  </si>
  <si>
    <t>403-670927-00012</t>
  </si>
  <si>
    <t>403-670927-00013</t>
  </si>
  <si>
    <t>403-671004-00001</t>
  </si>
  <si>
    <t>410-670730-00016</t>
  </si>
  <si>
    <t>410-670730-00019</t>
  </si>
  <si>
    <t>410-670730-00021</t>
  </si>
  <si>
    <t>410-670730-00022</t>
  </si>
  <si>
    <t>410-670730-00027</t>
  </si>
  <si>
    <t>410-670730-00031</t>
  </si>
  <si>
    <t>410-670926-00001</t>
  </si>
  <si>
    <t>410-671005-00003</t>
  </si>
  <si>
    <t>410-671005-00005</t>
  </si>
  <si>
    <t>410-671005-00006</t>
  </si>
  <si>
    <t>404-660830-00002</t>
  </si>
  <si>
    <t>404-660830-00003</t>
  </si>
  <si>
    <t>404-660830-00004</t>
  </si>
  <si>
    <t>404-660830-00005</t>
  </si>
  <si>
    <t>404-660830-00006</t>
  </si>
  <si>
    <t>401-670808-00008</t>
  </si>
  <si>
    <t>401-670808-00009</t>
  </si>
  <si>
    <t>401-660830-00005</t>
  </si>
  <si>
    <t>401-660830-00006</t>
  </si>
  <si>
    <t>401-660904-00002</t>
  </si>
  <si>
    <t>401-660904-00003</t>
  </si>
  <si>
    <t>401-660904-00004</t>
  </si>
  <si>
    <t>401-660904-00005</t>
  </si>
  <si>
    <t>401-660904-00006</t>
  </si>
  <si>
    <t>401-660904-00007</t>
  </si>
  <si>
    <t>407-660903-00001</t>
  </si>
  <si>
    <t xml:space="preserve">403-660903-00001 </t>
  </si>
  <si>
    <t xml:space="preserve">412-660830-00001 </t>
  </si>
  <si>
    <t>401-660830-00003</t>
  </si>
  <si>
    <t>401-660830-00004</t>
  </si>
  <si>
    <t>401-660903-00029</t>
  </si>
  <si>
    <t>401-660903-00030</t>
  </si>
  <si>
    <t>401-660903-00031</t>
  </si>
  <si>
    <t>401-660903-00032</t>
  </si>
  <si>
    <t>401-660903-00033</t>
  </si>
  <si>
    <t>410-660926-00005</t>
  </si>
  <si>
    <t>410-660926-00007</t>
  </si>
  <si>
    <t>410-660926-00008</t>
  </si>
  <si>
    <t>410-660926-00009</t>
  </si>
  <si>
    <t>462-63-0361</t>
  </si>
  <si>
    <t>806-63-0101</t>
  </si>
  <si>
    <t>806-63-0102</t>
  </si>
  <si>
    <t>432-63-1257</t>
  </si>
  <si>
    <t>432-63-1258</t>
  </si>
  <si>
    <t>432-63-1259</t>
  </si>
  <si>
    <t>432-63-1260</t>
  </si>
  <si>
    <t>432-63-1261</t>
  </si>
  <si>
    <t>432-63-1262</t>
  </si>
  <si>
    <t>432-63-1263</t>
  </si>
  <si>
    <t>432-63-1264</t>
  </si>
  <si>
    <t>432-63-1265</t>
  </si>
  <si>
    <t>432-63-1266</t>
  </si>
  <si>
    <t>432-63-1267</t>
  </si>
  <si>
    <t>432-63-1268</t>
  </si>
  <si>
    <t>432-63-1269</t>
  </si>
  <si>
    <t>432-63-1270</t>
  </si>
  <si>
    <t>432-63-1271</t>
  </si>
  <si>
    <t>432-63-1272</t>
  </si>
  <si>
    <t>432-63-1273</t>
  </si>
  <si>
    <t>432-63-1274</t>
  </si>
  <si>
    <t>432-63-1275</t>
  </si>
  <si>
    <t>432-63-1276</t>
  </si>
  <si>
    <t>420-63-0349</t>
  </si>
  <si>
    <t>497-63-0001</t>
  </si>
  <si>
    <t>LCD TV 40 นิ้ว ระดับความละเอียดจอภาพ  ไม่น้อยกว่า 1366  (ชุดเจ้าแม่สุชาดา)</t>
  </si>
  <si>
    <t>เครื่องคอมพิวเตอร์สำหรับประมวลผลแบบที่ 1 CPU แบบที่ 1 HP Pro Tower 280 G9  พร้อมจอ</t>
  </si>
  <si>
    <t>มนต์ทิวา</t>
  </si>
  <si>
    <t>อรทัย</t>
  </si>
  <si>
    <t>นิมิตร</t>
  </si>
  <si>
    <t>√</t>
  </si>
  <si>
    <t>สวนเขลางค์</t>
  </si>
  <si>
    <t>สวนภิรมย์ธาร</t>
  </si>
  <si>
    <t>สวนเวียงละกอน</t>
  </si>
  <si>
    <t>สวนข่วงละกอน</t>
  </si>
  <si>
    <t>สวนประตูเวียง</t>
  </si>
  <si>
    <t>สวนจีน</t>
  </si>
  <si>
    <t>ศรีล้อม-แสงเมืองมา</t>
  </si>
  <si>
    <t>ช่างแต้ม-ต้นมะขาม</t>
  </si>
  <si>
    <t>ช่างแต้ม-ข้างวัดพระแก้ว</t>
  </si>
  <si>
    <t>แจ่งหัวริน</t>
  </si>
  <si>
    <t>กำแพงเมือง</t>
  </si>
  <si>
    <t>ปงสนุก</t>
  </si>
  <si>
    <t>รร.เทศบาล 4</t>
  </si>
  <si>
    <t>หัวเวียง-หัวสะพานท่ามะโอ</t>
  </si>
  <si>
    <t>กองต้าเหนือ</t>
  </si>
  <si>
    <t>หัวเวียง-วัดป่ารวก</t>
  </si>
  <si>
    <t>บ้านดงไชย</t>
  </si>
  <si>
    <t>บ้านต้าสามัคคี</t>
  </si>
  <si>
    <t>บ้านหน้าค่าย</t>
  </si>
  <si>
    <t>พระบาท-เกาะลอย</t>
  </si>
  <si>
    <t>ถาวรสุข</t>
  </si>
  <si>
    <t>พระบาท-หนองหมู</t>
  </si>
  <si>
    <t>การเคหะ</t>
  </si>
  <si>
    <t>สนามบิน</t>
  </si>
  <si>
    <t>ศรีบุญเรือง</t>
  </si>
  <si>
    <t>รถไฟ</t>
  </si>
  <si>
    <t>นาก่วมใต้</t>
  </si>
  <si>
    <t>กนกวิมาน</t>
  </si>
  <si>
    <t>ริมน้ำ</t>
  </si>
  <si>
    <t>ศรีชุม-ป่าไผ่</t>
  </si>
  <si>
    <t>ศรีปงชัย</t>
  </si>
  <si>
    <t>ตรอกไฟฟ้าเก่า</t>
  </si>
  <si>
    <t>พระธาตุนาก่วมเหนือ</t>
  </si>
  <si>
    <t>บ้านดงม่อนกระทิง</t>
  </si>
  <si>
    <t>ท่าคราวน้อย</t>
  </si>
  <si>
    <t>บ้านดงไชย-เขื่อนยาง</t>
  </si>
  <si>
    <t>หลังมัธยม</t>
  </si>
  <si>
    <t>เจริญสุข</t>
  </si>
  <si>
    <t>ม่อนสัณฐาน</t>
  </si>
  <si>
    <t>หน้าศิลาพร</t>
  </si>
  <si>
    <t>หน้าสิริรัตนา</t>
  </si>
  <si>
    <t>หน้าห้อง ชั้น2</t>
  </si>
  <si>
    <t>ธนพัฒน์</t>
  </si>
  <si>
    <t>ตรงบอร์ด ปชส.</t>
  </si>
  <si>
    <t>ตรงบันได ชั้น 2</t>
  </si>
  <si>
    <t>หลังอรุณรัตน์</t>
  </si>
  <si>
    <t>บันไดชั้น 3</t>
  </si>
  <si>
    <t>บันได ชั้น 2</t>
  </si>
  <si>
    <t>บอร์ด ปชส.</t>
  </si>
  <si>
    <t>ประตูชั้น 3</t>
  </si>
  <si>
    <t>ข้างตู้เย็นชั้น 2</t>
  </si>
  <si>
    <t>หน้ากาญจนา</t>
  </si>
  <si>
    <t>ตรงบันไดมีกระจก</t>
  </si>
  <si>
    <t>บันได ชั้น 3</t>
  </si>
  <si>
    <t>วก.นิติรัฐ</t>
  </si>
  <si>
    <t>วก.รัญญากร</t>
  </si>
  <si>
    <t>ณัฐธิดา</t>
  </si>
  <si>
    <t>ข้าง หน.พิมพร</t>
  </si>
  <si>
    <t>ห้องประชุมชั้น 3</t>
  </si>
  <si>
    <t>ศุภณัฐ</t>
  </si>
  <si>
    <t>งานธุรการ ชั้น 3</t>
  </si>
  <si>
    <t>พรนับพัน</t>
  </si>
  <si>
    <t>นริศรา</t>
  </si>
  <si>
    <t>วิภาดา</t>
  </si>
  <si>
    <t>ข้างอรุณรัตน์</t>
  </si>
  <si>
    <t>พันทิพา</t>
  </si>
  <si>
    <t>หน้าอรุณรัตน์</t>
  </si>
  <si>
    <t>หน.ไพศาล</t>
  </si>
  <si>
    <t>ธนศวรรณ</t>
  </si>
  <si>
    <t>วก.ธนศวรรณ</t>
  </si>
  <si>
    <t>ศศิมา</t>
  </si>
  <si>
    <t>พิชยา</t>
  </si>
  <si>
    <t>ศิริกาญจน์</t>
  </si>
  <si>
    <t>สุวิมล</t>
  </si>
  <si>
    <t>หน้าเบญจมาภรณ์</t>
  </si>
  <si>
    <t>เบญจมาภรณ์</t>
  </si>
  <si>
    <t>กาญจนา</t>
  </si>
  <si>
    <t>ข้างพิมล</t>
  </si>
  <si>
    <t>ณัตพงษ์</t>
  </si>
  <si>
    <t>หน้าห้อง ผอ.สำนัก</t>
  </si>
  <si>
    <t>ข้างธนพัฒน์</t>
  </si>
  <si>
    <t>ครุภัณฑ์การศึกษา</t>
  </si>
  <si>
    <t>ครุภัณฑ์ยานพาหนะและขนส่ง</t>
  </si>
  <si>
    <t>ครุภัณฑ์งานบ้านงานครัว</t>
  </si>
  <si>
    <t>ครุภัณฑ์โฆษณาและเผยแพร่</t>
  </si>
  <si>
    <t>ครุภัณฑ์อื่น</t>
  </si>
  <si>
    <t>ครุภัณฑ์การเกษตร</t>
  </si>
  <si>
    <t>ครุภัณฑ์วิทยาศาสตร์หรือการแพทย์</t>
  </si>
  <si>
    <t xml:space="preserve">ปั๊มน้ำอัตโนมัติแบบแรงดันคงที่ กำลังไฟ 350 วัตต์ สีเหลือง ยี่ห้อ MITSUBISHI ELECTRIC </t>
  </si>
  <si>
    <t>406-48-1193</t>
  </si>
  <si>
    <t>ครุภัณฑ์ก่อสร้าง</t>
  </si>
  <si>
    <t>ครุภัณฑ์โรงงาน</t>
  </si>
  <si>
    <t>จำนวน  2  รายการ</t>
  </si>
  <si>
    <t>จำนวน  277  รายการ</t>
  </si>
  <si>
    <t>จำนวน  1  รายการ</t>
  </si>
  <si>
    <t>จำนวน  45  รายการ</t>
  </si>
  <si>
    <t>จำนวน  5  รายการ</t>
  </si>
  <si>
    <t>จำนวน  12  รายการ</t>
  </si>
  <si>
    <t>410-650826-00086</t>
  </si>
  <si>
    <t>416-65-1928</t>
  </si>
  <si>
    <t>เครื่องพิมพ์ Multifunction เลเซอร์ หรือ LED ขาวดำ ยี่ห้อ Pantum รุ่น M6800FDW</t>
  </si>
  <si>
    <t>410-650826-00102</t>
  </si>
  <si>
    <t>416-65-1953</t>
  </si>
  <si>
    <t>******</t>
  </si>
  <si>
    <t>เครื่องผสมสัญญาณเสียง</t>
  </si>
  <si>
    <t>เครื่องขยายเสียงขนาดสเตอริโอ แบบ 4 ช่อง ช่องละ 600 วัตต์</t>
  </si>
  <si>
    <t>เครื่องปรับสัญญาณเสียงแบบดิจิตอล เข้า 4 ออก 8 ช่อง</t>
  </si>
  <si>
    <t>อาคารโฮงละกอน</t>
  </si>
  <si>
    <t>จำนวน  175  รายการ</t>
  </si>
  <si>
    <t>คลังเป็นเครื่องสำรองไฟ</t>
  </si>
  <si>
    <t>อยู่ในสำนักงาน</t>
  </si>
  <si>
    <t>เสื่อม สภาพ</t>
  </si>
  <si>
    <t xml:space="preserve">ชั้นวาง 4 ชั้น มีบานเปิด          </t>
  </si>
  <si>
    <t>404-55-0009</t>
  </si>
  <si>
    <t>1 พ.ย.54</t>
  </si>
  <si>
    <t>นัทธ์หทัย ชั้น 3</t>
  </si>
  <si>
    <t>เครี่องปริ้นเตอร์  cannon laser lbp 6000</t>
  </si>
  <si>
    <t>416-55-0003</t>
  </si>
  <si>
    <t>กฤตาณัฐ ชั้น2</t>
  </si>
  <si>
    <t>ชุดโต๊ะทำงานเข้ามุม   ขนาด 1.20 เมตร</t>
  </si>
  <si>
    <t>400-55-0012</t>
  </si>
  <si>
    <t>สำนักศึกษา  ชั้น 2</t>
  </si>
  <si>
    <t>หน.พิมพร ชั้น2</t>
  </si>
  <si>
    <t>โต๊ะคอมพิวเตอร์   ขนาด 120X60X75 ซม.</t>
  </si>
  <si>
    <t>400-55-0013</t>
  </si>
  <si>
    <t xml:space="preserve">ตู้เอกสารบานเปิด      80X40X160 ซม.   </t>
  </si>
  <si>
    <t>406-55-0007</t>
  </si>
  <si>
    <t xml:space="preserve">ตู้เอกสารบานเปิด     80X40X160 ซม.   </t>
  </si>
  <si>
    <t>406-55-0009</t>
  </si>
  <si>
    <t>ผอ.นก ชั้น2</t>
  </si>
  <si>
    <t>406-55-0010</t>
  </si>
  <si>
    <t>406-55-0012</t>
  </si>
  <si>
    <t xml:space="preserve">ฉากกั้นห้อง      ขนาด 120X160 ซม.     </t>
  </si>
  <si>
    <t>490-55-0001</t>
  </si>
  <si>
    <t>490-55-0003</t>
  </si>
  <si>
    <t>490-55-0004</t>
  </si>
  <si>
    <t xml:space="preserve">ฉากกั้นห้อง      ขนาด 80X160 ซม.      </t>
  </si>
  <si>
    <t>490-55-0005</t>
  </si>
  <si>
    <t>มาเพิ่ม4/6/63 (คลัง)</t>
  </si>
  <si>
    <t xml:space="preserve">ฉากกั้นห้อง    ขนาด 100X120 ซม.    </t>
  </si>
  <si>
    <t>490-55-0010</t>
  </si>
  <si>
    <t>เก้าอี้ปรับระดับเอนได้</t>
  </si>
  <si>
    <t>401-55-0178</t>
  </si>
  <si>
    <t>22ก.พ.55</t>
  </si>
  <si>
    <t>ห้องประชุมชั้น3</t>
  </si>
  <si>
    <t>490-55-0011</t>
  </si>
  <si>
    <t xml:space="preserve">โต๊ะทำงาน    ขนาด 60 X120 ซม.   </t>
  </si>
  <si>
    <t>400-55-0014</t>
  </si>
  <si>
    <t xml:space="preserve">เก้าอี้ทำงานพนักพิงตาข่าย     </t>
  </si>
  <si>
    <t xml:space="preserve"> 401-55-0024</t>
  </si>
  <si>
    <t>15 มี.ค.55</t>
  </si>
  <si>
    <t>เดิมติ๊กตอนนี้แอปเปิ้ล</t>
  </si>
  <si>
    <t>406-55-0013</t>
  </si>
  <si>
    <t>อรทัย ชั้น 3</t>
  </si>
  <si>
    <t xml:space="preserve"> 406-55-0014</t>
  </si>
  <si>
    <t>ข้างเบญจมาภรณ์</t>
  </si>
  <si>
    <t xml:space="preserve">ตู้เอกสารบานเปิด     80X40X80 ซม.  </t>
  </si>
  <si>
    <t>406-55-0016</t>
  </si>
  <si>
    <t>ตู้เอกสารบานเปิด     80X40X160 ซม.</t>
  </si>
  <si>
    <t>406-55-0017</t>
  </si>
  <si>
    <t>28 มี.ค.55</t>
  </si>
  <si>
    <t>ตู้เอกสารบานเปิด     80X40X84 ซม.</t>
  </si>
  <si>
    <t>406-55-0018</t>
  </si>
  <si>
    <t xml:space="preserve">โต๊ะทำงาน    ขนาด 60 X120 ซม.  </t>
  </si>
  <si>
    <t>400-55-0024</t>
  </si>
  <si>
    <t>400-55-0025</t>
  </si>
  <si>
    <t>โต๊ะคอมพิวเตอร์    ขนาด 120X60X75 ซม.</t>
  </si>
  <si>
    <t>400-55-0028</t>
  </si>
  <si>
    <t>16 พ.ค. 55</t>
  </si>
  <si>
    <t>ไปศูนย์เยาวชน</t>
  </si>
  <si>
    <t>เดิม พี่อ้อ</t>
  </si>
  <si>
    <t>400-55-0029</t>
  </si>
  <si>
    <t>400-55-0030</t>
  </si>
  <si>
    <t>400-55-0031</t>
  </si>
  <si>
    <t>โต๊ะคอมพิวเตอร์    ขนาด 80X60X75  ซม.</t>
  </si>
  <si>
    <t>400-55-0032</t>
  </si>
  <si>
    <t>โต๊ะคอมพิวเตอร์    ขนาด 80X60X75 ซม.</t>
  </si>
  <si>
    <t>400-55-0033</t>
  </si>
  <si>
    <t>401-55-0034</t>
  </si>
  <si>
    <t>16 พ.ค.55</t>
  </si>
  <si>
    <t>เหลือใช้</t>
  </si>
  <si>
    <t>401-55-0036</t>
  </si>
  <si>
    <t xml:space="preserve">เก้าอี้กลมพลาสติก     </t>
  </si>
  <si>
    <t>401-55-0181</t>
  </si>
  <si>
    <t>ชั้น3</t>
  </si>
  <si>
    <t>401-55-0183</t>
  </si>
  <si>
    <t>กล่องเอนกประสงค์ 3 ชั้น ใส่เอกสาร  42X78X30</t>
  </si>
  <si>
    <t>404-55-0010</t>
  </si>
  <si>
    <t>ณัญธิดา</t>
  </si>
  <si>
    <t>404-55-0011</t>
  </si>
  <si>
    <t>404-55-0012</t>
  </si>
  <si>
    <t>404-55-0013</t>
  </si>
  <si>
    <t>404-55-0014</t>
  </si>
  <si>
    <t>404-55-0015</t>
  </si>
  <si>
    <t>404-55-0016</t>
  </si>
  <si>
    <t>404-55-0017</t>
  </si>
  <si>
    <t>ผ้าม่านสำนักงานปรับแสง ขนาด 3.95x1.50 ม.</t>
  </si>
  <si>
    <t>434-55-0001</t>
  </si>
  <si>
    <t>ผ้าม่านสำนักงานปรับแสง ขนาด 2.00x1.20 ม.</t>
  </si>
  <si>
    <t>434-55-0002</t>
  </si>
  <si>
    <t>ปรับปรุงห้องผอ.</t>
  </si>
  <si>
    <t>434-55-0003</t>
  </si>
  <si>
    <t xml:space="preserve">ผ้าม่านสำนักงานปรับแสง ขนาด 2.00x1.20 ม. </t>
  </si>
  <si>
    <t>434-55-0004</t>
  </si>
  <si>
    <t>434-55-0005</t>
  </si>
  <si>
    <t xml:space="preserve">โต๊ะทำงาน   ขนาด 80 X660X75 ซม. </t>
  </si>
  <si>
    <t>400-55-0061</t>
  </si>
  <si>
    <t>4 ก.ย. 55</t>
  </si>
  <si>
    <t>ห้อง ผอ.สำนัก</t>
  </si>
  <si>
    <t>โต๊ะไม้วางอุปกรณ์    ขนาด 60X120X45 ซม.</t>
  </si>
  <si>
    <t>400-55-0062</t>
  </si>
  <si>
    <t>โต๊ะไม้วางอุปกรณ์   ขนาด  60 X120X45  ซม.</t>
  </si>
  <si>
    <t>400-55-0063</t>
  </si>
  <si>
    <t>โต๊ะกลางชุดรับแขกไม้สัก  ขนาด 45 X53X45  ซม.</t>
  </si>
  <si>
    <t>400-55-0064</t>
  </si>
  <si>
    <t xml:space="preserve">เก้าอี้โซฟารับแขกไม้สักบุฟองน้ำชนิดเดียว    </t>
  </si>
  <si>
    <t>401-55-0172</t>
  </si>
  <si>
    <t>4 ก.ย.55</t>
  </si>
  <si>
    <t>ห้อง ผอ.สำนักฯ</t>
  </si>
  <si>
    <t xml:space="preserve"> 401-55-0173</t>
  </si>
  <si>
    <t>เก้าอี้นวมมีพนักพิงล้อเลื่อน</t>
  </si>
  <si>
    <t>401-55-0174</t>
  </si>
  <si>
    <t>ตู้เอกสารโล่ง 80 ซม.</t>
  </si>
  <si>
    <t>406-56-0034</t>
  </si>
  <si>
    <t>25 ม.ค.56</t>
  </si>
  <si>
    <t>ตู้เอกสารไม้ขนาด 80 ซม.</t>
  </si>
  <si>
    <t>406-56-0035</t>
  </si>
  <si>
    <t>หน้าห้องผอ.นก</t>
  </si>
  <si>
    <t>จอคอมพิวเตอร์ led 20 นิ้ว dell</t>
  </si>
  <si>
    <t>416-56-0342</t>
  </si>
  <si>
    <t>เครื่องปั้มน้ำอัตโนมัติ</t>
  </si>
  <si>
    <t>005-56-0002</t>
  </si>
  <si>
    <t>โทรศัพท์รุ่น KXTG 3611 BK ขาว 3 ABXG 114042</t>
  </si>
  <si>
    <t>423-56-0001</t>
  </si>
  <si>
    <t>โทรศัพท์รุ่น KXTG 3611 BK ขาว 2 LBXG 11953</t>
  </si>
  <si>
    <t>423-56-0002</t>
  </si>
  <si>
    <t>400-56-0084</t>
  </si>
  <si>
    <t>24 มิ.ย.56</t>
  </si>
  <si>
    <t>400-56-0085</t>
  </si>
  <si>
    <t>400-56-0086</t>
  </si>
  <si>
    <t>400-56-0087</t>
  </si>
  <si>
    <t xml:space="preserve">โต๊ะต่อโค้งประชุมขนาด 120 ซม.       </t>
  </si>
  <si>
    <t>400-56-0088</t>
  </si>
  <si>
    <t>22 ส.ค.56</t>
  </si>
  <si>
    <t>โต๊ะประชุม</t>
  </si>
  <si>
    <t xml:space="preserve"> 400-56-0089</t>
  </si>
  <si>
    <t xml:space="preserve">โต๊ะประชุมขนาด 150X60X75 ซม.   </t>
  </si>
  <si>
    <t>400-56-0090</t>
  </si>
  <si>
    <t>22 ส.ค. 56</t>
  </si>
  <si>
    <t>400-56-0091</t>
  </si>
  <si>
    <t>400-56-0092</t>
  </si>
  <si>
    <t>หน้าพี่นก  ชั้น3</t>
  </si>
  <si>
    <t>400-56-0093</t>
  </si>
  <si>
    <t>400-56-0094</t>
  </si>
  <si>
    <t>400-56-0095</t>
  </si>
  <si>
    <t>400-56-0120</t>
  </si>
  <si>
    <t>6 ก.ย.56</t>
  </si>
  <si>
    <t xml:space="preserve"> 400-56-0121</t>
  </si>
  <si>
    <t xml:space="preserve">ตู้แฟ้มเอกสารขนาดบนโล่ง - ล่างบานเปิด          </t>
  </si>
  <si>
    <t xml:space="preserve"> 406-56-0032</t>
  </si>
  <si>
    <t>ตู้เก็บเอกสารแบบบนโล่ง-ล่างบานเปิด</t>
  </si>
  <si>
    <t>406-56-0033</t>
  </si>
  <si>
    <t>12 ก.ย.56</t>
  </si>
  <si>
    <t>ทะเบียนรายงานผลการตรวจนับครุภัณฑ์ (ต่ำกว่าเกณฑ์) ประจำปี 2567</t>
  </si>
  <si>
    <t>( ณ  วันที่ 30 กันยายน  2567)</t>
  </si>
  <si>
    <t>ห้องเก็บของฝั่ง TK</t>
  </si>
  <si>
    <t>หน้าห้องมัลติมีเดีย</t>
  </si>
  <si>
    <t>elaas คอม</t>
  </si>
  <si>
    <t>งบทรัพย์สิน</t>
  </si>
  <si>
    <t>ณ วันที่ 30 กันยายน 2567</t>
  </si>
  <si>
    <t xml:space="preserve">ประเภททรัพย์สิน </t>
  </si>
  <si>
    <t>จำนวน</t>
  </si>
  <si>
    <t>งบประมาณ (บาท)</t>
  </si>
  <si>
    <t>ครุภัณฑ์สำรวจ</t>
  </si>
  <si>
    <t>ครุภัณฑ์วิทยาศาสตร์และการแพทย์</t>
  </si>
  <si>
    <t>ครุภัณฑ์ดนตรีและนาฎศิลป์</t>
  </si>
  <si>
    <t>รวม</t>
  </si>
  <si>
    <t>โต๊ะคอมพิวเตอร์สีน้ำตาล</t>
  </si>
  <si>
    <t>งบทรัพย์สินเทศบาลนครลำปาง</t>
  </si>
  <si>
    <t>หน่วยงาน  สำนักการศึกษา  เทศบาลนครลำปาง</t>
  </si>
  <si>
    <t>ประเภททรัพย์สิน</t>
  </si>
  <si>
    <t>รหัสพัสดุ</t>
  </si>
  <si>
    <t>ครุภัณฑ์ (ปกติ)</t>
  </si>
  <si>
    <t>ครุภัณฑ์ต่ำกว่าเกณฑ์ (วัสดุ)</t>
  </si>
  <si>
    <t>จำนวนรายการ</t>
  </si>
  <si>
    <t>จำนวนเงินที่ได้มา</t>
  </si>
  <si>
    <t>ก. อสังหาริมทรัพย์</t>
  </si>
  <si>
    <t>1.  ที่ดิน</t>
  </si>
  <si>
    <t>001</t>
  </si>
  <si>
    <t>2.  อาคารและโรงเรียน</t>
  </si>
  <si>
    <t>040</t>
  </si>
  <si>
    <t>3.  สิ่งก่อสร้างอื่น</t>
  </si>
  <si>
    <t xml:space="preserve">    3.1  สิ่งปลูกสร้าง</t>
  </si>
  <si>
    <t xml:space="preserve">040 </t>
  </si>
  <si>
    <t xml:space="preserve">    3.2  โรงเรียน</t>
  </si>
  <si>
    <t xml:space="preserve">          อาคารหอมุด</t>
  </si>
  <si>
    <t>010</t>
  </si>
  <si>
    <t xml:space="preserve">          อาคารโรงพละศึกษา</t>
  </si>
  <si>
    <t xml:space="preserve">          อาคารโรงอาหาร</t>
  </si>
  <si>
    <t>042</t>
  </si>
  <si>
    <t xml:space="preserve">    3.3 อาคารห้องน้ำ ห้องส้วม</t>
  </si>
  <si>
    <t>045</t>
  </si>
  <si>
    <t xml:space="preserve">    3.4 บ้านพักข้าราชการท้องถิ่น   </t>
  </si>
  <si>
    <t>090</t>
  </si>
  <si>
    <t xml:space="preserve">    3.5  สาธารณูปโภค</t>
  </si>
  <si>
    <t xml:space="preserve">           ระบบปะปา</t>
  </si>
  <si>
    <t>109</t>
  </si>
  <si>
    <t xml:space="preserve">           ระบบไฟฟ้า</t>
  </si>
  <si>
    <t>110</t>
  </si>
  <si>
    <t xml:space="preserve">           ถังบำบัดน้ำเสีย</t>
  </si>
  <si>
    <t>112</t>
  </si>
  <si>
    <t xml:space="preserve">    3.6  สะพาน</t>
  </si>
  <si>
    <t>150</t>
  </si>
  <si>
    <t xml:space="preserve">    3.7  ทางระบายน้ำ</t>
  </si>
  <si>
    <t>188</t>
  </si>
  <si>
    <t xml:space="preserve">    3.8 สระน้ำ</t>
  </si>
  <si>
    <t>257</t>
  </si>
  <si>
    <t xml:space="preserve">    3.9  รั้ว กำแพง</t>
  </si>
  <si>
    <t>277</t>
  </si>
  <si>
    <t xml:space="preserve">    3.10 อื่นๆ</t>
  </si>
  <si>
    <t xml:space="preserve">          3.12.1  หอกระจายข่าว</t>
  </si>
  <si>
    <t>271</t>
  </si>
  <si>
    <t>รวมอสังหาริมทรัพย์</t>
  </si>
  <si>
    <t>ข.สังหาริมทรัพย์</t>
  </si>
  <si>
    <t>1.  ครุภัณฑ์สำนักงาน</t>
  </si>
  <si>
    <t xml:space="preserve">    ป้ายปิดประกาศ</t>
  </si>
  <si>
    <t>081</t>
  </si>
  <si>
    <t xml:space="preserve">    โต๊ะ</t>
  </si>
  <si>
    <t xml:space="preserve">    เก้าอี้</t>
  </si>
  <si>
    <t xml:space="preserve">    ม้านั่ง</t>
  </si>
  <si>
    <t xml:space="preserve">    ชุดรับแขก</t>
  </si>
  <si>
    <t xml:space="preserve">    ชั้นวางของ</t>
  </si>
  <si>
    <t xml:space="preserve">    โพเดียม แท่นกล่าวรายงาน</t>
  </si>
  <si>
    <t xml:space="preserve">    ตู้</t>
  </si>
  <si>
    <t xml:space="preserve">    กระดาน, ไวท์บอร์ด,บอร์ดนิทรรศการ</t>
  </si>
  <si>
    <t xml:space="preserve">    นาฬิกา</t>
  </si>
  <si>
    <t xml:space="preserve">    พระพุทธรูป</t>
  </si>
  <si>
    <t xml:space="preserve">    พระบรมฉายาลักษณ์</t>
  </si>
  <si>
    <t xml:space="preserve">    เครื่องบันทึกเงินสด</t>
  </si>
  <si>
    <t xml:space="preserve">    เครื่องพิมพ์ดีด</t>
  </si>
  <si>
    <t xml:space="preserve">    เครื่องคำนวนเลข</t>
  </si>
  <si>
    <t xml:space="preserve">    เครื่องถ่ายเอกสาร, เครื่องถ่ายพิมพ์เขียว</t>
  </si>
  <si>
    <t xml:space="preserve">    เครื่องอัดสำเนา</t>
  </si>
  <si>
    <t xml:space="preserve">    เครื่องปรุกระดาษไข</t>
  </si>
  <si>
    <t xml:space="preserve">    เครื่องปรับอากาศ</t>
  </si>
  <si>
    <t xml:space="preserve">    เครื่องขัดพื้น</t>
  </si>
  <si>
    <t xml:space="preserve">    เครื่องชุมสายโทรศัพท์</t>
  </si>
  <si>
    <t xml:space="preserve">    เครื่องโทรศัพท์, โทรศัพท์มือถือ</t>
  </si>
  <si>
    <t xml:space="preserve">    เครื่องโทรสาร</t>
  </si>
  <si>
    <t xml:space="preserve">    เครื่องถอดเทป</t>
  </si>
  <si>
    <t xml:space="preserve">    ตู้เซฟ ตู้นิรภัย</t>
  </si>
  <si>
    <t xml:space="preserve">    เคาน์เตอร์</t>
  </si>
  <si>
    <t xml:space="preserve">    พรม</t>
  </si>
  <si>
    <t xml:space="preserve">    พัดลม</t>
  </si>
  <si>
    <t xml:space="preserve">    มู่ลี่,ม่านปรับแสง</t>
  </si>
  <si>
    <t xml:space="preserve">    บันได</t>
  </si>
  <si>
    <t xml:space="preserve">    ถังน้ำ</t>
  </si>
  <si>
    <t xml:space="preserve">    เครื่องดูดฝุ่น</t>
  </si>
  <si>
    <t xml:space="preserve">    มาตรสำหรับตรวจวงจรไฟฟ้า, มิเตอร์ไฟฟ้า</t>
  </si>
  <si>
    <t xml:space="preserve">    เครื่องทำลายเอกสาร</t>
  </si>
  <si>
    <t xml:space="preserve">    ที่นั่งหมุน</t>
  </si>
  <si>
    <t xml:space="preserve">    โต๊ะหมู่บูชา</t>
  </si>
  <si>
    <t xml:space="preserve">    ไฟฉุกเฉิน</t>
  </si>
  <si>
    <t xml:space="preserve">    ภาพแกะสลัก</t>
  </si>
  <si>
    <t xml:space="preserve">    เครื่องจัดลำดับคิว</t>
  </si>
  <si>
    <t xml:space="preserve">    เครื่องสแกนลายนิ้วมือ</t>
  </si>
  <si>
    <t xml:space="preserve">    เครื่องพิมพ์บัตร</t>
  </si>
  <si>
    <t xml:space="preserve">    รถเข็นสำนักงาน</t>
  </si>
  <si>
    <t xml:space="preserve">    ปั้มน้ำ</t>
  </si>
  <si>
    <t>055</t>
  </si>
  <si>
    <t xml:space="preserve">    เครื่องฟอกอากาศ</t>
  </si>
  <si>
    <t>431</t>
  </si>
  <si>
    <t>2.  ครุภัณฑ์การศึกษา</t>
  </si>
  <si>
    <t xml:space="preserve">    จักรธรรมดา</t>
  </si>
  <si>
    <t xml:space="preserve">    เครื่องปั๊มดอกไม้</t>
  </si>
  <si>
    <t>501</t>
  </si>
  <si>
    <t xml:space="preserve">    ลูกโลก</t>
  </si>
  <si>
    <t>482</t>
  </si>
  <si>
    <t>3.  ครุภัณฑ์ยานพาหนะและขนส่ง</t>
  </si>
  <si>
    <t xml:space="preserve">    รถยนต์นั่ง รถตู้ ไม่เกิน 15 คน</t>
  </si>
  <si>
    <t xml:space="preserve">    รถบรรทุก รถบิ๊กอัพ</t>
  </si>
  <si>
    <t>002</t>
  </si>
  <si>
    <t xml:space="preserve">    รถดับเพลิง</t>
  </si>
  <si>
    <t>004</t>
  </si>
  <si>
    <t xml:space="preserve">    รถบรรทุกน้ำ</t>
  </si>
  <si>
    <t>006</t>
  </si>
  <si>
    <t xml:space="preserve">    รถดูดสิ่งปฏิกูล</t>
  </si>
  <si>
    <t>009</t>
  </si>
  <si>
    <t xml:space="preserve">    รถกวาดถนน</t>
  </si>
  <si>
    <t xml:space="preserve">    รถบรรทุกขยะมูลฝอย</t>
  </si>
  <si>
    <t>011</t>
  </si>
  <si>
    <t xml:space="preserve">    รถกระเช้า</t>
  </si>
  <si>
    <t>012</t>
  </si>
  <si>
    <t xml:space="preserve">    รถยก รถปั้นจั่น</t>
  </si>
  <si>
    <t>014</t>
  </si>
  <si>
    <t xml:space="preserve">    รถกระบะยกเท 2 - 15 ตัน</t>
  </si>
  <si>
    <t>017</t>
  </si>
  <si>
    <t xml:space="preserve">    รถม้าลาก</t>
  </si>
  <si>
    <t>022</t>
  </si>
  <si>
    <t xml:space="preserve">    รถจักรยานยนต์</t>
  </si>
  <si>
    <t>024</t>
  </si>
  <si>
    <t xml:space="preserve">    รถจักรยาน</t>
  </si>
  <si>
    <t>025</t>
  </si>
  <si>
    <t xml:space="preserve">    รถสามล้อแดง, รถดั้มเปอร์เล็ก, รถเก็บสายยาง,รถตรวจการณ์</t>
  </si>
  <si>
    <t>026</t>
  </si>
  <si>
    <t xml:space="preserve">    เรือยนต์, เรือเร็ว</t>
  </si>
  <si>
    <t>027</t>
  </si>
  <si>
    <t xml:space="preserve">    เรือติดท้าย</t>
  </si>
  <si>
    <t>029</t>
  </si>
  <si>
    <t xml:space="preserve">    เรือยาง,เรืออื่น ๆ</t>
  </si>
  <si>
    <t>033</t>
  </si>
  <si>
    <t xml:space="preserve">    เครื่องชักลากโคลนเลน</t>
  </si>
  <si>
    <t>035</t>
  </si>
  <si>
    <t xml:space="preserve">    เครื่องยนต์,หลังคารถกระบะทรงสูง</t>
  </si>
  <si>
    <t>036</t>
  </si>
  <si>
    <t xml:space="preserve">    รถยกโรงศพ</t>
  </si>
  <si>
    <t>037</t>
  </si>
  <si>
    <t xml:space="preserve">    สัญญาณไฟไซเรนท์ติดรถ</t>
  </si>
  <si>
    <t>038</t>
  </si>
  <si>
    <t xml:space="preserve">    เครื่องติดตามรถระบบดาวเทียม</t>
  </si>
  <si>
    <t>039</t>
  </si>
  <si>
    <t xml:space="preserve">    แท่นสแตนเลสจอดรถจักรยาน</t>
  </si>
  <si>
    <t xml:space="preserve">    ลิฟท์ไฟฟ้ายกรถ</t>
  </si>
  <si>
    <t>053</t>
  </si>
  <si>
    <t xml:space="preserve">    ฯลฯ</t>
  </si>
  <si>
    <t>4. ครุภัณฑ์การเกษตร</t>
  </si>
  <si>
    <t xml:space="preserve">   เครื่องพ่นหมอกควัน, ถังพ่นยา</t>
  </si>
  <si>
    <t>054</t>
  </si>
  <si>
    <t xml:space="preserve">    เครื่องสูบน้ำ, เครื่องปั้มน้ำ</t>
  </si>
  <si>
    <t xml:space="preserve">    เครื่องพ่นยา, เครื่องพ่นสารเคมี</t>
  </si>
  <si>
    <t xml:space="preserve">    กระถางไพเบอร์</t>
  </si>
  <si>
    <t xml:space="preserve">    เครื่องโม่กาบมะพร้าว,เครื่องแปลงขยะชีวภาพ</t>
  </si>
  <si>
    <t xml:space="preserve">    เครื่องตีขุยมะพร้าว</t>
  </si>
  <si>
    <t xml:space="preserve">    เครื่องตัดแต่งกิ่งไม้</t>
  </si>
  <si>
    <t xml:space="preserve">    เครื่องให้อ๊อกซิเจนไฟฟ้า</t>
  </si>
  <si>
    <t>5. ครุภัณฑ์ก่อสร้าง  (โยธา)</t>
  </si>
  <si>
    <t>005</t>
  </si>
  <si>
    <t xml:space="preserve">    รถเกลี่ยดิน รถเกรด รถบดถนน</t>
  </si>
  <si>
    <t>015</t>
  </si>
  <si>
    <t xml:space="preserve">    รถตักดินล้อยาง รถขุดดิน รถตักหน้าขุดหลัง</t>
  </si>
  <si>
    <t>018</t>
  </si>
  <si>
    <t xml:space="preserve">    รถแทรคเตอร์</t>
  </si>
  <si>
    <t>019</t>
  </si>
  <si>
    <t xml:space="preserve">    รถบด</t>
  </si>
  <si>
    <t>020</t>
  </si>
  <si>
    <t xml:space="preserve">   รถเตาต้มยาง</t>
  </si>
  <si>
    <t>021</t>
  </si>
  <si>
    <t xml:space="preserve">   รถเข็นกระดก</t>
  </si>
  <si>
    <t>023</t>
  </si>
  <si>
    <t xml:space="preserve">   รอกแม่แรง</t>
  </si>
  <si>
    <t>052</t>
  </si>
  <si>
    <t xml:space="preserve">   เครื่องกระทุ้งดิน,เครื่องแอสฟัลท์,เครื่องตบดิน</t>
  </si>
  <si>
    <t>056</t>
  </si>
  <si>
    <t xml:space="preserve">   เครื่องเจาะหิน, เครื่องเจาะเหล็ก,เครื่องตัดคอนกรีต</t>
  </si>
  <si>
    <t>058</t>
  </si>
  <si>
    <t xml:space="preserve">   เครื่องพ่นสี</t>
  </si>
  <si>
    <t>061</t>
  </si>
  <si>
    <t xml:space="preserve">   เครื่องผสมยางแอสฟัลท์, ถังบรรจุยางแอสฟัลท์</t>
  </si>
  <si>
    <t>062</t>
  </si>
  <si>
    <t xml:space="preserve">   เครื่องผสมคอนกรีต</t>
  </si>
  <si>
    <t>063</t>
  </si>
  <si>
    <t xml:space="preserve">   เครื่องสั่นคอนกรีต, เครื่องทดสอบคอนกรีต</t>
  </si>
  <si>
    <t>064</t>
  </si>
  <si>
    <t xml:space="preserve">   เครื่องมือทดสอบความลาดเท, ทดสอบกำลังอัด</t>
  </si>
  <si>
    <t>065</t>
  </si>
  <si>
    <t xml:space="preserve">   เครื่องอัดลม</t>
  </si>
  <si>
    <t>070</t>
  </si>
  <si>
    <t xml:space="preserve">   เครื่องตีเส้น, เครื่องโรยเส้น</t>
  </si>
  <si>
    <t>073</t>
  </si>
  <si>
    <t xml:space="preserve">   อุปกรณ์ท่อส่งน้ำ</t>
  </si>
  <si>
    <t>076</t>
  </si>
  <si>
    <t xml:space="preserve">   ฟูลเลอร์ดูด, ทามมิ่งไลท์</t>
  </si>
  <si>
    <t>086</t>
  </si>
  <si>
    <t xml:space="preserve">   เครื่องต๊าฟเกลียว, เครื่องตัดโลหะ,เครื่องตัดคอนกรีต</t>
  </si>
  <si>
    <t xml:space="preserve">   เครื่องลับใบมีด</t>
  </si>
  <si>
    <t>092</t>
  </si>
  <si>
    <t xml:space="preserve">   เครื่องลากเข็น</t>
  </si>
  <si>
    <t>094</t>
  </si>
  <si>
    <t xml:space="preserve">   เครื่องบดอัดดิน</t>
  </si>
  <si>
    <t>095</t>
  </si>
  <si>
    <t xml:space="preserve">   เครื่องตัดไฟเบอร์</t>
  </si>
  <si>
    <t xml:space="preserve">   ถังอัดจารบี</t>
  </si>
  <si>
    <t xml:space="preserve">   ชุดดรีมเมอร์</t>
  </si>
  <si>
    <t xml:space="preserve">   ไม้ชักฟิวส์</t>
  </si>
  <si>
    <t xml:space="preserve">   เครื่องตัดกระเบื้อง</t>
  </si>
  <si>
    <t xml:space="preserve">   เครื่องโรยหินแบบกลไก</t>
  </si>
  <si>
    <t xml:space="preserve">   เครื่องมือทดสอบท่อระบายน้ำ</t>
  </si>
  <si>
    <t xml:space="preserve">   เครื่องกรองทราย</t>
  </si>
  <si>
    <t>6. ครุภัณฑ์ไฟฟ้าและวิทยุ</t>
  </si>
  <si>
    <t xml:space="preserve">   เครื่องเล่นเทปวิดีโอ</t>
  </si>
  <si>
    <t xml:space="preserve">   จอมอนิเตอร์ LED</t>
  </si>
  <si>
    <t>452</t>
  </si>
  <si>
    <t xml:space="preserve">   ขาตั้งไมค์โครโฟน</t>
  </si>
  <si>
    <t xml:space="preserve">   ไมโครโฟน, ไมค์ลอย,</t>
  </si>
  <si>
    <t xml:space="preserve">   ลำโพง, แอ็คโค่</t>
  </si>
  <si>
    <t xml:space="preserve">   เครื่องบันทึกเสียง</t>
  </si>
  <si>
    <t xml:space="preserve">   เครื่องรับ-ส่งวิทยุ</t>
  </si>
  <si>
    <t xml:space="preserve">   เครื่องขยายเสียง</t>
  </si>
  <si>
    <t xml:space="preserve">   วิทยุรับ-ส่งแบบมือถือ สะพาย ติดรถยนต์</t>
  </si>
  <si>
    <t xml:space="preserve">   เครื่องกำเนิดไฟฟ้า</t>
  </si>
  <si>
    <t xml:space="preserve">   หม้อแปลงไฟฟ้า, ตู้คอนโทรลไฟฟ้า ค.ตัดกระแสไฟ</t>
  </si>
  <si>
    <t xml:space="preserve">   เครื่องวัดแรงดันไฟฟ้า, เครื่องวัดกระแสไฟฟ้า</t>
  </si>
  <si>
    <t xml:space="preserve">   เครื่องประจุไฟฟ้า</t>
  </si>
  <si>
    <t xml:space="preserve">   เครื่องบันทึกสัญญาณภาพฯ</t>
  </si>
  <si>
    <t>477</t>
  </si>
  <si>
    <t xml:space="preserve">   หูฟังพร้อมไมค์โครโฟน</t>
  </si>
  <si>
    <t>497</t>
  </si>
  <si>
    <t xml:space="preserve">   เครื่องกระจายข่าวภาครับ</t>
  </si>
  <si>
    <t xml:space="preserve">   โคมไฟสาธารณะ,โคมไฟฟ้า,ไฟราว</t>
  </si>
  <si>
    <t>082</t>
  </si>
  <si>
    <t xml:space="preserve">   แอมป์ขยายเสียง</t>
  </si>
  <si>
    <t>905</t>
  </si>
  <si>
    <t>7. ครุภัณฑ์โฆษณาและเผยแพร่</t>
  </si>
  <si>
    <t xml:space="preserve">   เครื่องฉายฟิลม์สตรีม</t>
  </si>
  <si>
    <t xml:space="preserve">   เครื่องฉายสไลต์ </t>
  </si>
  <si>
    <t xml:space="preserve">   เครื่องฉายข้ามศรีษะ</t>
  </si>
  <si>
    <t xml:space="preserve">   กล้องถ่ายรูป, กล้องถ่ายสไลด์,กล้องวิดิโอ</t>
  </si>
  <si>
    <t xml:space="preserve">   โคมไฟถ่ายภาพ - ไฟแว็ป(ไฟแฟรตถ่ายรูป)</t>
  </si>
  <si>
    <t xml:space="preserve">   อุปกรณ์บันทึกภาพฯ</t>
  </si>
  <si>
    <t>454</t>
  </si>
  <si>
    <t xml:space="preserve">   เครื่องรับโทรทัศน์</t>
  </si>
  <si>
    <t>457</t>
  </si>
  <si>
    <t>8. ครุภัณฑ์วิทยาศาสตร์หรือการแพทย์</t>
  </si>
  <si>
    <t xml:space="preserve">   กล้องจุลทัศน์</t>
  </si>
  <si>
    <t xml:space="preserve">   กล้องดูดาว</t>
  </si>
  <si>
    <t xml:space="preserve">   เครื่องดูดควัน</t>
  </si>
  <si>
    <t xml:space="preserve">   เครื่องดูดอากาศ</t>
  </si>
  <si>
    <t xml:space="preserve">   เครื่องจ่ายแก็ซคลอรีน</t>
  </si>
  <si>
    <t xml:space="preserve">   เครื่องวัดความถี่</t>
  </si>
  <si>
    <t xml:space="preserve">   เครื่องฉายแสง</t>
  </si>
  <si>
    <t xml:space="preserve">   เครื่องตรวจสอบคุณภาพน้ำ</t>
  </si>
  <si>
    <t xml:space="preserve">   เครื่องนึ่ง</t>
  </si>
  <si>
    <t xml:space="preserve">   ตู้เก็บเครื่องแก้ววิทยาศาสตร์, ตู้เก็บอุปกรณ์ฯ</t>
  </si>
  <si>
    <t xml:space="preserve">   หม้อต้มเครื่องมือ, หม้อนึ่งไฟฟ้า</t>
  </si>
  <si>
    <t xml:space="preserve">   เครื่องจี้คอ</t>
  </si>
  <si>
    <t xml:space="preserve">   เครื่องดูดเสมหะ</t>
  </si>
  <si>
    <t xml:space="preserve">   เครื่องกรอฟัน, ยูนิตทำฟัน, เครื่องทำฟันฯ</t>
  </si>
  <si>
    <t xml:space="preserve">   เครื่องให้ออกซิเจน</t>
  </si>
  <si>
    <t xml:space="preserve">   เครื่องเอ็กซเรย์</t>
  </si>
  <si>
    <t xml:space="preserve">   ฉากกั้นแสงเอ็กซเรย์</t>
  </si>
  <si>
    <t xml:space="preserve">   เครื่องช่วยหายใจ</t>
  </si>
  <si>
    <t xml:space="preserve">   เครื่องตรวจหายใจ</t>
  </si>
  <si>
    <t xml:space="preserve">   เครื่องตรวจไขมัน</t>
  </si>
  <si>
    <t xml:space="preserve">   เครื่องตรวจตา,หู,คอ,จมูก</t>
  </si>
  <si>
    <t xml:space="preserve">   เครื่องตรวจเม็ดเลือดและน้ำตาลในเลือด</t>
  </si>
  <si>
    <t xml:space="preserve">   เครื่องล้างเข็มฉีดยา, เครื่องกำจัดทำลายเข็มฯ</t>
  </si>
  <si>
    <t xml:space="preserve">   เครื่องวัดความดันโลหิต</t>
  </si>
  <si>
    <t xml:space="preserve">   เครื่องวัดรัศมีการเห็นของลูกตา</t>
  </si>
  <si>
    <t xml:space="preserve">   โคมไฟผ่าตัด</t>
  </si>
  <si>
    <t xml:space="preserve">   เครื่องมือผ่าตัดเป็นชุด</t>
  </si>
  <si>
    <t xml:space="preserve">   เครื่องช่วยคลอดสัตว์เป็นชุด</t>
  </si>
  <si>
    <t xml:space="preserve">   เตียงพยาบาล, เตียงตรวจโรค</t>
  </si>
  <si>
    <t xml:space="preserve">   หุ่นจำลอง</t>
  </si>
  <si>
    <t xml:space="preserve">   รถเข็นผู้ป่วย</t>
  </si>
  <si>
    <t xml:space="preserve">   เครื่องชั่งขนาดกลาง, เครื่องชั่งน้ำหนัก</t>
  </si>
  <si>
    <t xml:space="preserve">   เครื่องขูดหินปูนไฟฟ้า</t>
  </si>
  <si>
    <t xml:space="preserve">   ถังทิ้งผ้ากันเปื้อน</t>
  </si>
  <si>
    <t xml:space="preserve">   กระติกแช่วัคซีน</t>
  </si>
  <si>
    <t xml:space="preserve">   เสาใส่น้ำเกลือ</t>
  </si>
  <si>
    <t xml:space="preserve">   เครื่องปั่นผสมสารอุดฟัน</t>
  </si>
  <si>
    <t xml:space="preserve">   เครื่องซ็อคสุกร</t>
  </si>
  <si>
    <t xml:space="preserve">   อุปกรณ์ตามและเคลื่อนย้ายผู้ป่วย,ชุดกระเป๋าฯ</t>
  </si>
  <si>
    <t>9. ครุภัณฑ์งานบ้านงานครัว</t>
  </si>
  <si>
    <t xml:space="preserve">    ม่านปรับแสง</t>
  </si>
  <si>
    <t>433</t>
  </si>
  <si>
    <t xml:space="preserve">    ผ้าม่าน</t>
  </si>
  <si>
    <t xml:space="preserve">    เครื่องทำน้ำเย็น</t>
  </si>
  <si>
    <t xml:space="preserve">    เตียง, ที่นอน</t>
  </si>
  <si>
    <t xml:space="preserve">    เครื่องตัดหญ้า</t>
  </si>
  <si>
    <t xml:space="preserve">    เครื่องตัดวัชพืช,กรรไกรตัดกิ่งไม้</t>
  </si>
  <si>
    <t xml:space="preserve">    เครื่องกรองน้ำ</t>
  </si>
  <si>
    <t xml:space="preserve">    เตาแก๊ส, เตาไฟฟ้า, เตาอบ ฯลฯ</t>
  </si>
  <si>
    <t xml:space="preserve">    ตู้เย็น,ตู้แช่อาหาร</t>
  </si>
  <si>
    <t xml:space="preserve">    หม้อหุงข้าวพร้อมอุปกรณ์และถังแก๊ซ</t>
  </si>
  <si>
    <t xml:space="preserve">    เครื่องบดอาหาร</t>
  </si>
  <si>
    <t xml:space="preserve">    เครื่องซักผ้า</t>
  </si>
  <si>
    <t xml:space="preserve">    ถาดหลุม</t>
  </si>
  <si>
    <t xml:space="preserve">    ตะเกียงแอร์, หม้อกระทะไฟฟ้า</t>
  </si>
  <si>
    <t xml:space="preserve">    ตู้ใส่อาหาร </t>
  </si>
  <si>
    <t>715</t>
  </si>
  <si>
    <t xml:space="preserve">    หม้อหุงข้าว</t>
  </si>
  <si>
    <t>717</t>
  </si>
  <si>
    <t xml:space="preserve">    หม้อน้ำร้อนสแตนเลส</t>
  </si>
  <si>
    <t>10. ครุภัณฑ์โรงงาน</t>
  </si>
  <si>
    <t xml:space="preserve">     เครื่องกลึง,เครื่องขัดกระดาษทราย</t>
  </si>
  <si>
    <t>057</t>
  </si>
  <si>
    <t xml:space="preserve">     สว่าน</t>
  </si>
  <si>
    <t>059</t>
  </si>
  <si>
    <t xml:space="preserve">     ชุดเชื่อมตัดเหล็ก</t>
  </si>
  <si>
    <t>060</t>
  </si>
  <si>
    <t xml:space="preserve">     เครื่องไสไม้ไฟฟ้า</t>
  </si>
  <si>
    <t>067</t>
  </si>
  <si>
    <t xml:space="preserve">     เลื่อย, หินเจีย, เครื่องเจีย</t>
  </si>
  <si>
    <t>068</t>
  </si>
  <si>
    <t xml:space="preserve">     เครื่องอัดจารบี</t>
  </si>
  <si>
    <t>074</t>
  </si>
  <si>
    <t xml:space="preserve">     แม่แรง, แท่นไฮโดรลิค </t>
  </si>
  <si>
    <t>075</t>
  </si>
  <si>
    <t xml:space="preserve">     ประแจ, ปากกาจับชิ้นงาน</t>
  </si>
  <si>
    <t>088</t>
  </si>
  <si>
    <t xml:space="preserve">     มอเตอร์ เครื่องชาร์ทแบตเตอรี่</t>
  </si>
  <si>
    <t>089</t>
  </si>
  <si>
    <t xml:space="preserve">     เครืองขัดกระดาษทราย</t>
  </si>
  <si>
    <t>421</t>
  </si>
  <si>
    <t xml:space="preserve">     แท่นตัดเห็กไฟฟ้า</t>
  </si>
  <si>
    <t>100</t>
  </si>
  <si>
    <t xml:space="preserve">     เครื่องฉีดน้ำแรงดัน </t>
  </si>
  <si>
    <t>107</t>
  </si>
  <si>
    <t xml:space="preserve">     ปั้มลม</t>
  </si>
  <si>
    <t xml:space="preserve">     รถเข็นสำหรับเครื่องกรอง</t>
  </si>
  <si>
    <t xml:space="preserve">     ตู้เชื่อม</t>
  </si>
  <si>
    <t xml:space="preserve">     ทั่งตีเหล็ก</t>
  </si>
  <si>
    <t xml:space="preserve">     เครื่องผลิตน้ำมันไบโอดีเซล</t>
  </si>
  <si>
    <t xml:space="preserve">     เครื่องเย็บปากถุง</t>
  </si>
  <si>
    <t xml:space="preserve">     เครื่องอัดขยะ,เครื่องชั่งขยะมูลฝอย</t>
  </si>
  <si>
    <t xml:space="preserve">     เครื่องฉีดน้ำแรงดันสูง</t>
  </si>
  <si>
    <t xml:space="preserve">     เครื่องกระเทาะเปลือกสบู่ดำ</t>
  </si>
  <si>
    <t xml:space="preserve">     เครื่องหีบสบู่ดำ</t>
  </si>
  <si>
    <t xml:space="preserve">     เครื่องกรองน้ำมันสบู่ดำ</t>
  </si>
  <si>
    <t>11. ครุภัณฑ์เครื่องดับเพลิง</t>
  </si>
  <si>
    <t xml:space="preserve">     หน้ากากป้องกันควันพิษ, อุปกรณ์ดับเพลิง</t>
  </si>
  <si>
    <t>12. ครุภัณฑ์กีฬา</t>
  </si>
  <si>
    <t xml:space="preserve">     อุปกรณ์ประจำสนามเด็กเล่น</t>
  </si>
  <si>
    <t xml:space="preserve">     เบาะยูโด, เบาะยิมนาสติก</t>
  </si>
  <si>
    <t xml:space="preserve">     บ๊อกซ์สแตนด์</t>
  </si>
  <si>
    <t xml:space="preserve">     โต๊ะเทเบิลเทนนิส</t>
  </si>
  <si>
    <t>803</t>
  </si>
  <si>
    <t xml:space="preserve">     อุปกรณ์กีฬา</t>
  </si>
  <si>
    <t xml:space="preserve">     เหล็กยกน้ำหนักเป็นชุด</t>
  </si>
  <si>
    <t xml:space="preserve">     เครื่องออกกำลังกาย (บริหารกล้ามเนื้อ)</t>
  </si>
  <si>
    <t xml:space="preserve">     อุปกรณ์เด็กเล่น</t>
  </si>
  <si>
    <t xml:space="preserve">     ลูกโลกหมุน</t>
  </si>
  <si>
    <t xml:space="preserve">     ชิงช้า</t>
  </si>
  <si>
    <t>812</t>
  </si>
  <si>
    <t>813</t>
  </si>
  <si>
    <t xml:space="preserve">     อัฒฑจันทร์</t>
  </si>
  <si>
    <t>814</t>
  </si>
  <si>
    <t xml:space="preserve">     ฯลฯ</t>
  </si>
  <si>
    <t>13. ครุภัณฑ์สำรวจ</t>
  </si>
  <si>
    <t xml:space="preserve">     ไม้สตาฟฟ์</t>
  </si>
  <si>
    <t>051</t>
  </si>
  <si>
    <t xml:space="preserve">     เทปวัดระยะ</t>
  </si>
  <si>
    <t>077</t>
  </si>
  <si>
    <t xml:space="preserve">     เครื่องระดับ (กล้องระดับ)</t>
  </si>
  <si>
    <t>078</t>
  </si>
  <si>
    <t xml:space="preserve">     กล้องวัดมุม  (กล้องวัดมุม)</t>
  </si>
  <si>
    <t>079</t>
  </si>
  <si>
    <t xml:space="preserve">     ไม้วัดระดับ</t>
  </si>
  <si>
    <t>097</t>
  </si>
  <si>
    <t>14. ครุภัณฑ์ดนตรีและนาฏศิลป์</t>
  </si>
  <si>
    <t xml:space="preserve">     เปียโนไฟฟ้า (กลอง)</t>
  </si>
  <si>
    <t xml:space="preserve">     แซก</t>
  </si>
  <si>
    <t xml:space="preserve">     กีต้าร์</t>
  </si>
  <si>
    <t xml:space="preserve">     เมโลดี้ , เมโลเดียน</t>
  </si>
  <si>
    <t xml:space="preserve">     เครื่องขยายเสียงดนตรี</t>
  </si>
  <si>
    <t xml:space="preserve">     สไลส์ทอมโบน แซกเทนเนอร์</t>
  </si>
  <si>
    <t xml:space="preserve">     กีต้าร์ไฟฟ้า</t>
  </si>
  <si>
    <t xml:space="preserve">     ขิม</t>
  </si>
  <si>
    <t xml:space="preserve">     กลอง</t>
  </si>
  <si>
    <t xml:space="preserve">    ฉาบ</t>
  </si>
  <si>
    <t xml:space="preserve">     คาริเน็ต</t>
  </si>
  <si>
    <t>922</t>
  </si>
  <si>
    <t xml:space="preserve">     เบลไลลา</t>
  </si>
  <si>
    <t>15. ครุภัณฑ์คอมพิวเตอร์</t>
  </si>
  <si>
    <t xml:space="preserve">     จอมอนิเตอร์ </t>
  </si>
  <si>
    <t xml:space="preserve">     เครื่องแปลงรหัสสัญญาณ</t>
  </si>
  <si>
    <t xml:space="preserve">     เครื่องถ่ายทอดสัญญาณจากคอมขึ้นจอ</t>
  </si>
  <si>
    <t xml:space="preserve">     สแกนเนอร์</t>
  </si>
  <si>
    <t xml:space="preserve">     โปรแกรมซอฟต์แวร์ที่ราคาเกิน 20,000</t>
  </si>
  <si>
    <t>16. ครุภัณฑ์สนาม</t>
  </si>
  <si>
    <t xml:space="preserve">     เต้นท์</t>
  </si>
  <si>
    <t>087</t>
  </si>
  <si>
    <t>17. ครุภัณฑ์อื่น</t>
  </si>
  <si>
    <t xml:space="preserve">     ห้องน้ำ-ห้องส้วมเคลื่อนที่</t>
  </si>
  <si>
    <t xml:space="preserve">     หัวน้ำพุทองเหลือง</t>
  </si>
  <si>
    <t xml:space="preserve">     บุษบก</t>
  </si>
  <si>
    <t xml:space="preserve">     เตาเผาศพ</t>
  </si>
  <si>
    <t xml:space="preserve">     เครื่องดับเพลิงแบบมือถือ</t>
  </si>
  <si>
    <t>206</t>
  </si>
  <si>
    <t xml:space="preserve">    รถม้า</t>
  </si>
  <si>
    <t xml:space="preserve">     ปืน, ระบบเซนเซอร์ตรวจนับคน</t>
  </si>
  <si>
    <t>รวมสังหาริมทรัพย์</t>
  </si>
  <si>
    <t>ณ  วันที่ 30  กันยายน  2567</t>
  </si>
  <si>
    <t>กันต์กนิษฐ์</t>
  </si>
  <si>
    <t>400-58-0253 (ต)</t>
  </si>
  <si>
    <t>410-670808-00020</t>
  </si>
  <si>
    <t>403-670926-00002</t>
  </si>
  <si>
    <t>403-670926-00003</t>
  </si>
  <si>
    <t>403-670926-00004</t>
  </si>
  <si>
    <t>403-670926-00005</t>
  </si>
  <si>
    <t>403-670926-00007</t>
  </si>
  <si>
    <t>สำนักการศึกษา เทศบาลนครลำปาง</t>
  </si>
  <si>
    <t>ส่วนส่งเสริมฯ</t>
  </si>
  <si>
    <t>ตู้ชั้น 3</t>
  </si>
  <si>
    <t>กองยุทธฯ</t>
  </si>
  <si>
    <t>พี่หนิง</t>
  </si>
  <si>
    <t>419-66-0001</t>
  </si>
  <si>
    <t>รวมทั้งสิ้นจำนวน  77  รายการ</t>
  </si>
  <si>
    <t xml:space="preserve">    กล่องเอนกประสงค์</t>
  </si>
  <si>
    <t>404</t>
  </si>
  <si>
    <t xml:space="preserve">   Sequence Controller (local)</t>
  </si>
  <si>
    <t>806</t>
  </si>
  <si>
    <t xml:space="preserve">     แป้นบาสเกตบอล</t>
  </si>
  <si>
    <t xml:space="preserve">     เก้าอี้กรรมการฯ</t>
  </si>
  <si>
    <t xml:space="preserve">     ประตูฟุตซอล</t>
  </si>
  <si>
    <t xml:space="preserve">    รถเข็นล้อยาง 2 ล้อ 3 ล้อ</t>
  </si>
  <si>
    <t xml:space="preserve">   เครื่องวัดอุณหภูมิ</t>
  </si>
  <si>
    <t xml:space="preserve">   จอรับภาพ, ป้าย IndoorFullcolorScreen</t>
  </si>
  <si>
    <t xml:space="preserve">   เครื่องฉายภาพทึบแสง, เครื่องควบคุมลำดับ</t>
  </si>
  <si>
    <t xml:space="preserve">   เครื่องแปลงสัญญาณภาพ/ไฟ, ชุด CONTROL</t>
  </si>
  <si>
    <t xml:space="preserve">    หุ่นจำลอง</t>
  </si>
  <si>
    <t xml:space="preserve">   กล้องวงจรปิด, อุปกรณ์บันทึกภาพ อุปกรณ์กระจายสัญญาณ</t>
  </si>
  <si>
    <t xml:space="preserve">    ฉากกั้นห้อง, ฉากถ่ายรูป</t>
  </si>
  <si>
    <t>จำนวน  865  รายการ</t>
  </si>
  <si>
    <t>อาคารเอนกประสงค์</t>
  </si>
  <si>
    <t>แก้รหัส เป็น 448</t>
  </si>
  <si>
    <t>448-59-0015</t>
  </si>
  <si>
    <t>จำนวน  11  รายการ</t>
  </si>
  <si>
    <t>448-59-0016</t>
  </si>
  <si>
    <t>448-59-0017</t>
  </si>
  <si>
    <t>410-650826-00090</t>
  </si>
  <si>
    <t>416-65-1932</t>
  </si>
  <si>
    <t>จำนวน  290  รายการ</t>
  </si>
  <si>
    <t xml:space="preserve">    เครื่องคอมพิวเตอร์</t>
  </si>
  <si>
    <t xml:space="preserve">    เครื่องสำรองไฟ</t>
  </si>
  <si>
    <t xml:space="preserve">    จอคอมพิวเตอร์</t>
  </si>
  <si>
    <t xml:space="preserve">     อุปกรณ์กระจายสัญญาณ</t>
  </si>
  <si>
    <t>416</t>
  </si>
  <si>
    <t>419</t>
  </si>
  <si>
    <t xml:space="preserve">    ตู้สำหรับจัดเก็บเครื่องคอมพิวเตอร์และอุปกรณ์</t>
  </si>
  <si>
    <t xml:space="preserve">    ระบบการบริหารจัดการศึกษาอิเล็กทรอนิกส์</t>
  </si>
  <si>
    <t>406</t>
  </si>
  <si>
    <t xml:space="preserve">    เครื่องพิมพ์</t>
  </si>
  <si>
    <t xml:space="preserve">    เครื่อง Server</t>
  </si>
  <si>
    <t xml:space="preserve">    เครื่อง Scanner </t>
  </si>
  <si>
    <t xml:space="preserve">    เครื่องอ่านบาร์โค้ด</t>
  </si>
  <si>
    <t xml:space="preserve">    อุปกรณ์จัดเก็บ Log File</t>
  </si>
  <si>
    <t xml:space="preserve">    อุปกรณ์สัญญาณไร้สาย</t>
  </si>
  <si>
    <t xml:space="preserve">    POElnjector</t>
  </si>
  <si>
    <t xml:space="preserve">    PortGigabitDestop/RackmountSwitch</t>
  </si>
  <si>
    <t xml:space="preserve">    แผงตรวจจับสัญญาณแม่เหล็ก, เครื่องตั้งและลบสัญญาณแม่เหล็ก</t>
  </si>
  <si>
    <t xml:space="preserve">    กล้องเว็ปแคม</t>
  </si>
  <si>
    <t xml:space="preserve">    ลิ้นชักเก็บเงิน</t>
  </si>
  <si>
    <t xml:space="preserve">     สัตตภัณฑ์</t>
  </si>
  <si>
    <t>จำนวน  3  รายการ</t>
  </si>
  <si>
    <t>-</t>
  </si>
  <si>
    <t xml:space="preserve">   เครื่องเล่นจานเสียง, HD Player</t>
  </si>
  <si>
    <t>499</t>
  </si>
  <si>
    <t xml:space="preserve">   แป้นสกอร์บอร์ดไฟฟ้า</t>
  </si>
  <si>
    <t>จำนวน  46  รายการ</t>
  </si>
  <si>
    <t xml:space="preserve">    ถังเก็บน้ำสแตนเลส*</t>
  </si>
  <si>
    <r>
      <t xml:space="preserve">   </t>
    </r>
    <r>
      <rPr>
        <sz val="14"/>
        <rFont val="TH SarabunPSK"/>
        <family val="2"/>
      </rPr>
      <t>แผงบังคับทางไฟ, เครื่องควบุคมและจ่ายกระแสไฟ</t>
    </r>
  </si>
  <si>
    <t xml:space="preserve">     คันยกวาล์ว, ชุดงานแป๊บเหล็ก, ชุดดูดลูกปืน*</t>
  </si>
  <si>
    <t>488</t>
  </si>
  <si>
    <t xml:space="preserve">   Sensorwith Supply</t>
  </si>
  <si>
    <t>คืนให้ห้องสมุด 26/11/67</t>
  </si>
  <si>
    <t>โฮงละกอน</t>
  </si>
  <si>
    <t>ระบบเครื่องปรับอากาศ 307,000 BTU AJY288LALH ประกอบด้วยแอร์ฝังฝ้า 4 ทิศทางระบบ VRF จำนวน 9 ตัว</t>
  </si>
  <si>
    <t>ระบบเครื่องปรับอากาศ 190,700 BTU AJY180LALH ประกอบด้วยแอร์ฝังฝ้า 4 ทิศทางระบบ VRF จำนวน 5 ตัว</t>
  </si>
  <si>
    <t>ระบบเครื่องปรับอากาศ 324,000 BTU AJY306LALH ประกอบด้วยแอร์ฝังฝ้า 4 ทิศทางระบบ VRF จำนวน 9 ตัว</t>
  </si>
  <si>
    <t>ระบบเครื่องปรับอากาศ 343,000 BTU AJY327LALH ประกอบด้วยแอร์ฝังฝ้า 4 ทิศทางระบบ VRF จำนวน 12 ตัว</t>
  </si>
  <si>
    <t>ขอซ่อม 7 มี.ค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</si>
</sst>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[$-101041E]d\ mmm\ yy;@"/>
    <numFmt numFmtId="188" formatCode="_-* #,##0.00_-;\-* #,##0.00_-;_-* &quot;-&quot;_-;_-@_-"/>
    <numFmt numFmtId="189" formatCode="[$-107041E]d\ mmm\ yy;@"/>
    <numFmt numFmtId="190" formatCode="_-* #,##0.00_-;\-* #,##0.00_-;_-* &quot;-&quot;??_-;_-@"/>
  </numFmts>
  <fonts count="44" x14ac:knownFonts="1">
    <font>
      <sz val="10"/>
      <color rgb="FF000000"/>
      <name val="Tahoma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sz val="14"/>
      <color rgb="FFFF0000"/>
      <name val="TH SarabunPSK"/>
      <family val="2"/>
    </font>
    <font>
      <sz val="10"/>
      <name val="Arial"/>
      <family val="2"/>
    </font>
    <font>
      <b/>
      <sz val="14"/>
      <name val="TH SarabunPSK"/>
      <family val="2"/>
    </font>
    <font>
      <sz val="12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6"/>
      <name val="TH SarabunPSK"/>
      <family val="2"/>
    </font>
    <font>
      <sz val="8"/>
      <name val="TH SarabunPSK"/>
      <family val="2"/>
    </font>
    <font>
      <sz val="10"/>
      <name val="TH SarabunPSK"/>
      <family val="2"/>
    </font>
    <font>
      <sz val="12"/>
      <color theme="1"/>
      <name val="TH SarabunPSK"/>
      <family val="2"/>
    </font>
    <font>
      <sz val="13"/>
      <name val="TH SarabunPSK"/>
      <family val="2"/>
    </font>
    <font>
      <sz val="16"/>
      <name val="TH SarabunPSK"/>
      <family val="2"/>
    </font>
    <font>
      <sz val="9"/>
      <name val="TH SarabunPSK"/>
      <family val="2"/>
    </font>
    <font>
      <sz val="12"/>
      <name val="TH SarabunPSK"/>
      <family val="2"/>
    </font>
    <font>
      <sz val="11"/>
      <name val="TH SarabunPSK"/>
      <family val="2"/>
    </font>
    <font>
      <sz val="13.5"/>
      <name val="TH SarabunPSK"/>
      <family val="2"/>
    </font>
    <font>
      <sz val="10"/>
      <color rgb="FF000000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1"/>
      <color theme="1"/>
      <name val="TH SarabunPSK"/>
      <family val="2"/>
    </font>
    <font>
      <b/>
      <sz val="12"/>
      <name val="TH SarabunPSK"/>
      <family val="2"/>
    </font>
    <font>
      <sz val="14"/>
      <color theme="1"/>
      <name val="TH SarabunIT๙"/>
      <family val="2"/>
    </font>
    <font>
      <sz val="14"/>
      <name val="TH SarabunIT๙"/>
      <family val="2"/>
    </font>
    <font>
      <sz val="11"/>
      <name val="Tahoma"/>
      <family val="2"/>
      <charset val="222"/>
      <scheme val="minor"/>
    </font>
    <font>
      <b/>
      <sz val="8"/>
      <name val="TH SarabunPSK"/>
      <family val="2"/>
    </font>
    <font>
      <sz val="11"/>
      <color rgb="FF00B050"/>
      <name val="Tahoma"/>
      <family val="2"/>
      <charset val="222"/>
      <scheme val="minor"/>
    </font>
    <font>
      <sz val="14"/>
      <name val="Angsana New"/>
      <family val="1"/>
    </font>
    <font>
      <sz val="11"/>
      <color rgb="FF00B050"/>
      <name val="TH SarabunPSK"/>
      <family val="2"/>
    </font>
    <font>
      <sz val="15"/>
      <name val="TH SarabunPSK"/>
      <family val="2"/>
    </font>
    <font>
      <sz val="14"/>
      <name val="TH Sarabun New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sz val="14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12">
    <xf numFmtId="0" fontId="0" fillId="0" borderId="0"/>
    <xf numFmtId="0" fontId="7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8" fillId="0" borderId="0"/>
    <xf numFmtId="0" fontId="5" fillId="0" borderId="0"/>
    <xf numFmtId="43" fontId="5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7" fillId="0" borderId="0"/>
    <xf numFmtId="43" fontId="1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6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941">
    <xf numFmtId="0" fontId="0" fillId="0" borderId="0" xfId="0"/>
    <xf numFmtId="0" fontId="10" fillId="2" borderId="9" xfId="14" applyFont="1" applyFill="1" applyBorder="1" applyAlignment="1">
      <alignment horizontal="center" vertical="top" wrapText="1"/>
    </xf>
    <xf numFmtId="0" fontId="10" fillId="0" borderId="9" xfId="1" applyFont="1" applyBorder="1" applyAlignment="1">
      <alignment horizontal="center" vertical="top"/>
    </xf>
    <xf numFmtId="0" fontId="8" fillId="0" borderId="0" xfId="83" applyFont="1"/>
    <xf numFmtId="0" fontId="16" fillId="2" borderId="9" xfId="2" applyFont="1" applyFill="1" applyBorder="1" applyAlignment="1">
      <alignment horizontal="center" vertical="center" textRotation="180" shrinkToFit="1"/>
    </xf>
    <xf numFmtId="0" fontId="8" fillId="0" borderId="9" xfId="83" applyFont="1" applyBorder="1"/>
    <xf numFmtId="0" fontId="10" fillId="2" borderId="9" xfId="46" applyFont="1" applyFill="1" applyBorder="1"/>
    <xf numFmtId="0" fontId="10" fillId="2" borderId="9" xfId="46" applyFont="1" applyFill="1" applyBorder="1" applyAlignment="1">
      <alignment horizontal="center"/>
    </xf>
    <xf numFmtId="0" fontId="13" fillId="2" borderId="9" xfId="46" applyFont="1" applyFill="1" applyBorder="1"/>
    <xf numFmtId="0" fontId="13" fillId="2" borderId="9" xfId="46" applyFont="1" applyFill="1" applyBorder="1" applyAlignment="1">
      <alignment horizontal="center"/>
    </xf>
    <xf numFmtId="0" fontId="10" fillId="2" borderId="0" xfId="0" applyFont="1" applyFill="1"/>
    <xf numFmtId="0" fontId="8" fillId="0" borderId="9" xfId="83" applyFont="1" applyBorder="1" applyAlignment="1">
      <alignment vertical="top"/>
    </xf>
    <xf numFmtId="0" fontId="8" fillId="0" borderId="9" xfId="46" applyFont="1" applyBorder="1" applyAlignment="1">
      <alignment vertical="top"/>
    </xf>
    <xf numFmtId="0" fontId="10" fillId="0" borderId="9" xfId="46" applyFont="1" applyBorder="1" applyAlignment="1">
      <alignment horizontal="center" vertical="top"/>
    </xf>
    <xf numFmtId="0" fontId="16" fillId="2" borderId="9" xfId="2" applyFont="1" applyFill="1" applyBorder="1" applyAlignment="1">
      <alignment horizontal="center" vertical="center" shrinkToFit="1"/>
    </xf>
    <xf numFmtId="0" fontId="29" fillId="0" borderId="0" xfId="86" applyFont="1"/>
    <xf numFmtId="0" fontId="8" fillId="0" borderId="0" xfId="87" applyFont="1"/>
    <xf numFmtId="0" fontId="10" fillId="0" borderId="9" xfId="2" applyFont="1" applyBorder="1" applyAlignment="1">
      <alignment horizontal="center" vertical="center" wrapText="1" shrinkToFit="1"/>
    </xf>
    <xf numFmtId="0" fontId="8" fillId="0" borderId="9" xfId="46" applyFont="1" applyBorder="1" applyAlignment="1">
      <alignment vertical="center" wrapText="1"/>
    </xf>
    <xf numFmtId="0" fontId="8" fillId="0" borderId="9" xfId="87" applyFont="1" applyBorder="1" applyAlignment="1">
      <alignment horizontal="center" vertical="center"/>
    </xf>
    <xf numFmtId="15" fontId="8" fillId="0" borderId="9" xfId="87" applyNumberFormat="1" applyFont="1" applyBorder="1" applyAlignment="1">
      <alignment horizontal="center" vertical="center"/>
    </xf>
    <xf numFmtId="188" fontId="10" fillId="0" borderId="9" xfId="88" applyNumberFormat="1" applyFont="1" applyFill="1" applyBorder="1" applyAlignment="1">
      <alignment vertical="center"/>
    </xf>
    <xf numFmtId="0" fontId="19" fillId="0" borderId="9" xfId="87" applyFont="1" applyBorder="1" applyAlignment="1">
      <alignment horizontal="center" vertical="center"/>
    </xf>
    <xf numFmtId="0" fontId="29" fillId="0" borderId="0" xfId="87" applyFont="1"/>
    <xf numFmtId="0" fontId="8" fillId="0" borderId="9" xfId="87" applyFont="1" applyBorder="1" applyAlignment="1">
      <alignment vertical="center"/>
    </xf>
    <xf numFmtId="15" fontId="10" fillId="0" borderId="9" xfId="87" applyNumberFormat="1" applyFont="1" applyBorder="1" applyAlignment="1">
      <alignment horizontal="center" vertical="center"/>
    </xf>
    <xf numFmtId="43" fontId="10" fillId="0" borderId="9" xfId="88" applyFont="1" applyFill="1" applyBorder="1" applyAlignment="1">
      <alignment vertical="center"/>
    </xf>
    <xf numFmtId="0" fontId="10" fillId="0" borderId="9" xfId="87" applyFont="1" applyBorder="1" applyAlignment="1">
      <alignment vertical="center"/>
    </xf>
    <xf numFmtId="0" fontId="10" fillId="0" borderId="9" xfId="87" applyFont="1" applyBorder="1" applyAlignment="1">
      <alignment horizontal="center" vertical="center"/>
    </xf>
    <xf numFmtId="0" fontId="10" fillId="0" borderId="9" xfId="46" applyFont="1" applyBorder="1" applyAlignment="1">
      <alignment horizontal="center" vertical="center"/>
    </xf>
    <xf numFmtId="0" fontId="8" fillId="0" borderId="9" xfId="87" applyFont="1" applyBorder="1" applyAlignment="1">
      <alignment horizontal="center"/>
    </xf>
    <xf numFmtId="188" fontId="10" fillId="0" borderId="9" xfId="88" applyNumberFormat="1" applyFont="1" applyFill="1" applyBorder="1" applyAlignment="1">
      <alignment vertical="top"/>
    </xf>
    <xf numFmtId="0" fontId="10" fillId="0" borderId="9" xfId="87" applyFont="1" applyBorder="1" applyAlignment="1">
      <alignment horizontal="center" vertical="top"/>
    </xf>
    <xf numFmtId="0" fontId="8" fillId="0" borderId="9" xfId="86" applyFont="1" applyBorder="1" applyAlignment="1">
      <alignment horizontal="left" vertical="top" wrapText="1"/>
    </xf>
    <xf numFmtId="187" fontId="10" fillId="0" borderId="9" xfId="87" applyNumberFormat="1" applyFont="1" applyBorder="1" applyAlignment="1">
      <alignment horizontal="center" vertical="top"/>
    </xf>
    <xf numFmtId="0" fontId="8" fillId="0" borderId="9" xfId="86" applyFont="1" applyBorder="1" applyAlignment="1">
      <alignment horizontal="center" vertical="top"/>
    </xf>
    <xf numFmtId="0" fontId="10" fillId="2" borderId="9" xfId="87" applyFont="1" applyFill="1" applyBorder="1" applyAlignment="1">
      <alignment horizontal="center" vertical="top"/>
    </xf>
    <xf numFmtId="15" fontId="10" fillId="2" borderId="9" xfId="87" applyNumberFormat="1" applyFont="1" applyFill="1" applyBorder="1" applyAlignment="1">
      <alignment horizontal="center" vertical="top"/>
    </xf>
    <xf numFmtId="0" fontId="10" fillId="2" borderId="0" xfId="87" applyFont="1" applyFill="1"/>
    <xf numFmtId="187" fontId="10" fillId="2" borderId="9" xfId="46" applyNumberFormat="1" applyFont="1" applyFill="1" applyBorder="1" applyAlignment="1">
      <alignment horizontal="center"/>
    </xf>
    <xf numFmtId="188" fontId="10" fillId="2" borderId="9" xfId="47" applyNumberFormat="1" applyFont="1" applyFill="1" applyBorder="1"/>
    <xf numFmtId="0" fontId="23" fillId="2" borderId="9" xfId="46" applyFont="1" applyFill="1" applyBorder="1" applyAlignment="1">
      <alignment horizontal="center"/>
    </xf>
    <xf numFmtId="0" fontId="5" fillId="0" borderId="0" xfId="87"/>
    <xf numFmtId="0" fontId="8" fillId="0" borderId="9" xfId="87" applyFont="1" applyBorder="1" applyAlignment="1">
      <alignment horizontal="center" vertical="top"/>
    </xf>
    <xf numFmtId="0" fontId="8" fillId="0" borderId="9" xfId="87" applyFont="1" applyBorder="1" applyAlignment="1">
      <alignment vertical="top"/>
    </xf>
    <xf numFmtId="0" fontId="10" fillId="2" borderId="3" xfId="46" applyFont="1" applyFill="1" applyBorder="1" applyAlignment="1">
      <alignment horizontal="center"/>
    </xf>
    <xf numFmtId="0" fontId="10" fillId="2" borderId="3" xfId="46" applyFont="1" applyFill="1" applyBorder="1" applyAlignment="1">
      <alignment horizontal="center" vertical="center"/>
    </xf>
    <xf numFmtId="0" fontId="13" fillId="2" borderId="3" xfId="46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9" xfId="46" applyFont="1" applyFill="1" applyBorder="1" applyAlignment="1">
      <alignment wrapText="1"/>
    </xf>
    <xf numFmtId="187" fontId="10" fillId="0" borderId="5" xfId="87" applyNumberFormat="1" applyFont="1" applyBorder="1" applyAlignment="1">
      <alignment horizontal="center" vertical="top"/>
    </xf>
    <xf numFmtId="0" fontId="5" fillId="0" borderId="0" xfId="87" applyAlignment="1">
      <alignment vertical="top"/>
    </xf>
    <xf numFmtId="0" fontId="10" fillId="0" borderId="9" xfId="87" applyFont="1" applyBorder="1" applyAlignment="1">
      <alignment vertical="top" wrapText="1"/>
    </xf>
    <xf numFmtId="15" fontId="10" fillId="0" borderId="9" xfId="87" applyNumberFormat="1" applyFont="1" applyBorder="1" applyAlignment="1">
      <alignment horizontal="center" vertical="top"/>
    </xf>
    <xf numFmtId="188" fontId="10" fillId="0" borderId="9" xfId="88" applyNumberFormat="1" applyFont="1" applyFill="1" applyBorder="1" applyAlignment="1">
      <alignment horizontal="center" vertical="top"/>
    </xf>
    <xf numFmtId="0" fontId="10" fillId="0" borderId="9" xfId="46" applyFont="1" applyBorder="1" applyAlignment="1">
      <alignment vertical="top" wrapText="1"/>
    </xf>
    <xf numFmtId="43" fontId="10" fillId="0" borderId="9" xfId="88" applyFont="1" applyFill="1" applyBorder="1" applyAlignment="1">
      <alignment horizontal="center" vertical="top"/>
    </xf>
    <xf numFmtId="0" fontId="8" fillId="0" borderId="9" xfId="0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top" wrapText="1" shrinkToFit="1"/>
    </xf>
    <xf numFmtId="15" fontId="8" fillId="0" borderId="9" xfId="87" applyNumberFormat="1" applyFont="1" applyBorder="1" applyAlignment="1">
      <alignment horizontal="center" vertical="top"/>
    </xf>
    <xf numFmtId="188" fontId="8" fillId="0" borderId="9" xfId="88" applyNumberFormat="1" applyFont="1" applyFill="1" applyBorder="1" applyAlignment="1">
      <alignment vertical="top"/>
    </xf>
    <xf numFmtId="0" fontId="10" fillId="0" borderId="9" xfId="4" applyFont="1" applyBorder="1" applyAlignment="1">
      <alignment horizontal="center" vertical="top"/>
    </xf>
    <xf numFmtId="0" fontId="10" fillId="0" borderId="9" xfId="4" applyFont="1" applyBorder="1" applyAlignment="1">
      <alignment vertical="top"/>
    </xf>
    <xf numFmtId="0" fontId="13" fillId="0" borderId="9" xfId="4" applyFont="1" applyBorder="1" applyAlignment="1">
      <alignment vertical="top"/>
    </xf>
    <xf numFmtId="0" fontId="13" fillId="0" borderId="9" xfId="4" applyFont="1" applyBorder="1" applyAlignment="1">
      <alignment horizontal="center" vertical="top"/>
    </xf>
    <xf numFmtId="0" fontId="10" fillId="0" borderId="9" xfId="2" applyFont="1" applyBorder="1" applyAlignment="1">
      <alignment horizontal="center" vertical="top"/>
    </xf>
    <xf numFmtId="0" fontId="29" fillId="0" borderId="0" xfId="87" applyFont="1" applyAlignment="1">
      <alignment vertical="top"/>
    </xf>
    <xf numFmtId="0" fontId="19" fillId="0" borderId="9" xfId="87" applyFont="1" applyBorder="1" applyAlignment="1">
      <alignment horizontal="center" vertical="top" wrapText="1"/>
    </xf>
    <xf numFmtId="43" fontId="8" fillId="0" borderId="9" xfId="88" applyFont="1" applyFill="1" applyBorder="1" applyAlignment="1">
      <alignment horizontal="center" vertical="top" wrapText="1"/>
    </xf>
    <xf numFmtId="188" fontId="8" fillId="0" borderId="9" xfId="88" applyNumberFormat="1" applyFont="1" applyFill="1" applyBorder="1" applyAlignment="1">
      <alignment horizontal="center" vertical="top"/>
    </xf>
    <xf numFmtId="0" fontId="8" fillId="0" borderId="9" xfId="46" applyFont="1" applyBorder="1" applyAlignment="1">
      <alignment vertical="top" wrapText="1"/>
    </xf>
    <xf numFmtId="0" fontId="10" fillId="0" borderId="9" xfId="80" applyFont="1" applyBorder="1" applyAlignment="1">
      <alignment vertical="top"/>
    </xf>
    <xf numFmtId="0" fontId="10" fillId="0" borderId="9" xfId="80" applyFont="1" applyBorder="1" applyAlignment="1">
      <alignment horizontal="center" vertical="top"/>
    </xf>
    <xf numFmtId="187" fontId="10" fillId="0" borderId="9" xfId="80" applyNumberFormat="1" applyFont="1" applyBorder="1" applyAlignment="1">
      <alignment horizontal="center" vertical="top"/>
    </xf>
    <xf numFmtId="188" fontId="10" fillId="0" borderId="9" xfId="81" applyNumberFormat="1" applyFont="1" applyFill="1" applyBorder="1" applyAlignment="1">
      <alignment vertical="top"/>
    </xf>
    <xf numFmtId="43" fontId="23" fillId="0" borderId="9" xfId="88" applyFont="1" applyFill="1" applyBorder="1" applyAlignment="1">
      <alignment vertical="top"/>
    </xf>
    <xf numFmtId="0" fontId="13" fillId="0" borderId="9" xfId="80" applyFont="1" applyBorder="1" applyAlignment="1">
      <alignment vertical="top"/>
    </xf>
    <xf numFmtId="0" fontId="13" fillId="0" borderId="9" xfId="80" applyFont="1" applyBorder="1" applyAlignment="1">
      <alignment horizontal="center" vertical="top"/>
    </xf>
    <xf numFmtId="0" fontId="10" fillId="0" borderId="9" xfId="45" applyFont="1" applyBorder="1" applyAlignment="1">
      <alignment horizontal="center" vertical="top"/>
    </xf>
    <xf numFmtId="0" fontId="10" fillId="0" borderId="9" xfId="87" applyFont="1" applyBorder="1" applyAlignment="1">
      <alignment vertical="top"/>
    </xf>
    <xf numFmtId="0" fontId="23" fillId="0" borderId="9" xfId="46" applyFont="1" applyBorder="1" applyAlignment="1">
      <alignment vertical="top" wrapText="1"/>
    </xf>
    <xf numFmtId="43" fontId="10" fillId="0" borderId="9" xfId="88" applyFont="1" applyFill="1" applyBorder="1" applyAlignment="1">
      <alignment horizontal="left" vertical="top"/>
    </xf>
    <xf numFmtId="0" fontId="10" fillId="0" borderId="9" xfId="46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15" fontId="8" fillId="2" borderId="9" xfId="0" applyNumberFormat="1" applyFont="1" applyFill="1" applyBorder="1" applyAlignment="1">
      <alignment horizontal="center" vertical="top"/>
    </xf>
    <xf numFmtId="43" fontId="8" fillId="2" borderId="9" xfId="85" applyFont="1" applyFill="1" applyBorder="1" applyAlignment="1">
      <alignment vertical="top"/>
    </xf>
    <xf numFmtId="0" fontId="8" fillId="2" borderId="9" xfId="0" applyFont="1" applyFill="1" applyBorder="1" applyAlignment="1">
      <alignment horizontal="center" vertical="top"/>
    </xf>
    <xf numFmtId="43" fontId="10" fillId="0" borderId="6" xfId="88" applyFont="1" applyFill="1" applyBorder="1" applyAlignment="1">
      <alignment horizontal="center" vertical="top"/>
    </xf>
    <xf numFmtId="0" fontId="10" fillId="0" borderId="9" xfId="4" applyFont="1" applyBorder="1" applyAlignment="1">
      <alignment vertical="top" wrapText="1"/>
    </xf>
    <xf numFmtId="187" fontId="10" fillId="0" borderId="9" xfId="4" applyNumberFormat="1" applyFont="1" applyBorder="1" applyAlignment="1">
      <alignment horizontal="center" vertical="top"/>
    </xf>
    <xf numFmtId="188" fontId="10" fillId="0" borderId="9" xfId="5" applyNumberFormat="1" applyFont="1" applyFill="1" applyBorder="1" applyAlignment="1">
      <alignment horizontal="right" vertical="top"/>
    </xf>
    <xf numFmtId="0" fontId="10" fillId="0" borderId="9" xfId="6" applyFont="1" applyBorder="1" applyAlignment="1">
      <alignment vertical="top" wrapText="1"/>
    </xf>
    <xf numFmtId="0" fontId="10" fillId="0" borderId="9" xfId="6" applyFont="1" applyBorder="1" applyAlignment="1">
      <alignment horizontal="center" vertical="top"/>
    </xf>
    <xf numFmtId="187" fontId="10" fillId="0" borderId="9" xfId="6" applyNumberFormat="1" applyFont="1" applyBorder="1" applyAlignment="1">
      <alignment horizontal="center" vertical="top"/>
    </xf>
    <xf numFmtId="188" fontId="10" fillId="0" borderId="9" xfId="7" applyNumberFormat="1" applyFont="1" applyFill="1" applyBorder="1" applyAlignment="1">
      <alignment horizontal="right" vertical="top"/>
    </xf>
    <xf numFmtId="0" fontId="10" fillId="0" borderId="9" xfId="6" applyFont="1" applyBorder="1" applyAlignment="1">
      <alignment vertical="top"/>
    </xf>
    <xf numFmtId="0" fontId="13" fillId="0" borderId="9" xfId="6" applyFont="1" applyBorder="1" applyAlignment="1">
      <alignment vertical="top"/>
    </xf>
    <xf numFmtId="0" fontId="13" fillId="0" borderId="9" xfId="6" applyFont="1" applyBorder="1" applyAlignment="1">
      <alignment horizontal="center" vertical="top"/>
    </xf>
    <xf numFmtId="0" fontId="10" fillId="0" borderId="9" xfId="8" applyFont="1" applyBorder="1" applyAlignment="1">
      <alignment vertical="top" wrapText="1"/>
    </xf>
    <xf numFmtId="0" fontId="10" fillId="0" borderId="9" xfId="8" applyFont="1" applyBorder="1" applyAlignment="1">
      <alignment horizontal="center" vertical="top"/>
    </xf>
    <xf numFmtId="187" fontId="10" fillId="0" borderId="9" xfId="8" applyNumberFormat="1" applyFont="1" applyBorder="1" applyAlignment="1">
      <alignment horizontal="center" vertical="top"/>
    </xf>
    <xf numFmtId="188" fontId="10" fillId="0" borderId="9" xfId="9" applyNumberFormat="1" applyFont="1" applyFill="1" applyBorder="1" applyAlignment="1">
      <alignment horizontal="right" vertical="top"/>
    </xf>
    <xf numFmtId="0" fontId="10" fillId="0" borderId="9" xfId="8" applyFont="1" applyBorder="1" applyAlignment="1">
      <alignment vertical="top"/>
    </xf>
    <xf numFmtId="0" fontId="13" fillId="0" borderId="9" xfId="8" applyFont="1" applyBorder="1" applyAlignment="1">
      <alignment vertical="top"/>
    </xf>
    <xf numFmtId="0" fontId="13" fillId="0" borderId="9" xfId="8" applyFont="1" applyBorder="1" applyAlignment="1">
      <alignment horizontal="center" vertical="top"/>
    </xf>
    <xf numFmtId="0" fontId="10" fillId="0" borderId="9" xfId="2" quotePrefix="1" applyFont="1" applyBorder="1" applyAlignment="1">
      <alignment horizontal="center" vertical="top"/>
    </xf>
    <xf numFmtId="0" fontId="10" fillId="0" borderId="9" xfId="10" applyFont="1" applyBorder="1" applyAlignment="1">
      <alignment vertical="top" wrapText="1"/>
    </xf>
    <xf numFmtId="0" fontId="10" fillId="0" borderId="9" xfId="10" applyFont="1" applyBorder="1" applyAlignment="1">
      <alignment horizontal="center" vertical="top"/>
    </xf>
    <xf numFmtId="187" fontId="10" fillId="0" borderId="9" xfId="10" applyNumberFormat="1" applyFont="1" applyBorder="1" applyAlignment="1">
      <alignment horizontal="center" vertical="top"/>
    </xf>
    <xf numFmtId="188" fontId="10" fillId="0" borderId="9" xfId="11" applyNumberFormat="1" applyFont="1" applyFill="1" applyBorder="1" applyAlignment="1">
      <alignment vertical="top"/>
    </xf>
    <xf numFmtId="0" fontId="10" fillId="0" borderId="9" xfId="10" applyFont="1" applyBorder="1" applyAlignment="1">
      <alignment vertical="top"/>
    </xf>
    <xf numFmtId="0" fontId="13" fillId="0" borderId="9" xfId="10" applyFont="1" applyBorder="1" applyAlignment="1">
      <alignment vertical="top"/>
    </xf>
    <xf numFmtId="0" fontId="13" fillId="0" borderId="9" xfId="10" applyFont="1" applyBorder="1" applyAlignment="1">
      <alignment horizontal="center" vertical="top"/>
    </xf>
    <xf numFmtId="0" fontId="10" fillId="0" borderId="9" xfId="12" applyFont="1" applyBorder="1" applyAlignment="1">
      <alignment vertical="top" wrapText="1"/>
    </xf>
    <xf numFmtId="0" fontId="10" fillId="0" borderId="9" xfId="12" applyFont="1" applyBorder="1" applyAlignment="1">
      <alignment horizontal="center" vertical="top"/>
    </xf>
    <xf numFmtId="187" fontId="10" fillId="0" borderId="9" xfId="12" applyNumberFormat="1" applyFont="1" applyBorder="1" applyAlignment="1">
      <alignment horizontal="center" vertical="top"/>
    </xf>
    <xf numFmtId="188" fontId="10" fillId="0" borderId="9" xfId="13" applyNumberFormat="1" applyFont="1" applyFill="1" applyBorder="1" applyAlignment="1">
      <alignment vertical="top"/>
    </xf>
    <xf numFmtId="0" fontId="10" fillId="0" borderId="9" xfId="12" applyFont="1" applyBorder="1" applyAlignment="1">
      <alignment vertical="top"/>
    </xf>
    <xf numFmtId="0" fontId="13" fillId="0" borderId="9" xfId="12" applyFont="1" applyBorder="1" applyAlignment="1">
      <alignment vertical="top"/>
    </xf>
    <xf numFmtId="0" fontId="13" fillId="0" borderId="9" xfId="12" applyFont="1" applyBorder="1" applyAlignment="1">
      <alignment horizontal="center" vertical="top"/>
    </xf>
    <xf numFmtId="0" fontId="10" fillId="0" borderId="9" xfId="14" applyFont="1" applyBorder="1" applyAlignment="1">
      <alignment horizontal="center" vertical="top"/>
    </xf>
    <xf numFmtId="0" fontId="10" fillId="0" borderId="9" xfId="15" applyFont="1" applyBorder="1" applyAlignment="1">
      <alignment vertical="top" wrapText="1"/>
    </xf>
    <xf numFmtId="0" fontId="10" fillId="0" borderId="9" xfId="15" applyFont="1" applyBorder="1" applyAlignment="1">
      <alignment horizontal="center" vertical="top"/>
    </xf>
    <xf numFmtId="187" fontId="10" fillId="0" borderId="9" xfId="15" applyNumberFormat="1" applyFont="1" applyBorder="1" applyAlignment="1">
      <alignment horizontal="center" vertical="top"/>
    </xf>
    <xf numFmtId="188" fontId="10" fillId="0" borderId="9" xfId="16" applyNumberFormat="1" applyFont="1" applyFill="1" applyBorder="1" applyAlignment="1">
      <alignment vertical="top"/>
    </xf>
    <xf numFmtId="0" fontId="10" fillId="0" borderId="9" xfId="15" applyFont="1" applyBorder="1" applyAlignment="1">
      <alignment vertical="top"/>
    </xf>
    <xf numFmtId="0" fontId="13" fillId="0" borderId="9" xfId="15" applyFont="1" applyBorder="1" applyAlignment="1">
      <alignment vertical="top"/>
    </xf>
    <xf numFmtId="0" fontId="13" fillId="0" borderId="9" xfId="15" applyFont="1" applyBorder="1" applyAlignment="1">
      <alignment horizontal="center" vertical="top"/>
    </xf>
    <xf numFmtId="0" fontId="10" fillId="0" borderId="9" xfId="17" applyFont="1" applyBorder="1" applyAlignment="1">
      <alignment vertical="top" wrapText="1"/>
    </xf>
    <xf numFmtId="0" fontId="10" fillId="0" borderId="9" xfId="17" applyFont="1" applyBorder="1" applyAlignment="1">
      <alignment horizontal="center" vertical="top"/>
    </xf>
    <xf numFmtId="187" fontId="10" fillId="0" borderId="9" xfId="17" applyNumberFormat="1" applyFont="1" applyBorder="1" applyAlignment="1">
      <alignment horizontal="center" vertical="top"/>
    </xf>
    <xf numFmtId="188" fontId="10" fillId="0" borderId="9" xfId="18" applyNumberFormat="1" applyFont="1" applyFill="1" applyBorder="1" applyAlignment="1">
      <alignment vertical="top"/>
    </xf>
    <xf numFmtId="0" fontId="10" fillId="0" borderId="9" xfId="17" applyFont="1" applyBorder="1" applyAlignment="1">
      <alignment vertical="top"/>
    </xf>
    <xf numFmtId="0" fontId="13" fillId="0" borderId="9" xfId="17" applyFont="1" applyBorder="1" applyAlignment="1">
      <alignment vertical="top"/>
    </xf>
    <xf numFmtId="0" fontId="13" fillId="0" borderId="9" xfId="17" applyFont="1" applyBorder="1" applyAlignment="1">
      <alignment horizontal="center" vertical="top"/>
    </xf>
    <xf numFmtId="0" fontId="10" fillId="0" borderId="9" xfId="19" applyFont="1" applyBorder="1" applyAlignment="1">
      <alignment vertical="top" wrapText="1"/>
    </xf>
    <xf numFmtId="0" fontId="10" fillId="0" borderId="9" xfId="19" applyFont="1" applyBorder="1" applyAlignment="1">
      <alignment horizontal="center" vertical="top"/>
    </xf>
    <xf numFmtId="187" fontId="10" fillId="0" borderId="9" xfId="19" applyNumberFormat="1" applyFont="1" applyBorder="1" applyAlignment="1">
      <alignment horizontal="center" vertical="top"/>
    </xf>
    <xf numFmtId="188" fontId="10" fillId="0" borderId="9" xfId="20" applyNumberFormat="1" applyFont="1" applyFill="1" applyBorder="1" applyAlignment="1">
      <alignment vertical="top"/>
    </xf>
    <xf numFmtId="0" fontId="10" fillId="0" borderId="9" xfId="19" applyFont="1" applyBorder="1" applyAlignment="1">
      <alignment vertical="top"/>
    </xf>
    <xf numFmtId="0" fontId="13" fillId="0" borderId="9" xfId="19" applyFont="1" applyBorder="1" applyAlignment="1">
      <alignment vertical="top"/>
    </xf>
    <xf numFmtId="0" fontId="13" fillId="0" borderId="9" xfId="19" applyFont="1" applyBorder="1" applyAlignment="1">
      <alignment horizontal="center" vertical="top"/>
    </xf>
    <xf numFmtId="0" fontId="10" fillId="0" borderId="9" xfId="21" applyFont="1" applyBorder="1" applyAlignment="1">
      <alignment vertical="top" wrapText="1"/>
    </xf>
    <xf numFmtId="0" fontId="10" fillId="0" borderId="9" xfId="21" applyFont="1" applyBorder="1" applyAlignment="1">
      <alignment horizontal="center" vertical="top"/>
    </xf>
    <xf numFmtId="187" fontId="10" fillId="0" borderId="9" xfId="21" applyNumberFormat="1" applyFont="1" applyBorder="1" applyAlignment="1">
      <alignment horizontal="center" vertical="top"/>
    </xf>
    <xf numFmtId="188" fontId="10" fillId="0" borderId="9" xfId="22" applyNumberFormat="1" applyFont="1" applyFill="1" applyBorder="1" applyAlignment="1">
      <alignment vertical="top"/>
    </xf>
    <xf numFmtId="0" fontId="10" fillId="0" borderId="9" xfId="21" applyFont="1" applyBorder="1" applyAlignment="1">
      <alignment vertical="top"/>
    </xf>
    <xf numFmtId="0" fontId="13" fillId="0" borderId="9" xfId="21" applyFont="1" applyBorder="1" applyAlignment="1">
      <alignment vertical="top"/>
    </xf>
    <xf numFmtId="0" fontId="13" fillId="0" borderId="9" xfId="21" applyFont="1" applyBorder="1" applyAlignment="1">
      <alignment horizontal="center" vertical="top"/>
    </xf>
    <xf numFmtId="0" fontId="10" fillId="0" borderId="9" xfId="23" applyFont="1" applyBorder="1" applyAlignment="1">
      <alignment vertical="top" wrapText="1"/>
    </xf>
    <xf numFmtId="0" fontId="10" fillId="0" borderId="9" xfId="23" applyFont="1" applyBorder="1" applyAlignment="1">
      <alignment horizontal="center" vertical="top"/>
    </xf>
    <xf numFmtId="187" fontId="10" fillId="0" borderId="9" xfId="23" applyNumberFormat="1" applyFont="1" applyBorder="1" applyAlignment="1">
      <alignment horizontal="center" vertical="top"/>
    </xf>
    <xf numFmtId="188" fontId="10" fillId="0" borderId="9" xfId="24" applyNumberFormat="1" applyFont="1" applyFill="1" applyBorder="1" applyAlignment="1">
      <alignment horizontal="center" vertical="top"/>
    </xf>
    <xf numFmtId="0" fontId="10" fillId="0" borderId="9" xfId="23" applyFont="1" applyBorder="1" applyAlignment="1">
      <alignment vertical="top"/>
    </xf>
    <xf numFmtId="0" fontId="13" fillId="0" borderId="9" xfId="23" applyFont="1" applyBorder="1" applyAlignment="1">
      <alignment vertical="top"/>
    </xf>
    <xf numFmtId="0" fontId="13" fillId="0" borderId="9" xfId="23" applyFont="1" applyBorder="1" applyAlignment="1">
      <alignment horizontal="center" vertical="top"/>
    </xf>
    <xf numFmtId="0" fontId="10" fillId="0" borderId="9" xfId="25" applyFont="1" applyBorder="1" applyAlignment="1">
      <alignment vertical="top" wrapText="1"/>
    </xf>
    <xf numFmtId="0" fontId="10" fillId="0" borderId="9" xfId="25" applyFont="1" applyBorder="1" applyAlignment="1">
      <alignment horizontal="center" vertical="top"/>
    </xf>
    <xf numFmtId="187" fontId="10" fillId="0" borderId="9" xfId="25" applyNumberFormat="1" applyFont="1" applyBorder="1" applyAlignment="1">
      <alignment horizontal="center" vertical="top"/>
    </xf>
    <xf numFmtId="188" fontId="10" fillId="0" borderId="9" xfId="26" applyNumberFormat="1" applyFont="1" applyFill="1" applyBorder="1" applyAlignment="1">
      <alignment vertical="top"/>
    </xf>
    <xf numFmtId="0" fontId="10" fillId="0" borderId="9" xfId="25" applyFont="1" applyBorder="1" applyAlignment="1">
      <alignment vertical="top"/>
    </xf>
    <xf numFmtId="0" fontId="13" fillId="0" borderId="9" xfId="25" applyFont="1" applyBorder="1" applyAlignment="1">
      <alignment vertical="top"/>
    </xf>
    <xf numFmtId="0" fontId="13" fillId="0" borderId="9" xfId="25" applyFont="1" applyBorder="1" applyAlignment="1">
      <alignment horizontal="center" vertical="top"/>
    </xf>
    <xf numFmtId="0" fontId="10" fillId="0" borderId="9" xfId="27" applyFont="1" applyBorder="1" applyAlignment="1">
      <alignment vertical="top" wrapText="1"/>
    </xf>
    <xf numFmtId="0" fontId="10" fillId="0" borderId="9" xfId="27" applyFont="1" applyBorder="1" applyAlignment="1">
      <alignment horizontal="center" vertical="top"/>
    </xf>
    <xf numFmtId="187" fontId="10" fillId="0" borderId="9" xfId="27" applyNumberFormat="1" applyFont="1" applyBorder="1" applyAlignment="1">
      <alignment horizontal="center" vertical="top"/>
    </xf>
    <xf numFmtId="188" fontId="10" fillId="0" borderId="9" xfId="28" applyNumberFormat="1" applyFont="1" applyFill="1" applyBorder="1" applyAlignment="1">
      <alignment vertical="top"/>
    </xf>
    <xf numFmtId="0" fontId="10" fillId="0" borderId="9" xfId="27" applyFont="1" applyBorder="1" applyAlignment="1">
      <alignment vertical="top"/>
    </xf>
    <xf numFmtId="0" fontId="13" fillId="0" borderId="9" xfId="27" applyFont="1" applyBorder="1" applyAlignment="1">
      <alignment vertical="top"/>
    </xf>
    <xf numFmtId="0" fontId="13" fillId="0" borderId="9" xfId="27" applyFont="1" applyBorder="1" applyAlignment="1">
      <alignment horizontal="center" vertical="top"/>
    </xf>
    <xf numFmtId="0" fontId="10" fillId="0" borderId="9" xfId="29" applyFont="1" applyBorder="1" applyAlignment="1">
      <alignment vertical="top" wrapText="1"/>
    </xf>
    <xf numFmtId="0" fontId="10" fillId="0" borderId="9" xfId="29" applyFont="1" applyBorder="1" applyAlignment="1">
      <alignment horizontal="center" vertical="top"/>
    </xf>
    <xf numFmtId="187" fontId="10" fillId="0" borderId="9" xfId="29" applyNumberFormat="1" applyFont="1" applyBorder="1" applyAlignment="1">
      <alignment horizontal="center" vertical="top"/>
    </xf>
    <xf numFmtId="188" fontId="10" fillId="0" borderId="9" xfId="30" applyNumberFormat="1" applyFont="1" applyFill="1" applyBorder="1" applyAlignment="1">
      <alignment vertical="top"/>
    </xf>
    <xf numFmtId="0" fontId="10" fillId="0" borderId="9" xfId="29" applyFont="1" applyBorder="1" applyAlignment="1">
      <alignment vertical="top"/>
    </xf>
    <xf numFmtId="0" fontId="13" fillId="0" borderId="9" xfId="29" applyFont="1" applyBorder="1" applyAlignment="1">
      <alignment vertical="top"/>
    </xf>
    <xf numFmtId="0" fontId="13" fillId="0" borderId="9" xfId="29" applyFont="1" applyBorder="1" applyAlignment="1">
      <alignment horizontal="center" vertical="top"/>
    </xf>
    <xf numFmtId="0" fontId="10" fillId="0" borderId="9" xfId="31" applyFont="1" applyBorder="1" applyAlignment="1">
      <alignment vertical="top" wrapText="1"/>
    </xf>
    <xf numFmtId="0" fontId="10" fillId="0" borderId="9" xfId="31" applyFont="1" applyBorder="1" applyAlignment="1">
      <alignment horizontal="center" vertical="top"/>
    </xf>
    <xf numFmtId="187" fontId="10" fillId="0" borderId="9" xfId="31" applyNumberFormat="1" applyFont="1" applyBorder="1" applyAlignment="1">
      <alignment horizontal="center" vertical="top"/>
    </xf>
    <xf numFmtId="188" fontId="10" fillId="0" borderId="9" xfId="32" applyNumberFormat="1" applyFont="1" applyFill="1" applyBorder="1" applyAlignment="1">
      <alignment vertical="top"/>
    </xf>
    <xf numFmtId="0" fontId="10" fillId="0" borderId="9" xfId="31" applyFont="1" applyBorder="1" applyAlignment="1">
      <alignment vertical="top"/>
    </xf>
    <xf numFmtId="0" fontId="13" fillId="0" borderId="9" xfId="31" applyFont="1" applyBorder="1" applyAlignment="1">
      <alignment vertical="top"/>
    </xf>
    <xf numFmtId="0" fontId="13" fillId="0" borderId="9" xfId="31" applyFont="1" applyBorder="1" applyAlignment="1">
      <alignment horizontal="center" vertical="top"/>
    </xf>
    <xf numFmtId="0" fontId="10" fillId="0" borderId="9" xfId="33" applyFont="1" applyBorder="1" applyAlignment="1">
      <alignment vertical="top" wrapText="1"/>
    </xf>
    <xf numFmtId="0" fontId="10" fillId="0" borderId="9" xfId="33" applyFont="1" applyBorder="1" applyAlignment="1">
      <alignment horizontal="center" vertical="top"/>
    </xf>
    <xf numFmtId="187" fontId="10" fillId="0" borderId="9" xfId="33" applyNumberFormat="1" applyFont="1" applyBorder="1" applyAlignment="1">
      <alignment horizontal="center" vertical="top"/>
    </xf>
    <xf numFmtId="188" fontId="10" fillId="0" borderId="9" xfId="34" applyNumberFormat="1" applyFont="1" applyFill="1" applyBorder="1" applyAlignment="1">
      <alignment vertical="top"/>
    </xf>
    <xf numFmtId="0" fontId="10" fillId="0" borderId="9" xfId="33" applyFont="1" applyBorder="1" applyAlignment="1">
      <alignment vertical="top"/>
    </xf>
    <xf numFmtId="0" fontId="13" fillId="0" borderId="9" xfId="33" applyFont="1" applyBorder="1" applyAlignment="1">
      <alignment vertical="top"/>
    </xf>
    <xf numFmtId="0" fontId="13" fillId="0" borderId="9" xfId="33" applyFont="1" applyBorder="1" applyAlignment="1">
      <alignment horizontal="center" vertical="top"/>
    </xf>
    <xf numFmtId="0" fontId="10" fillId="0" borderId="9" xfId="35" applyFont="1" applyBorder="1" applyAlignment="1">
      <alignment vertical="top" wrapText="1"/>
    </xf>
    <xf numFmtId="0" fontId="10" fillId="0" borderId="9" xfId="35" applyFont="1" applyBorder="1" applyAlignment="1">
      <alignment horizontal="center" vertical="top"/>
    </xf>
    <xf numFmtId="187" fontId="10" fillId="0" borderId="9" xfId="35" applyNumberFormat="1" applyFont="1" applyBorder="1" applyAlignment="1">
      <alignment horizontal="center" vertical="top"/>
    </xf>
    <xf numFmtId="188" fontId="10" fillId="0" borderId="9" xfId="36" applyNumberFormat="1" applyFont="1" applyFill="1" applyBorder="1" applyAlignment="1">
      <alignment horizontal="center" vertical="top"/>
    </xf>
    <xf numFmtId="0" fontId="10" fillId="0" borderId="9" xfId="35" applyFont="1" applyBorder="1" applyAlignment="1">
      <alignment vertical="top"/>
    </xf>
    <xf numFmtId="0" fontId="13" fillId="0" borderId="9" xfId="35" applyFont="1" applyBorder="1" applyAlignment="1">
      <alignment vertical="top"/>
    </xf>
    <xf numFmtId="0" fontId="13" fillId="0" borderId="9" xfId="35" applyFont="1" applyBorder="1" applyAlignment="1">
      <alignment horizontal="center" vertical="top"/>
    </xf>
    <xf numFmtId="0" fontId="10" fillId="0" borderId="9" xfId="37" applyFont="1" applyBorder="1" applyAlignment="1">
      <alignment vertical="top" wrapText="1"/>
    </xf>
    <xf numFmtId="0" fontId="10" fillId="0" borderId="9" xfId="37" applyFont="1" applyBorder="1" applyAlignment="1">
      <alignment horizontal="center" vertical="top"/>
    </xf>
    <xf numFmtId="187" fontId="10" fillId="0" borderId="9" xfId="37" applyNumberFormat="1" applyFont="1" applyBorder="1" applyAlignment="1">
      <alignment horizontal="center" vertical="top"/>
    </xf>
    <xf numFmtId="188" fontId="10" fillId="0" borderId="9" xfId="38" applyNumberFormat="1" applyFont="1" applyFill="1" applyBorder="1" applyAlignment="1">
      <alignment horizontal="right" vertical="top"/>
    </xf>
    <xf numFmtId="0" fontId="10" fillId="0" borderId="9" xfId="39" applyFont="1" applyBorder="1" applyAlignment="1">
      <alignment horizontal="center" vertical="top"/>
    </xf>
    <xf numFmtId="0" fontId="10" fillId="0" borderId="9" xfId="37" applyFont="1" applyBorder="1" applyAlignment="1">
      <alignment vertical="top"/>
    </xf>
    <xf numFmtId="0" fontId="13" fillId="0" borderId="9" xfId="37" applyFont="1" applyBorder="1" applyAlignment="1">
      <alignment vertical="top"/>
    </xf>
    <xf numFmtId="0" fontId="13" fillId="0" borderId="9" xfId="37" applyFont="1" applyBorder="1" applyAlignment="1">
      <alignment horizontal="center" vertical="top"/>
    </xf>
    <xf numFmtId="0" fontId="10" fillId="0" borderId="9" xfId="40" applyFont="1" applyBorder="1" applyAlignment="1">
      <alignment vertical="top" wrapText="1"/>
    </xf>
    <xf numFmtId="0" fontId="10" fillId="0" borderId="9" xfId="40" applyFont="1" applyBorder="1" applyAlignment="1">
      <alignment horizontal="center" vertical="top"/>
    </xf>
    <xf numFmtId="187" fontId="10" fillId="0" borderId="9" xfId="40" applyNumberFormat="1" applyFont="1" applyBorder="1" applyAlignment="1">
      <alignment horizontal="center" vertical="top"/>
    </xf>
    <xf numFmtId="188" fontId="10" fillId="0" borderId="9" xfId="41" applyNumberFormat="1" applyFont="1" applyFill="1" applyBorder="1" applyAlignment="1">
      <alignment vertical="top"/>
    </xf>
    <xf numFmtId="0" fontId="10" fillId="0" borderId="9" xfId="40" applyFont="1" applyBorder="1" applyAlignment="1">
      <alignment vertical="top"/>
    </xf>
    <xf numFmtId="0" fontId="13" fillId="0" borderId="9" xfId="40" applyFont="1" applyBorder="1" applyAlignment="1">
      <alignment vertical="top"/>
    </xf>
    <xf numFmtId="0" fontId="13" fillId="0" borderId="9" xfId="40" applyFont="1" applyBorder="1" applyAlignment="1">
      <alignment horizontal="center" vertical="top"/>
    </xf>
    <xf numFmtId="0" fontId="10" fillId="0" borderId="9" xfId="39" applyFont="1" applyBorder="1" applyAlignment="1">
      <alignment vertical="top" wrapText="1"/>
    </xf>
    <xf numFmtId="187" fontId="10" fillId="0" borderId="9" xfId="39" applyNumberFormat="1" applyFont="1" applyBorder="1" applyAlignment="1">
      <alignment horizontal="center" vertical="top"/>
    </xf>
    <xf numFmtId="188" fontId="10" fillId="0" borderId="9" xfId="42" applyNumberFormat="1" applyFont="1" applyFill="1" applyBorder="1" applyAlignment="1">
      <alignment vertical="top"/>
    </xf>
    <xf numFmtId="0" fontId="10" fillId="0" borderId="9" xfId="39" applyFont="1" applyBorder="1" applyAlignment="1">
      <alignment vertical="top"/>
    </xf>
    <xf numFmtId="0" fontId="13" fillId="0" borderId="9" xfId="39" applyFont="1" applyBorder="1" applyAlignment="1">
      <alignment vertical="top"/>
    </xf>
    <xf numFmtId="0" fontId="13" fillId="0" borderId="9" xfId="39" applyFont="1" applyBorder="1" applyAlignment="1">
      <alignment horizontal="center" vertical="top"/>
    </xf>
    <xf numFmtId="187" fontId="10" fillId="0" borderId="9" xfId="46" applyNumberFormat="1" applyFont="1" applyBorder="1" applyAlignment="1">
      <alignment horizontal="center" vertical="top"/>
    </xf>
    <xf numFmtId="188" fontId="10" fillId="0" borderId="9" xfId="47" applyNumberFormat="1" applyFont="1" applyFill="1" applyBorder="1" applyAlignment="1">
      <alignment vertical="top"/>
    </xf>
    <xf numFmtId="0" fontId="13" fillId="0" borderId="9" xfId="46" applyFont="1" applyBorder="1" applyAlignment="1">
      <alignment vertical="top"/>
    </xf>
    <xf numFmtId="0" fontId="13" fillId="0" borderId="9" xfId="46" applyFont="1" applyBorder="1" applyAlignment="1">
      <alignment horizontal="center" vertical="top"/>
    </xf>
    <xf numFmtId="0" fontId="10" fillId="0" borderId="9" xfId="49" applyFont="1" applyBorder="1" applyAlignment="1">
      <alignment horizontal="center" vertical="top"/>
    </xf>
    <xf numFmtId="0" fontId="13" fillId="0" borderId="9" xfId="87" applyFont="1" applyBorder="1" applyAlignment="1">
      <alignment vertical="top"/>
    </xf>
    <xf numFmtId="0" fontId="13" fillId="0" borderId="9" xfId="87" applyFont="1" applyBorder="1" applyAlignment="1">
      <alignment horizontal="center" vertical="top"/>
    </xf>
    <xf numFmtId="0" fontId="10" fillId="0" borderId="9" xfId="50" applyFont="1" applyBorder="1" applyAlignment="1">
      <alignment vertical="top" wrapText="1"/>
    </xf>
    <xf numFmtId="0" fontId="10" fillId="0" borderId="9" xfId="50" applyFont="1" applyBorder="1" applyAlignment="1">
      <alignment horizontal="center" vertical="top"/>
    </xf>
    <xf numFmtId="188" fontId="10" fillId="0" borderId="9" xfId="51" applyNumberFormat="1" applyFont="1" applyFill="1" applyBorder="1" applyAlignment="1">
      <alignment vertical="top"/>
    </xf>
    <xf numFmtId="0" fontId="10" fillId="0" borderId="9" xfId="50" applyFont="1" applyBorder="1" applyAlignment="1">
      <alignment vertical="top"/>
    </xf>
    <xf numFmtId="0" fontId="13" fillId="0" borderId="9" xfId="50" applyFont="1" applyBorder="1" applyAlignment="1">
      <alignment vertical="top"/>
    </xf>
    <xf numFmtId="0" fontId="13" fillId="0" borderId="9" xfId="50" applyFont="1" applyBorder="1" applyAlignment="1">
      <alignment horizontal="center" vertical="top"/>
    </xf>
    <xf numFmtId="188" fontId="10" fillId="0" borderId="9" xfId="52" applyNumberFormat="1" applyFont="1" applyFill="1" applyBorder="1" applyAlignment="1">
      <alignment vertical="top"/>
    </xf>
    <xf numFmtId="0" fontId="10" fillId="0" borderId="9" xfId="87" applyFont="1" applyBorder="1" applyAlignment="1">
      <alignment horizontal="left" vertical="top"/>
    </xf>
    <xf numFmtId="0" fontId="10" fillId="0" borderId="9" xfId="49" applyFont="1" applyBorder="1" applyAlignment="1">
      <alignment vertical="top" wrapText="1"/>
    </xf>
    <xf numFmtId="187" fontId="10" fillId="0" borderId="9" xfId="53" applyNumberFormat="1" applyFont="1" applyBorder="1" applyAlignment="1">
      <alignment horizontal="center" vertical="top"/>
    </xf>
    <xf numFmtId="188" fontId="10" fillId="0" borderId="9" xfId="54" applyNumberFormat="1" applyFont="1" applyFill="1" applyBorder="1" applyAlignment="1">
      <alignment horizontal="right" vertical="top"/>
    </xf>
    <xf numFmtId="0" fontId="10" fillId="0" borderId="9" xfId="49" applyFont="1" applyBorder="1" applyAlignment="1">
      <alignment vertical="top"/>
    </xf>
    <xf numFmtId="0" fontId="13" fillId="0" borderId="9" xfId="49" applyFont="1" applyBorder="1" applyAlignment="1">
      <alignment vertical="top"/>
    </xf>
    <xf numFmtId="0" fontId="13" fillId="0" borderId="9" xfId="49" applyFont="1" applyBorder="1" applyAlignment="1">
      <alignment horizontal="center" vertical="top"/>
    </xf>
    <xf numFmtId="188" fontId="10" fillId="0" borderId="9" xfId="52" applyNumberFormat="1" applyFont="1" applyFill="1" applyBorder="1" applyAlignment="1">
      <alignment horizontal="right" vertical="top"/>
    </xf>
    <xf numFmtId="0" fontId="10" fillId="0" borderId="9" xfId="56" applyFont="1" applyBorder="1" applyAlignment="1">
      <alignment horizontal="center" vertical="top"/>
    </xf>
    <xf numFmtId="0" fontId="10" fillId="0" borderId="9" xfId="2" applyFont="1" applyBorder="1" applyAlignment="1">
      <alignment horizontal="center" vertical="top" shrinkToFit="1"/>
    </xf>
    <xf numFmtId="0" fontId="10" fillId="0" borderId="9" xfId="2" applyFont="1" applyBorder="1" applyAlignment="1">
      <alignment horizontal="center" vertical="top" wrapText="1"/>
    </xf>
    <xf numFmtId="0" fontId="10" fillId="0" borderId="9" xfId="57" applyFont="1" applyBorder="1" applyAlignment="1">
      <alignment horizontal="center" vertical="top"/>
    </xf>
    <xf numFmtId="0" fontId="10" fillId="0" borderId="9" xfId="87" applyFont="1" applyBorder="1" applyAlignment="1">
      <alignment horizontal="left" vertical="top" wrapText="1"/>
    </xf>
    <xf numFmtId="0" fontId="8" fillId="0" borderId="9" xfId="87" applyFont="1" applyBorder="1" applyAlignment="1">
      <alignment vertical="top" wrapText="1"/>
    </xf>
    <xf numFmtId="0" fontId="8" fillId="0" borderId="9" xfId="87" applyFont="1" applyBorder="1" applyAlignment="1">
      <alignment horizontal="center" vertical="top" wrapText="1"/>
    </xf>
    <xf numFmtId="15" fontId="10" fillId="0" borderId="9" xfId="87" applyNumberFormat="1" applyFont="1" applyBorder="1" applyAlignment="1">
      <alignment horizontal="center" vertical="top" wrapText="1"/>
    </xf>
    <xf numFmtId="188" fontId="10" fillId="0" borderId="9" xfId="88" applyNumberFormat="1" applyFont="1" applyFill="1" applyBorder="1" applyAlignment="1">
      <alignment vertical="top" wrapText="1"/>
    </xf>
    <xf numFmtId="0" fontId="10" fillId="0" borderId="9" xfId="87" applyFont="1" applyBorder="1" applyAlignment="1">
      <alignment horizontal="center" vertical="top" wrapText="1"/>
    </xf>
    <xf numFmtId="43" fontId="10" fillId="0" borderId="9" xfId="88" applyFont="1" applyFill="1" applyBorder="1" applyAlignment="1">
      <alignment horizontal="center" vertical="top" wrapText="1"/>
    </xf>
    <xf numFmtId="0" fontId="10" fillId="2" borderId="9" xfId="14" applyFont="1" applyFill="1" applyBorder="1" applyAlignment="1">
      <alignment horizontal="left" vertical="top"/>
    </xf>
    <xf numFmtId="0" fontId="10" fillId="2" borderId="9" xfId="14" applyFont="1" applyFill="1" applyBorder="1" applyAlignment="1">
      <alignment horizontal="center" vertical="top"/>
    </xf>
    <xf numFmtId="187" fontId="10" fillId="2" borderId="9" xfId="14" applyNumberFormat="1" applyFont="1" applyFill="1" applyBorder="1" applyAlignment="1">
      <alignment horizontal="center" vertical="top"/>
    </xf>
    <xf numFmtId="188" fontId="10" fillId="2" borderId="9" xfId="92" applyNumberFormat="1" applyFont="1" applyFill="1" applyBorder="1" applyAlignment="1">
      <alignment horizontal="center" vertical="top"/>
    </xf>
    <xf numFmtId="0" fontId="10" fillId="2" borderId="9" xfId="14" applyFont="1" applyFill="1" applyBorder="1" applyAlignment="1">
      <alignment vertical="top"/>
    </xf>
    <xf numFmtId="0" fontId="13" fillId="2" borderId="9" xfId="14" applyFont="1" applyFill="1" applyBorder="1" applyAlignment="1">
      <alignment vertical="top"/>
    </xf>
    <xf numFmtId="0" fontId="13" fillId="2" borderId="9" xfId="14" applyFont="1" applyFill="1" applyBorder="1" applyAlignment="1">
      <alignment horizontal="center" vertical="top"/>
    </xf>
    <xf numFmtId="0" fontId="10" fillId="2" borderId="9" xfId="12" applyFont="1" applyFill="1" applyBorder="1" applyAlignment="1">
      <alignment horizontal="left" vertical="top"/>
    </xf>
    <xf numFmtId="0" fontId="10" fillId="2" borderId="9" xfId="12" applyFont="1" applyFill="1" applyBorder="1" applyAlignment="1">
      <alignment horizontal="center" vertical="top"/>
    </xf>
    <xf numFmtId="187" fontId="10" fillId="2" borderId="9" xfId="12" applyNumberFormat="1" applyFont="1" applyFill="1" applyBorder="1" applyAlignment="1">
      <alignment horizontal="center" vertical="top"/>
    </xf>
    <xf numFmtId="188" fontId="10" fillId="2" borderId="9" xfId="13" applyNumberFormat="1" applyFont="1" applyFill="1" applyBorder="1" applyAlignment="1">
      <alignment horizontal="center" vertical="top"/>
    </xf>
    <xf numFmtId="0" fontId="13" fillId="2" borderId="9" xfId="12" applyFont="1" applyFill="1" applyBorder="1" applyAlignment="1">
      <alignment horizontal="center" vertical="top"/>
    </xf>
    <xf numFmtId="0" fontId="10" fillId="2" borderId="9" xfId="93" applyFont="1" applyFill="1" applyBorder="1" applyAlignment="1">
      <alignment horizontal="left" vertical="top"/>
    </xf>
    <xf numFmtId="0" fontId="10" fillId="2" borderId="9" xfId="93" applyFont="1" applyFill="1" applyBorder="1" applyAlignment="1">
      <alignment horizontal="center" vertical="top"/>
    </xf>
    <xf numFmtId="187" fontId="10" fillId="2" borderId="9" xfId="93" applyNumberFormat="1" applyFont="1" applyFill="1" applyBorder="1" applyAlignment="1">
      <alignment horizontal="center" vertical="top"/>
    </xf>
    <xf numFmtId="188" fontId="10" fillId="2" borderId="9" xfId="94" applyNumberFormat="1" applyFont="1" applyFill="1" applyBorder="1" applyAlignment="1">
      <alignment horizontal="center" vertical="top"/>
    </xf>
    <xf numFmtId="0" fontId="13" fillId="2" borderId="9" xfId="93" applyFont="1" applyFill="1" applyBorder="1" applyAlignment="1">
      <alignment horizontal="center" vertical="top"/>
    </xf>
    <xf numFmtId="0" fontId="10" fillId="2" borderId="9" xfId="95" applyFont="1" applyFill="1" applyBorder="1" applyAlignment="1">
      <alignment horizontal="left" vertical="top"/>
    </xf>
    <xf numFmtId="0" fontId="10" fillId="2" borderId="9" xfId="95" applyFont="1" applyFill="1" applyBorder="1" applyAlignment="1">
      <alignment horizontal="center" vertical="top"/>
    </xf>
    <xf numFmtId="187" fontId="10" fillId="2" borderId="9" xfId="95" applyNumberFormat="1" applyFont="1" applyFill="1" applyBorder="1" applyAlignment="1">
      <alignment horizontal="center" vertical="top"/>
    </xf>
    <xf numFmtId="188" fontId="10" fillId="2" borderId="9" xfId="96" applyNumberFormat="1" applyFont="1" applyFill="1" applyBorder="1" applyAlignment="1">
      <alignment horizontal="center" vertical="top"/>
    </xf>
    <xf numFmtId="0" fontId="10" fillId="2" borderId="9" xfId="33" applyFont="1" applyFill="1" applyBorder="1" applyAlignment="1">
      <alignment horizontal="center" vertical="top"/>
    </xf>
    <xf numFmtId="0" fontId="13" fillId="2" borderId="9" xfId="95" applyFont="1" applyFill="1" applyBorder="1" applyAlignment="1">
      <alignment horizontal="center"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8" fillId="0" borderId="0" xfId="87" applyFont="1" applyAlignment="1">
      <alignment vertical="top"/>
    </xf>
    <xf numFmtId="0" fontId="10" fillId="0" borderId="8" xfId="46" applyFont="1" applyBorder="1" applyAlignment="1">
      <alignment horizontal="center" vertical="center"/>
    </xf>
    <xf numFmtId="0" fontId="10" fillId="0" borderId="8" xfId="46" applyFont="1" applyBorder="1" applyAlignment="1">
      <alignment horizontal="center" vertical="top"/>
    </xf>
    <xf numFmtId="0" fontId="29" fillId="3" borderId="0" xfId="87" applyFont="1" applyFill="1" applyAlignment="1">
      <alignment vertical="top"/>
    </xf>
    <xf numFmtId="0" fontId="18" fillId="2" borderId="8" xfId="0" applyFont="1" applyFill="1" applyBorder="1" applyAlignment="1">
      <alignment horizontal="center" vertical="center"/>
    </xf>
    <xf numFmtId="0" fontId="19" fillId="0" borderId="9" xfId="87" applyFont="1" applyBorder="1" applyAlignment="1">
      <alignment horizontal="center" vertical="top"/>
    </xf>
    <xf numFmtId="0" fontId="23" fillId="0" borderId="9" xfId="87" applyFont="1" applyBorder="1" applyAlignment="1">
      <alignment horizontal="center" vertical="top"/>
    </xf>
    <xf numFmtId="0" fontId="10" fillId="2" borderId="3" xfId="46" applyFont="1" applyFill="1" applyBorder="1" applyAlignment="1">
      <alignment vertical="top" wrapText="1"/>
    </xf>
    <xf numFmtId="0" fontId="10" fillId="2" borderId="3" xfId="46" applyFont="1" applyFill="1" applyBorder="1" applyAlignment="1">
      <alignment horizontal="center" vertical="top"/>
    </xf>
    <xf numFmtId="187" fontId="10" fillId="2" borderId="3" xfId="46" applyNumberFormat="1" applyFont="1" applyFill="1" applyBorder="1" applyAlignment="1">
      <alignment horizontal="center" vertical="top"/>
    </xf>
    <xf numFmtId="188" fontId="10" fillId="2" borderId="3" xfId="47" applyNumberFormat="1" applyFont="1" applyFill="1" applyBorder="1" applyAlignment="1">
      <alignment vertical="top"/>
    </xf>
    <xf numFmtId="0" fontId="13" fillId="2" borderId="3" xfId="46" applyFont="1" applyFill="1" applyBorder="1" applyAlignment="1">
      <alignment horizontal="center" vertical="top"/>
    </xf>
    <xf numFmtId="0" fontId="10" fillId="2" borderId="3" xfId="2" applyFont="1" applyFill="1" applyBorder="1" applyAlignment="1">
      <alignment horizontal="center" vertical="top"/>
    </xf>
    <xf numFmtId="43" fontId="19" fillId="0" borderId="9" xfId="88" applyFont="1" applyFill="1" applyBorder="1" applyAlignment="1">
      <alignment horizontal="center" vertical="center"/>
    </xf>
    <xf numFmtId="43" fontId="10" fillId="0" borderId="8" xfId="85" applyFont="1" applyFill="1" applyBorder="1" applyAlignment="1">
      <alignment horizontal="center" vertical="top" wrapText="1"/>
    </xf>
    <xf numFmtId="0" fontId="8" fillId="5" borderId="0" xfId="87" applyFont="1" applyFill="1" applyAlignment="1">
      <alignment vertical="top"/>
    </xf>
    <xf numFmtId="0" fontId="9" fillId="0" borderId="9" xfId="83" applyFont="1" applyBorder="1" applyAlignment="1">
      <alignment horizontal="center" vertical="top"/>
    </xf>
    <xf numFmtId="43" fontId="9" fillId="0" borderId="9" xfId="84" applyFont="1" applyBorder="1" applyAlignment="1">
      <alignment vertical="top"/>
    </xf>
    <xf numFmtId="0" fontId="10" fillId="4" borderId="9" xfId="87" applyFont="1" applyFill="1" applyBorder="1" applyAlignment="1">
      <alignment horizontal="center" vertical="top"/>
    </xf>
    <xf numFmtId="0" fontId="10" fillId="0" borderId="9" xfId="46" quotePrefix="1" applyFont="1" applyBorder="1" applyAlignment="1">
      <alignment horizontal="center" vertical="top"/>
    </xf>
    <xf numFmtId="0" fontId="10" fillId="0" borderId="9" xfId="46" applyFont="1" applyBorder="1" applyAlignment="1">
      <alignment wrapText="1"/>
    </xf>
    <xf numFmtId="0" fontId="10" fillId="0" borderId="9" xfId="46" applyFont="1" applyBorder="1" applyAlignment="1">
      <alignment horizontal="center"/>
    </xf>
    <xf numFmtId="187" fontId="10" fillId="0" borderId="9" xfId="46" applyNumberFormat="1" applyFont="1" applyBorder="1" applyAlignment="1">
      <alignment horizontal="center"/>
    </xf>
    <xf numFmtId="188" fontId="10" fillId="0" borderId="9" xfId="47" applyNumberFormat="1" applyFont="1" applyFill="1" applyBorder="1"/>
    <xf numFmtId="0" fontId="10" fillId="0" borderId="9" xfId="46" applyFont="1" applyBorder="1"/>
    <xf numFmtId="0" fontId="13" fillId="0" borderId="9" xfId="46" applyFont="1" applyBorder="1"/>
    <xf numFmtId="0" fontId="13" fillId="0" borderId="9" xfId="46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9" xfId="83" applyFont="1" applyBorder="1" applyAlignment="1">
      <alignment vertical="top"/>
    </xf>
    <xf numFmtId="0" fontId="10" fillId="0" borderId="9" xfId="83" applyFont="1" applyBorder="1" applyAlignment="1">
      <alignment horizontal="center" vertical="top"/>
    </xf>
    <xf numFmtId="187" fontId="10" fillId="0" borderId="9" xfId="83" applyNumberFormat="1" applyFont="1" applyBorder="1" applyAlignment="1">
      <alignment horizontal="center" vertical="top"/>
    </xf>
    <xf numFmtId="188" fontId="10" fillId="0" borderId="9" xfId="84" applyNumberFormat="1" applyFont="1" applyFill="1" applyBorder="1" applyAlignment="1">
      <alignment vertical="top"/>
    </xf>
    <xf numFmtId="0" fontId="21" fillId="0" borderId="9" xfId="83" applyFont="1" applyBorder="1" applyAlignment="1">
      <alignment horizontal="center"/>
    </xf>
    <xf numFmtId="0" fontId="21" fillId="0" borderId="9" xfId="83" applyFont="1" applyBorder="1"/>
    <xf numFmtId="0" fontId="16" fillId="0" borderId="9" xfId="83" applyFont="1" applyBorder="1"/>
    <xf numFmtId="0" fontId="16" fillId="0" borderId="9" xfId="83" applyFont="1" applyBorder="1" applyAlignment="1">
      <alignment horizontal="center"/>
    </xf>
    <xf numFmtId="0" fontId="23" fillId="0" borderId="9" xfId="83" applyFont="1" applyBorder="1" applyAlignment="1">
      <alignment horizontal="center" vertical="center"/>
    </xf>
    <xf numFmtId="43" fontId="23" fillId="0" borderId="9" xfId="88" applyFont="1" applyFill="1" applyBorder="1" applyAlignment="1">
      <alignment horizontal="center" vertical="top"/>
    </xf>
    <xf numFmtId="49" fontId="10" fillId="0" borderId="9" xfId="83" applyNumberFormat="1" applyFont="1" applyBorder="1" applyAlignment="1">
      <alignment horizontal="center" vertical="top"/>
    </xf>
    <xf numFmtId="188" fontId="10" fillId="0" borderId="9" xfId="83" applyNumberFormat="1" applyFont="1" applyBorder="1" applyAlignment="1">
      <alignment vertical="top"/>
    </xf>
    <xf numFmtId="15" fontId="10" fillId="0" borderId="9" xfId="83" applyNumberFormat="1" applyFont="1" applyBorder="1" applyAlignment="1">
      <alignment horizontal="center" vertical="top"/>
    </xf>
    <xf numFmtId="0" fontId="33" fillId="0" borderId="9" xfId="83" applyFont="1" applyBorder="1" applyAlignment="1">
      <alignment horizontal="center" vertical="center"/>
    </xf>
    <xf numFmtId="0" fontId="10" fillId="0" borderId="9" xfId="83" applyFont="1" applyBorder="1" applyAlignment="1">
      <alignment horizontal="center"/>
    </xf>
    <xf numFmtId="0" fontId="10" fillId="0" borderId="9" xfId="83" applyFont="1" applyBorder="1"/>
    <xf numFmtId="0" fontId="13" fillId="0" borderId="9" xfId="83" applyFont="1" applyBorder="1"/>
    <xf numFmtId="0" fontId="13" fillId="0" borderId="9" xfId="83" applyFont="1" applyBorder="1" applyAlignment="1">
      <alignment horizontal="center"/>
    </xf>
    <xf numFmtId="0" fontId="10" fillId="0" borderId="9" xfId="45" applyFont="1" applyBorder="1" applyAlignment="1">
      <alignment horizontal="center" vertical="center"/>
    </xf>
    <xf numFmtId="0" fontId="33" fillId="0" borderId="9" xfId="83" applyFont="1" applyBorder="1" applyAlignment="1">
      <alignment horizontal="center" vertical="top"/>
    </xf>
    <xf numFmtId="43" fontId="8" fillId="0" borderId="9" xfId="84" applyFont="1" applyFill="1" applyBorder="1" applyAlignment="1">
      <alignment horizontal="center" vertical="center" wrapText="1"/>
    </xf>
    <xf numFmtId="0" fontId="10" fillId="0" borderId="9" xfId="83" applyFont="1" applyBorder="1" applyAlignment="1">
      <alignment horizontal="left" vertical="top"/>
    </xf>
    <xf numFmtId="15" fontId="10" fillId="0" borderId="9" xfId="88" applyNumberFormat="1" applyFont="1" applyFill="1" applyBorder="1" applyAlignment="1">
      <alignment horizontal="center" vertical="top"/>
    </xf>
    <xf numFmtId="0" fontId="10" fillId="0" borderId="9" xfId="87" applyFont="1" applyBorder="1" applyAlignment="1">
      <alignment vertical="top" wrapText="1" shrinkToFit="1"/>
    </xf>
    <xf numFmtId="0" fontId="18" fillId="0" borderId="8" xfId="0" applyFont="1" applyBorder="1" applyAlignment="1">
      <alignment horizontal="center" vertical="center"/>
    </xf>
    <xf numFmtId="0" fontId="10" fillId="0" borderId="9" xfId="83" applyFont="1" applyBorder="1" applyAlignment="1">
      <alignment horizontal="center" vertical="center"/>
    </xf>
    <xf numFmtId="43" fontId="9" fillId="0" borderId="9" xfId="84" applyFont="1" applyFill="1" applyBorder="1" applyAlignment="1">
      <alignment vertical="top"/>
    </xf>
    <xf numFmtId="0" fontId="24" fillId="0" borderId="0" xfId="87" applyFont="1"/>
    <xf numFmtId="0" fontId="10" fillId="0" borderId="9" xfId="87" applyFont="1" applyBorder="1"/>
    <xf numFmtId="0" fontId="10" fillId="0" borderId="0" xfId="87" applyFont="1"/>
    <xf numFmtId="0" fontId="10" fillId="0" borderId="9" xfId="83" applyFont="1" applyBorder="1" applyAlignment="1">
      <alignment vertical="top" wrapText="1"/>
    </xf>
    <xf numFmtId="0" fontId="10" fillId="0" borderId="9" xfId="83" applyFont="1" applyBorder="1" applyAlignment="1">
      <alignment horizontal="center" vertical="top" wrapText="1"/>
    </xf>
    <xf numFmtId="188" fontId="10" fillId="0" borderId="9" xfId="52" applyNumberFormat="1" applyFont="1" applyFill="1" applyBorder="1" applyAlignment="1">
      <alignment horizontal="center" vertical="top"/>
    </xf>
    <xf numFmtId="0" fontId="13" fillId="0" borderId="9" xfId="83" applyFont="1" applyBorder="1" applyAlignment="1">
      <alignment vertical="top"/>
    </xf>
    <xf numFmtId="0" fontId="13" fillId="0" borderId="9" xfId="83" applyFont="1" applyBorder="1" applyAlignment="1">
      <alignment horizontal="center" vertical="top"/>
    </xf>
    <xf numFmtId="15" fontId="8" fillId="0" borderId="9" xfId="83" applyNumberFormat="1" applyFont="1" applyBorder="1" applyAlignment="1">
      <alignment horizontal="center" vertical="top"/>
    </xf>
    <xf numFmtId="3" fontId="8" fillId="0" borderId="9" xfId="83" applyNumberFormat="1" applyFont="1" applyBorder="1" applyAlignment="1">
      <alignment vertical="top"/>
    </xf>
    <xf numFmtId="0" fontId="10" fillId="0" borderId="9" xfId="17" applyFont="1" applyBorder="1" applyAlignment="1">
      <alignment horizontal="center" vertical="center"/>
    </xf>
    <xf numFmtId="0" fontId="20" fillId="0" borderId="9" xfId="46" applyFont="1" applyBorder="1" applyAlignment="1">
      <alignment horizontal="center" vertical="top"/>
    </xf>
    <xf numFmtId="0" fontId="20" fillId="0" borderId="9" xfId="83" applyFont="1" applyBorder="1" applyAlignment="1">
      <alignment horizontal="center" vertical="top"/>
    </xf>
    <xf numFmtId="0" fontId="10" fillId="0" borderId="9" xfId="83" applyFont="1" applyBorder="1" applyAlignment="1">
      <alignment horizontal="left"/>
    </xf>
    <xf numFmtId="15" fontId="10" fillId="0" borderId="9" xfId="84" applyNumberFormat="1" applyFont="1" applyFill="1" applyBorder="1" applyAlignment="1">
      <alignment horizontal="center" vertical="top"/>
    </xf>
    <xf numFmtId="188" fontId="10" fillId="0" borderId="9" xfId="84" applyNumberFormat="1" applyFont="1" applyFill="1" applyBorder="1" applyAlignment="1">
      <alignment horizontal="center" vertical="top"/>
    </xf>
    <xf numFmtId="0" fontId="10" fillId="0" borderId="9" xfId="57" applyFont="1" applyBorder="1" applyAlignment="1">
      <alignment horizontal="center" vertical="center"/>
    </xf>
    <xf numFmtId="0" fontId="13" fillId="0" borderId="9" xfId="83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shrinkToFit="1"/>
    </xf>
    <xf numFmtId="0" fontId="10" fillId="0" borderId="9" xfId="2" applyFont="1" applyBorder="1" applyAlignment="1">
      <alignment horizontal="center" wrapText="1"/>
    </xf>
    <xf numFmtId="0" fontId="10" fillId="0" borderId="9" xfId="2" applyFont="1" applyBorder="1" applyAlignment="1">
      <alignment horizontal="center" vertical="center"/>
    </xf>
    <xf numFmtId="43" fontId="10" fillId="0" borderId="9" xfId="84" applyFont="1" applyFill="1" applyBorder="1" applyAlignment="1">
      <alignment horizontal="center" vertical="center"/>
    </xf>
    <xf numFmtId="188" fontId="10" fillId="0" borderId="9" xfId="88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10" fillId="0" borderId="13" xfId="0" applyFont="1" applyBorder="1" applyAlignment="1">
      <alignment horizontal="center" vertical="top"/>
    </xf>
    <xf numFmtId="0" fontId="10" fillId="0" borderId="0" xfId="0" applyFont="1"/>
    <xf numFmtId="187" fontId="10" fillId="0" borderId="8" xfId="87" applyNumberFormat="1" applyFont="1" applyBorder="1" applyAlignment="1">
      <alignment horizontal="center" vertical="top"/>
    </xf>
    <xf numFmtId="0" fontId="10" fillId="0" borderId="8" xfId="87" applyFont="1" applyBorder="1" applyAlignment="1">
      <alignment horizontal="center" vertical="top"/>
    </xf>
    <xf numFmtId="43" fontId="10" fillId="0" borderId="8" xfId="88" applyFont="1" applyFill="1" applyBorder="1" applyAlignment="1">
      <alignment horizontal="center" vertical="top"/>
    </xf>
    <xf numFmtId="0" fontId="10" fillId="4" borderId="9" xfId="46" applyFont="1" applyFill="1" applyBorder="1" applyAlignment="1">
      <alignment horizontal="center" vertical="top"/>
    </xf>
    <xf numFmtId="0" fontId="10" fillId="4" borderId="9" xfId="83" applyFont="1" applyFill="1" applyBorder="1" applyAlignment="1">
      <alignment vertical="top" wrapText="1"/>
    </xf>
    <xf numFmtId="0" fontId="10" fillId="4" borderId="9" xfId="83" applyFont="1" applyFill="1" applyBorder="1" applyAlignment="1">
      <alignment horizontal="center" vertical="top"/>
    </xf>
    <xf numFmtId="15" fontId="10" fillId="4" borderId="9" xfId="84" applyNumberFormat="1" applyFont="1" applyFill="1" applyBorder="1" applyAlignment="1">
      <alignment horizontal="center" vertical="top"/>
    </xf>
    <xf numFmtId="188" fontId="10" fillId="4" borderId="9" xfId="84" applyNumberFormat="1" applyFont="1" applyFill="1" applyBorder="1" applyAlignment="1">
      <alignment horizontal="center" vertical="top"/>
    </xf>
    <xf numFmtId="0" fontId="20" fillId="4" borderId="9" xfId="83" applyFont="1" applyFill="1" applyBorder="1" applyAlignment="1">
      <alignment horizontal="center" vertical="top"/>
    </xf>
    <xf numFmtId="43" fontId="33" fillId="4" borderId="9" xfId="84" applyFont="1" applyFill="1" applyBorder="1" applyAlignment="1">
      <alignment horizontal="center" vertical="top"/>
    </xf>
    <xf numFmtId="0" fontId="34" fillId="0" borderId="0" xfId="87" applyFont="1" applyAlignment="1">
      <alignment vertical="top"/>
    </xf>
    <xf numFmtId="43" fontId="33" fillId="0" borderId="9" xfId="84" applyFont="1" applyFill="1" applyBorder="1" applyAlignment="1">
      <alignment horizontal="center" vertical="top"/>
    </xf>
    <xf numFmtId="0" fontId="10" fillId="0" borderId="0" xfId="83" applyFont="1"/>
    <xf numFmtId="0" fontId="10" fillId="0" borderId="0" xfId="87" applyFont="1" applyAlignment="1">
      <alignment vertical="top"/>
    </xf>
    <xf numFmtId="43" fontId="10" fillId="0" borderId="9" xfId="88" applyFont="1" applyFill="1" applyBorder="1" applyAlignment="1">
      <alignment vertical="top"/>
    </xf>
    <xf numFmtId="0" fontId="23" fillId="0" borderId="9" xfId="0" applyFont="1" applyBorder="1" applyAlignment="1">
      <alignment vertical="top" wrapText="1"/>
    </xf>
    <xf numFmtId="15" fontId="10" fillId="0" borderId="9" xfId="0" applyNumberFormat="1" applyFont="1" applyBorder="1" applyAlignment="1">
      <alignment horizontal="center" vertical="top"/>
    </xf>
    <xf numFmtId="43" fontId="10" fillId="0" borderId="9" xfId="85" applyFont="1" applyFill="1" applyBorder="1" applyAlignment="1">
      <alignment vertical="top"/>
    </xf>
    <xf numFmtId="0" fontId="10" fillId="0" borderId="8" xfId="0" applyFont="1" applyBorder="1" applyAlignment="1">
      <alignment horizontal="center" vertical="top"/>
    </xf>
    <xf numFmtId="43" fontId="24" fillId="0" borderId="8" xfId="85" applyFont="1" applyFill="1" applyBorder="1" applyAlignment="1">
      <alignment horizontal="center" vertical="top"/>
    </xf>
    <xf numFmtId="43" fontId="10" fillId="0" borderId="9" xfId="84" applyFont="1" applyFill="1" applyBorder="1" applyAlignment="1">
      <alignment vertical="top"/>
    </xf>
    <xf numFmtId="0" fontId="23" fillId="0" borderId="9" xfId="83" applyFont="1" applyBorder="1" applyAlignment="1">
      <alignment horizontal="center" vertical="top"/>
    </xf>
    <xf numFmtId="0" fontId="10" fillId="0" borderId="13" xfId="0" applyFont="1" applyBorder="1" applyAlignment="1">
      <alignment vertical="top" wrapText="1"/>
    </xf>
    <xf numFmtId="43" fontId="10" fillId="0" borderId="14" xfId="85" applyFont="1" applyFill="1" applyBorder="1" applyAlignment="1">
      <alignment vertical="top"/>
    </xf>
    <xf numFmtId="0" fontId="23" fillId="0" borderId="8" xfId="0" applyFont="1" applyBorder="1" applyAlignment="1">
      <alignment horizontal="center" vertical="top"/>
    </xf>
    <xf numFmtId="43" fontId="10" fillId="0" borderId="8" xfId="85" applyFont="1" applyFill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43" fontId="10" fillId="0" borderId="9" xfId="84" applyFont="1" applyFill="1" applyBorder="1" applyAlignment="1">
      <alignment horizontal="center" vertical="top"/>
    </xf>
    <xf numFmtId="4" fontId="10" fillId="0" borderId="9" xfId="87" applyNumberFormat="1" applyFont="1" applyBorder="1" applyAlignment="1">
      <alignment horizontal="right" vertical="top" wrapText="1"/>
    </xf>
    <xf numFmtId="0" fontId="10" fillId="0" borderId="8" xfId="46" applyFont="1" applyBorder="1" applyAlignment="1">
      <alignment vertical="top" wrapText="1"/>
    </xf>
    <xf numFmtId="15" fontId="10" fillId="0" borderId="8" xfId="0" applyNumberFormat="1" applyFont="1" applyBorder="1" applyAlignment="1">
      <alignment horizontal="center" vertical="top"/>
    </xf>
    <xf numFmtId="188" fontId="10" fillId="0" borderId="8" xfId="85" applyNumberFormat="1" applyFont="1" applyFill="1" applyBorder="1" applyAlignment="1">
      <alignment horizontal="center" vertical="top"/>
    </xf>
    <xf numFmtId="0" fontId="10" fillId="0" borderId="9" xfId="86" applyFont="1" applyBorder="1" applyAlignment="1">
      <alignment horizontal="left" vertical="top" wrapText="1"/>
    </xf>
    <xf numFmtId="0" fontId="10" fillId="0" borderId="9" xfId="86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 wrapText="1"/>
    </xf>
    <xf numFmtId="0" fontId="10" fillId="0" borderId="9" xfId="86" applyFont="1" applyBorder="1" applyAlignment="1">
      <alignment vertical="top"/>
    </xf>
    <xf numFmtId="15" fontId="10" fillId="0" borderId="9" xfId="1" applyNumberFormat="1" applyFont="1" applyBorder="1" applyAlignment="1">
      <alignment horizontal="center" vertical="top" wrapText="1"/>
    </xf>
    <xf numFmtId="4" fontId="10" fillId="0" borderId="9" xfId="0" applyNumberFormat="1" applyFont="1" applyBorder="1" applyAlignment="1">
      <alignment horizontal="right" vertical="top"/>
    </xf>
    <xf numFmtId="0" fontId="10" fillId="0" borderId="9" xfId="0" applyFont="1" applyBorder="1" applyAlignment="1">
      <alignment horizontal="center" vertical="top" wrapText="1"/>
    </xf>
    <xf numFmtId="0" fontId="10" fillId="0" borderId="9" xfId="1" applyFont="1" applyBorder="1"/>
    <xf numFmtId="0" fontId="10" fillId="0" borderId="0" xfId="1" applyFont="1"/>
    <xf numFmtId="0" fontId="21" fillId="0" borderId="0" xfId="87" applyFont="1" applyAlignment="1">
      <alignment vertical="top"/>
    </xf>
    <xf numFmtId="0" fontId="10" fillId="0" borderId="8" xfId="46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88" fontId="10" fillId="0" borderId="8" xfId="85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23" fillId="0" borderId="8" xfId="85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/>
    </xf>
    <xf numFmtId="0" fontId="10" fillId="0" borderId="17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center" vertical="top"/>
    </xf>
    <xf numFmtId="188" fontId="10" fillId="0" borderId="8" xfId="88" applyNumberFormat="1" applyFont="1" applyFill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43" fontId="10" fillId="0" borderId="0" xfId="85" applyFont="1" applyFill="1" applyAlignment="1">
      <alignment vertical="top"/>
    </xf>
    <xf numFmtId="43" fontId="13" fillId="0" borderId="9" xfId="84" applyFont="1" applyFill="1" applyBorder="1" applyAlignment="1">
      <alignment vertical="top"/>
    </xf>
    <xf numFmtId="0" fontId="34" fillId="0" borderId="0" xfId="87" applyFont="1"/>
    <xf numFmtId="0" fontId="10" fillId="4" borderId="9" xfId="87" applyFont="1" applyFill="1" applyBorder="1" applyAlignment="1">
      <alignment vertical="top" wrapText="1"/>
    </xf>
    <xf numFmtId="187" fontId="10" fillId="4" borderId="9" xfId="87" applyNumberFormat="1" applyFont="1" applyFill="1" applyBorder="1" applyAlignment="1">
      <alignment horizontal="center" vertical="top"/>
    </xf>
    <xf numFmtId="188" fontId="10" fillId="4" borderId="9" xfId="88" applyNumberFormat="1" applyFont="1" applyFill="1" applyBorder="1" applyAlignment="1">
      <alignment vertical="top"/>
    </xf>
    <xf numFmtId="0" fontId="10" fillId="4" borderId="9" xfId="49" applyFont="1" applyFill="1" applyBorder="1" applyAlignment="1">
      <alignment horizontal="center" vertical="top"/>
    </xf>
    <xf numFmtId="0" fontId="10" fillId="4" borderId="9" xfId="87" applyFont="1" applyFill="1" applyBorder="1" applyAlignment="1">
      <alignment vertical="top"/>
    </xf>
    <xf numFmtId="0" fontId="13" fillId="4" borderId="9" xfId="87" applyFont="1" applyFill="1" applyBorder="1" applyAlignment="1">
      <alignment vertical="top"/>
    </xf>
    <xf numFmtId="0" fontId="13" fillId="4" borderId="9" xfId="87" applyFont="1" applyFill="1" applyBorder="1" applyAlignment="1">
      <alignment horizontal="center" vertical="top"/>
    </xf>
    <xf numFmtId="0" fontId="10" fillId="0" borderId="9" xfId="86" applyFont="1" applyBorder="1" applyAlignment="1">
      <alignment horizontal="left" vertical="top"/>
    </xf>
    <xf numFmtId="43" fontId="10" fillId="0" borderId="9" xfId="84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190" fontId="10" fillId="0" borderId="9" xfId="0" applyNumberFormat="1" applyFont="1" applyBorder="1" applyAlignment="1">
      <alignment horizontal="right"/>
    </xf>
    <xf numFmtId="0" fontId="10" fillId="0" borderId="9" xfId="46" applyFont="1" applyBorder="1" applyAlignment="1">
      <alignment horizontal="center" vertical="top" wrapText="1"/>
    </xf>
    <xf numFmtId="43" fontId="23" fillId="0" borderId="9" xfId="88" applyFont="1" applyFill="1" applyBorder="1" applyAlignment="1">
      <alignment horizontal="center" vertical="top" wrapText="1"/>
    </xf>
    <xf numFmtId="15" fontId="10" fillId="0" borderId="9" xfId="83" applyNumberFormat="1" applyFont="1" applyBorder="1" applyAlignment="1">
      <alignment horizontal="center" vertical="top" wrapText="1"/>
    </xf>
    <xf numFmtId="188" fontId="10" fillId="0" borderId="9" xfId="84" applyNumberFormat="1" applyFont="1" applyFill="1" applyBorder="1" applyAlignment="1">
      <alignment vertical="top" wrapText="1"/>
    </xf>
    <xf numFmtId="0" fontId="10" fillId="0" borderId="9" xfId="83" applyFont="1" applyBorder="1" applyAlignment="1">
      <alignment horizontal="center" vertical="center" wrapText="1"/>
    </xf>
    <xf numFmtId="0" fontId="16" fillId="0" borderId="9" xfId="2" applyFont="1" applyBorder="1" applyAlignment="1">
      <alignment horizontal="center" vertical="center" textRotation="180" shrinkToFit="1"/>
    </xf>
    <xf numFmtId="0" fontId="16" fillId="0" borderId="9" xfId="2" applyFont="1" applyBorder="1" applyAlignment="1">
      <alignment horizontal="center" vertical="center" shrinkToFit="1"/>
    </xf>
    <xf numFmtId="0" fontId="10" fillId="0" borderId="9" xfId="2" applyFont="1" applyBorder="1" applyAlignment="1">
      <alignment horizontal="left" vertical="top"/>
    </xf>
    <xf numFmtId="0" fontId="4" fillId="0" borderId="0" xfId="97"/>
    <xf numFmtId="0" fontId="10" fillId="2" borderId="9" xfId="97" applyFont="1" applyFill="1" applyBorder="1"/>
    <xf numFmtId="0" fontId="10" fillId="2" borderId="9" xfId="97" applyFont="1" applyFill="1" applyBorder="1" applyAlignment="1">
      <alignment horizontal="center"/>
    </xf>
    <xf numFmtId="49" fontId="10" fillId="2" borderId="9" xfId="97" applyNumberFormat="1" applyFont="1" applyFill="1" applyBorder="1" applyAlignment="1">
      <alignment horizontal="center"/>
    </xf>
    <xf numFmtId="0" fontId="10" fillId="2" borderId="4" xfId="97" applyFont="1" applyFill="1" applyBorder="1" applyAlignment="1">
      <alignment horizontal="center"/>
    </xf>
    <xf numFmtId="0" fontId="10" fillId="2" borderId="6" xfId="97" applyFont="1" applyFill="1" applyBorder="1" applyAlignment="1">
      <alignment horizontal="center"/>
    </xf>
    <xf numFmtId="0" fontId="27" fillId="0" borderId="0" xfId="97" applyFont="1"/>
    <xf numFmtId="187" fontId="10" fillId="2" borderId="8" xfId="97" applyNumberFormat="1" applyFont="1" applyFill="1" applyBorder="1" applyAlignment="1">
      <alignment horizontal="center"/>
    </xf>
    <xf numFmtId="0" fontId="10" fillId="2" borderId="8" xfId="97" applyFont="1" applyFill="1" applyBorder="1"/>
    <xf numFmtId="187" fontId="10" fillId="2" borderId="9" xfId="97" applyNumberFormat="1" applyFont="1" applyFill="1" applyBorder="1" applyAlignment="1">
      <alignment horizontal="center"/>
    </xf>
    <xf numFmtId="0" fontId="20" fillId="2" borderId="6" xfId="97" applyFont="1" applyFill="1" applyBorder="1" applyAlignment="1">
      <alignment horizontal="center"/>
    </xf>
    <xf numFmtId="0" fontId="10" fillId="2" borderId="0" xfId="97" applyFont="1" applyFill="1" applyAlignment="1">
      <alignment horizontal="center"/>
    </xf>
    <xf numFmtId="0" fontId="11" fillId="2" borderId="0" xfId="97" applyFont="1" applyFill="1" applyAlignment="1">
      <alignment horizontal="left"/>
    </xf>
    <xf numFmtId="0" fontId="10" fillId="2" borderId="10" xfId="97" applyFont="1" applyFill="1" applyBorder="1" applyAlignment="1">
      <alignment horizontal="center"/>
    </xf>
    <xf numFmtId="0" fontId="10" fillId="2" borderId="0" xfId="97" applyFont="1" applyFill="1"/>
    <xf numFmtId="0" fontId="23" fillId="2" borderId="6" xfId="97" applyFont="1" applyFill="1" applyBorder="1" applyAlignment="1">
      <alignment horizontal="center" vertical="center"/>
    </xf>
    <xf numFmtId="0" fontId="10" fillId="2" borderId="8" xfId="97" applyFont="1" applyFill="1" applyBorder="1" applyAlignment="1">
      <alignment horizontal="center"/>
    </xf>
    <xf numFmtId="0" fontId="10" fillId="2" borderId="6" xfId="97" applyFont="1" applyFill="1" applyBorder="1" applyAlignment="1">
      <alignment horizontal="center" vertical="center"/>
    </xf>
    <xf numFmtId="0" fontId="23" fillId="2" borderId="6" xfId="97" applyFont="1" applyFill="1" applyBorder="1" applyAlignment="1">
      <alignment horizontal="center"/>
    </xf>
    <xf numFmtId="0" fontId="36" fillId="0" borderId="0" xfId="97" applyFont="1"/>
    <xf numFmtId="0" fontId="10" fillId="2" borderId="6" xfId="97" quotePrefix="1" applyFont="1" applyFill="1" applyBorder="1" applyAlignment="1">
      <alignment horizontal="center"/>
    </xf>
    <xf numFmtId="49" fontId="10" fillId="2" borderId="4" xfId="99" applyNumberFormat="1" applyFont="1" applyFill="1" applyBorder="1" applyAlignment="1">
      <alignment horizontal="left"/>
    </xf>
    <xf numFmtId="49" fontId="10" fillId="2" borderId="9" xfId="99" applyNumberFormat="1" applyFont="1" applyFill="1" applyBorder="1" applyAlignment="1">
      <alignment horizontal="center"/>
    </xf>
    <xf numFmtId="0" fontId="38" fillId="0" borderId="0" xfId="97" applyFont="1"/>
    <xf numFmtId="0" fontId="13" fillId="2" borderId="9" xfId="97" applyFont="1" applyFill="1" applyBorder="1"/>
    <xf numFmtId="0" fontId="13" fillId="2" borderId="9" xfId="97" applyFont="1" applyFill="1" applyBorder="1" applyAlignment="1">
      <alignment horizontal="center"/>
    </xf>
    <xf numFmtId="0" fontId="10" fillId="2" borderId="9" xfId="49" applyFont="1" applyFill="1" applyBorder="1"/>
    <xf numFmtId="0" fontId="10" fillId="2" borderId="9" xfId="49" applyFont="1" applyFill="1" applyBorder="1" applyAlignment="1">
      <alignment horizontal="center" vertical="center"/>
    </xf>
    <xf numFmtId="187" fontId="10" fillId="2" borderId="9" xfId="49" applyNumberFormat="1" applyFont="1" applyFill="1" applyBorder="1" applyAlignment="1">
      <alignment horizontal="center"/>
    </xf>
    <xf numFmtId="0" fontId="10" fillId="2" borderId="4" xfId="49" applyFont="1" applyFill="1" applyBorder="1" applyAlignment="1">
      <alignment horizontal="center"/>
    </xf>
    <xf numFmtId="0" fontId="10" fillId="2" borderId="6" xfId="49" applyFont="1" applyFill="1" applyBorder="1" applyAlignment="1">
      <alignment horizontal="center" vertical="center"/>
    </xf>
    <xf numFmtId="49" fontId="10" fillId="2" borderId="4" xfId="99" applyNumberFormat="1" applyFont="1" applyFill="1" applyBorder="1"/>
    <xf numFmtId="0" fontId="10" fillId="2" borderId="4" xfId="99" applyFont="1" applyFill="1" applyBorder="1" applyAlignment="1">
      <alignment horizontal="center"/>
    </xf>
    <xf numFmtId="0" fontId="10" fillId="2" borderId="6" xfId="99" applyFont="1" applyFill="1" applyBorder="1" applyAlignment="1">
      <alignment horizontal="center"/>
    </xf>
    <xf numFmtId="0" fontId="21" fillId="2" borderId="6" xfId="97" applyFont="1" applyFill="1" applyBorder="1" applyAlignment="1">
      <alignment horizontal="center"/>
    </xf>
    <xf numFmtId="0" fontId="39" fillId="2" borderId="6" xfId="97" applyFont="1" applyFill="1" applyBorder="1" applyAlignment="1">
      <alignment horizontal="center"/>
    </xf>
    <xf numFmtId="0" fontId="10" fillId="2" borderId="19" xfId="97" applyFont="1" applyFill="1" applyBorder="1" applyAlignment="1">
      <alignment horizontal="center"/>
    </xf>
    <xf numFmtId="0" fontId="39" fillId="2" borderId="12" xfId="97" applyFont="1" applyFill="1" applyBorder="1" applyAlignment="1">
      <alignment horizontal="center"/>
    </xf>
    <xf numFmtId="49" fontId="10" fillId="2" borderId="8" xfId="99" applyNumberFormat="1" applyFont="1" applyFill="1" applyBorder="1" applyAlignment="1">
      <alignment horizontal="center"/>
    </xf>
    <xf numFmtId="0" fontId="10" fillId="2" borderId="5" xfId="97" applyFont="1" applyFill="1" applyBorder="1"/>
    <xf numFmtId="0" fontId="10" fillId="2" borderId="6" xfId="97" applyFont="1" applyFill="1" applyBorder="1" applyAlignment="1">
      <alignment horizontal="left"/>
    </xf>
    <xf numFmtId="0" fontId="33" fillId="2" borderId="9" xfId="97" applyFont="1" applyFill="1" applyBorder="1" applyAlignment="1">
      <alignment horizontal="center"/>
    </xf>
    <xf numFmtId="0" fontId="10" fillId="2" borderId="11" xfId="97" applyFont="1" applyFill="1" applyBorder="1" applyAlignment="1">
      <alignment horizontal="center"/>
    </xf>
    <xf numFmtId="0" fontId="33" fillId="0" borderId="9" xfId="4" applyFont="1" applyBorder="1" applyAlignment="1">
      <alignment horizontal="center" vertical="top"/>
    </xf>
    <xf numFmtId="0" fontId="33" fillId="0" borderId="9" xfId="87" applyFont="1" applyBorder="1" applyAlignment="1">
      <alignment horizontal="center" vertical="top"/>
    </xf>
    <xf numFmtId="0" fontId="10" fillId="0" borderId="9" xfId="60" applyFont="1" applyBorder="1" applyAlignment="1">
      <alignment vertical="top"/>
    </xf>
    <xf numFmtId="0" fontId="10" fillId="0" borderId="9" xfId="60" applyFont="1" applyBorder="1" applyAlignment="1">
      <alignment horizontal="center" vertical="top"/>
    </xf>
    <xf numFmtId="187" fontId="10" fillId="0" borderId="9" xfId="60" applyNumberFormat="1" applyFont="1" applyBorder="1" applyAlignment="1">
      <alignment horizontal="center" vertical="top"/>
    </xf>
    <xf numFmtId="188" fontId="10" fillId="0" borderId="9" xfId="61" applyNumberFormat="1" applyFont="1" applyFill="1" applyBorder="1" applyAlignment="1">
      <alignment vertical="top"/>
    </xf>
    <xf numFmtId="43" fontId="32" fillId="0" borderId="9" xfId="84" applyFont="1" applyFill="1" applyBorder="1" applyAlignment="1">
      <alignment horizontal="center" vertical="top"/>
    </xf>
    <xf numFmtId="0" fontId="10" fillId="0" borderId="9" xfId="33" applyFont="1" applyBorder="1" applyAlignment="1">
      <alignment horizontal="center"/>
    </xf>
    <xf numFmtId="0" fontId="10" fillId="0" borderId="9" xfId="60" applyFont="1" applyBorder="1"/>
    <xf numFmtId="0" fontId="13" fillId="0" borderId="9" xfId="60" applyFont="1" applyBorder="1"/>
    <xf numFmtId="0" fontId="13" fillId="0" borderId="9" xfId="60" applyFont="1" applyBorder="1" applyAlignment="1">
      <alignment horizontal="center"/>
    </xf>
    <xf numFmtId="0" fontId="10" fillId="0" borderId="9" xfId="14" applyFont="1" applyBorder="1" applyAlignment="1">
      <alignment horizontal="center"/>
    </xf>
    <xf numFmtId="0" fontId="10" fillId="0" borderId="9" xfId="60" applyFont="1" applyBorder="1" applyAlignment="1">
      <alignment horizontal="center"/>
    </xf>
    <xf numFmtId="0" fontId="25" fillId="0" borderId="9" xfId="83" applyFont="1" applyBorder="1" applyAlignment="1">
      <alignment vertical="top"/>
    </xf>
    <xf numFmtId="0" fontId="23" fillId="0" borderId="9" xfId="83" applyFont="1" applyBorder="1" applyAlignment="1">
      <alignment horizontal="left" vertical="center"/>
    </xf>
    <xf numFmtId="0" fontId="10" fillId="0" borderId="9" xfId="14" applyFont="1" applyBorder="1" applyAlignment="1">
      <alignment horizontal="center" vertical="center"/>
    </xf>
    <xf numFmtId="0" fontId="8" fillId="0" borderId="9" xfId="83" applyFont="1" applyBorder="1" applyAlignment="1">
      <alignment horizontal="center" vertical="top"/>
    </xf>
    <xf numFmtId="0" fontId="10" fillId="0" borderId="9" xfId="74" applyFont="1" applyBorder="1" applyAlignment="1">
      <alignment vertical="top" wrapText="1"/>
    </xf>
    <xf numFmtId="0" fontId="10" fillId="0" borderId="9" xfId="74" applyFont="1" applyBorder="1" applyAlignment="1">
      <alignment horizontal="center" vertical="top"/>
    </xf>
    <xf numFmtId="0" fontId="10" fillId="0" borderId="9" xfId="74" applyFont="1" applyBorder="1" applyAlignment="1">
      <alignment horizontal="center" vertical="top" wrapText="1"/>
    </xf>
    <xf numFmtId="187" fontId="10" fillId="0" borderId="9" xfId="74" applyNumberFormat="1" applyFont="1" applyBorder="1" applyAlignment="1">
      <alignment horizontal="center" vertical="top" wrapText="1"/>
    </xf>
    <xf numFmtId="188" fontId="10" fillId="0" borderId="9" xfId="75" applyNumberFormat="1" applyFont="1" applyFill="1" applyBorder="1" applyAlignment="1">
      <alignment horizontal="center" vertical="top" wrapText="1"/>
    </xf>
    <xf numFmtId="0" fontId="20" fillId="0" borderId="9" xfId="74" applyFont="1" applyBorder="1" applyAlignment="1">
      <alignment horizontal="center" vertical="top" wrapText="1"/>
    </xf>
    <xf numFmtId="0" fontId="10" fillId="0" borderId="9" xfId="74" applyFont="1" applyBorder="1" applyAlignment="1">
      <alignment horizontal="center" vertical="center" wrapText="1"/>
    </xf>
    <xf numFmtId="0" fontId="10" fillId="0" borderId="9" xfId="74" applyFont="1" applyBorder="1" applyAlignment="1">
      <alignment vertical="center" wrapText="1"/>
    </xf>
    <xf numFmtId="0" fontId="13" fillId="0" borderId="9" xfId="74" applyFont="1" applyBorder="1" applyAlignment="1">
      <alignment vertical="center" wrapText="1"/>
    </xf>
    <xf numFmtId="0" fontId="13" fillId="0" borderId="9" xfId="74" applyFont="1" applyBorder="1" applyAlignment="1">
      <alignment horizontal="center" vertical="center" wrapText="1"/>
    </xf>
    <xf numFmtId="0" fontId="10" fillId="0" borderId="9" xfId="77" applyFont="1" applyBorder="1" applyAlignment="1">
      <alignment horizontal="center" vertical="center" wrapText="1"/>
    </xf>
    <xf numFmtId="0" fontId="10" fillId="0" borderId="7" xfId="74" applyFont="1" applyBorder="1" applyAlignment="1">
      <alignment horizontal="center" vertical="top"/>
    </xf>
    <xf numFmtId="0" fontId="10" fillId="0" borderId="7" xfId="74" applyFont="1" applyBorder="1" applyAlignment="1">
      <alignment horizontal="center" vertical="top" wrapText="1"/>
    </xf>
    <xf numFmtId="187" fontId="10" fillId="0" borderId="7" xfId="74" applyNumberFormat="1" applyFont="1" applyBorder="1" applyAlignment="1">
      <alignment horizontal="center" vertical="top" wrapText="1"/>
    </xf>
    <xf numFmtId="188" fontId="10" fillId="0" borderId="7" xfId="75" applyNumberFormat="1" applyFont="1" applyFill="1" applyBorder="1" applyAlignment="1">
      <alignment vertical="top" wrapText="1"/>
    </xf>
    <xf numFmtId="0" fontId="20" fillId="0" borderId="7" xfId="74" applyFont="1" applyBorder="1" applyAlignment="1">
      <alignment horizontal="center" vertical="top" wrapText="1"/>
    </xf>
    <xf numFmtId="0" fontId="10" fillId="0" borderId="7" xfId="74" applyFont="1" applyBorder="1" applyAlignment="1">
      <alignment horizontal="center" vertical="center" wrapText="1"/>
    </xf>
    <xf numFmtId="0" fontId="10" fillId="0" borderId="7" xfId="74" applyFont="1" applyBorder="1" applyAlignment="1">
      <alignment vertical="center" wrapText="1"/>
    </xf>
    <xf numFmtId="0" fontId="13" fillId="0" borderId="7" xfId="74" applyFont="1" applyBorder="1" applyAlignment="1">
      <alignment vertical="center" wrapText="1"/>
    </xf>
    <xf numFmtId="0" fontId="13" fillId="0" borderId="7" xfId="74" applyFont="1" applyBorder="1" applyAlignment="1">
      <alignment horizontal="center" vertical="center" wrapText="1"/>
    </xf>
    <xf numFmtId="0" fontId="10" fillId="0" borderId="7" xfId="77" applyFont="1" applyBorder="1" applyAlignment="1">
      <alignment horizontal="center" vertical="center" wrapText="1"/>
    </xf>
    <xf numFmtId="0" fontId="10" fillId="0" borderId="8" xfId="83" applyFont="1" applyBorder="1" applyAlignment="1">
      <alignment vertical="top"/>
    </xf>
    <xf numFmtId="0" fontId="10" fillId="0" borderId="8" xfId="83" applyFont="1" applyBorder="1" applyAlignment="1">
      <alignment horizontal="center" vertical="top"/>
    </xf>
    <xf numFmtId="188" fontId="10" fillId="0" borderId="8" xfId="84" applyNumberFormat="1" applyFont="1" applyFill="1" applyBorder="1" applyAlignment="1">
      <alignment vertical="top"/>
    </xf>
    <xf numFmtId="0" fontId="20" fillId="0" borderId="8" xfId="83" applyFont="1" applyBorder="1" applyAlignment="1">
      <alignment horizontal="center" vertical="top"/>
    </xf>
    <xf numFmtId="0" fontId="10" fillId="0" borderId="8" xfId="83" applyFont="1" applyBorder="1" applyAlignment="1">
      <alignment horizontal="center"/>
    </xf>
    <xf numFmtId="0" fontId="10" fillId="0" borderId="8" xfId="83" applyFont="1" applyBorder="1"/>
    <xf numFmtId="0" fontId="13" fillId="0" borderId="8" xfId="83" applyFont="1" applyBorder="1"/>
    <xf numFmtId="0" fontId="13" fillId="0" borderId="8" xfId="83" applyFont="1" applyBorder="1" applyAlignment="1">
      <alignment horizontal="center"/>
    </xf>
    <xf numFmtId="0" fontId="10" fillId="0" borderId="9" xfId="77" applyFont="1" applyBorder="1" applyAlignment="1">
      <alignment horizontal="center" vertical="center"/>
    </xf>
    <xf numFmtId="0" fontId="17" fillId="0" borderId="9" xfId="77" applyFont="1" applyBorder="1" applyAlignment="1">
      <alignment horizontal="center" vertical="center"/>
    </xf>
    <xf numFmtId="0" fontId="18" fillId="0" borderId="9" xfId="77" applyFont="1" applyBorder="1" applyAlignment="1">
      <alignment horizontal="center" vertical="center"/>
    </xf>
    <xf numFmtId="0" fontId="23" fillId="0" borderId="9" xfId="77" applyFont="1" applyBorder="1" applyAlignment="1">
      <alignment horizontal="center" vertical="top"/>
    </xf>
    <xf numFmtId="0" fontId="10" fillId="0" borderId="8" xfId="87" applyFont="1" applyBorder="1" applyAlignment="1">
      <alignment vertical="top"/>
    </xf>
    <xf numFmtId="15" fontId="10" fillId="0" borderId="8" xfId="87" applyNumberFormat="1" applyFont="1" applyBorder="1" applyAlignment="1">
      <alignment horizontal="center" vertical="top"/>
    </xf>
    <xf numFmtId="188" fontId="10" fillId="0" borderId="8" xfId="88" applyNumberFormat="1" applyFont="1" applyFill="1" applyBorder="1" applyAlignment="1">
      <alignment horizontal="center" vertical="top"/>
    </xf>
    <xf numFmtId="0" fontId="8" fillId="0" borderId="9" xfId="83" applyFont="1" applyBorder="1" applyAlignment="1">
      <alignment horizontal="center" vertical="center"/>
    </xf>
    <xf numFmtId="0" fontId="10" fillId="0" borderId="9" xfId="58" applyFont="1" applyBorder="1" applyAlignment="1">
      <alignment vertical="top" wrapText="1"/>
    </xf>
    <xf numFmtId="0" fontId="10" fillId="0" borderId="9" xfId="58" applyFont="1" applyBorder="1" applyAlignment="1">
      <alignment horizontal="center" vertical="top" wrapText="1"/>
    </xf>
    <xf numFmtId="187" fontId="10" fillId="0" borderId="9" xfId="58" applyNumberFormat="1" applyFont="1" applyBorder="1" applyAlignment="1">
      <alignment horizontal="center" vertical="top" wrapText="1"/>
    </xf>
    <xf numFmtId="188" fontId="10" fillId="0" borderId="9" xfId="59" applyNumberFormat="1" applyFont="1" applyFill="1" applyBorder="1" applyAlignment="1">
      <alignment vertical="top" wrapText="1"/>
    </xf>
    <xf numFmtId="0" fontId="10" fillId="0" borderId="9" xfId="33" applyFont="1" applyBorder="1" applyAlignment="1">
      <alignment horizontal="center" vertical="top" wrapText="1"/>
    </xf>
    <xf numFmtId="0" fontId="10" fillId="0" borderId="8" xfId="2" applyFont="1" applyBorder="1" applyAlignment="1">
      <alignment horizontal="center" vertical="top" wrapText="1" shrinkToFit="1"/>
    </xf>
    <xf numFmtId="0" fontId="10" fillId="0" borderId="8" xfId="2" applyFont="1" applyBorder="1" applyAlignment="1">
      <alignment horizontal="center" vertical="top" wrapText="1"/>
    </xf>
    <xf numFmtId="0" fontId="13" fillId="0" borderId="9" xfId="58" applyFont="1" applyBorder="1" applyAlignment="1">
      <alignment vertical="top" wrapText="1"/>
    </xf>
    <xf numFmtId="0" fontId="13" fillId="0" borderId="9" xfId="58" applyFont="1" applyBorder="1" applyAlignment="1">
      <alignment horizontal="center" vertical="top" wrapText="1"/>
    </xf>
    <xf numFmtId="0" fontId="23" fillId="0" borderId="9" xfId="2" applyFont="1" applyBorder="1" applyAlignment="1">
      <alignment horizontal="center" vertical="top"/>
    </xf>
    <xf numFmtId="0" fontId="10" fillId="0" borderId="9" xfId="62" applyFont="1" applyBorder="1" applyAlignment="1">
      <alignment vertical="top"/>
    </xf>
    <xf numFmtId="0" fontId="10" fillId="0" borderId="9" xfId="62" applyFont="1" applyBorder="1" applyAlignment="1">
      <alignment horizontal="center" vertical="top"/>
    </xf>
    <xf numFmtId="187" fontId="10" fillId="0" borderId="9" xfId="62" applyNumberFormat="1" applyFont="1" applyBorder="1" applyAlignment="1">
      <alignment horizontal="center" vertical="top"/>
    </xf>
    <xf numFmtId="188" fontId="10" fillId="0" borderId="9" xfId="63" applyNumberFormat="1" applyFont="1" applyFill="1" applyBorder="1" applyAlignment="1">
      <alignment vertical="top"/>
    </xf>
    <xf numFmtId="0" fontId="10" fillId="0" borderId="8" xfId="62" applyFont="1" applyBorder="1" applyAlignment="1">
      <alignment horizontal="center"/>
    </xf>
    <xf numFmtId="0" fontId="10" fillId="0" borderId="9" xfId="62" applyFont="1" applyBorder="1"/>
    <xf numFmtId="0" fontId="13" fillId="0" borderId="9" xfId="62" applyFont="1" applyBorder="1"/>
    <xf numFmtId="0" fontId="13" fillId="0" borderId="9" xfId="62" applyFont="1" applyBorder="1" applyAlignment="1">
      <alignment horizontal="center"/>
    </xf>
    <xf numFmtId="0" fontId="10" fillId="0" borderId="9" xfId="62" applyFont="1" applyBorder="1" applyAlignment="1">
      <alignment horizontal="center"/>
    </xf>
    <xf numFmtId="0" fontId="10" fillId="0" borderId="9" xfId="64" applyFont="1" applyBorder="1" applyAlignment="1">
      <alignment vertical="top"/>
    </xf>
    <xf numFmtId="0" fontId="10" fillId="0" borderId="9" xfId="64" applyFont="1" applyBorder="1" applyAlignment="1">
      <alignment horizontal="center" vertical="top"/>
    </xf>
    <xf numFmtId="187" fontId="10" fillId="0" borderId="9" xfId="64" applyNumberFormat="1" applyFont="1" applyBorder="1" applyAlignment="1">
      <alignment horizontal="center" vertical="top"/>
    </xf>
    <xf numFmtId="188" fontId="10" fillId="0" borderId="9" xfId="65" applyNumberFormat="1" applyFont="1" applyFill="1" applyBorder="1" applyAlignment="1">
      <alignment horizontal="center" vertical="top"/>
    </xf>
    <xf numFmtId="0" fontId="10" fillId="0" borderId="9" xfId="64" applyFont="1" applyBorder="1" applyAlignment="1">
      <alignment horizontal="center"/>
    </xf>
    <xf numFmtId="0" fontId="10" fillId="0" borderId="9" xfId="64" applyFont="1" applyBorder="1"/>
    <xf numFmtId="0" fontId="13" fillId="0" borderId="9" xfId="64" applyFont="1" applyBorder="1"/>
    <xf numFmtId="0" fontId="13" fillId="0" borderId="9" xfId="64" applyFont="1" applyBorder="1" applyAlignment="1">
      <alignment horizontal="center"/>
    </xf>
    <xf numFmtId="0" fontId="10" fillId="0" borderId="9" xfId="23" applyFont="1" applyBorder="1" applyAlignment="1">
      <alignment horizontal="center"/>
    </xf>
    <xf numFmtId="0" fontId="10" fillId="0" borderId="9" xfId="66" applyFont="1" applyBorder="1" applyAlignment="1">
      <alignment vertical="top"/>
    </xf>
    <xf numFmtId="0" fontId="10" fillId="0" borderId="9" xfId="66" applyFont="1" applyBorder="1" applyAlignment="1">
      <alignment horizontal="center" vertical="top"/>
    </xf>
    <xf numFmtId="187" fontId="10" fillId="0" borderId="9" xfId="66" applyNumberFormat="1" applyFont="1" applyBorder="1" applyAlignment="1">
      <alignment horizontal="center" vertical="top"/>
    </xf>
    <xf numFmtId="188" fontId="10" fillId="0" borderId="9" xfId="67" applyNumberFormat="1" applyFont="1" applyFill="1" applyBorder="1" applyAlignment="1">
      <alignment horizontal="center" vertical="top"/>
    </xf>
    <xf numFmtId="0" fontId="10" fillId="0" borderId="9" xfId="66" applyFont="1" applyBorder="1" applyAlignment="1">
      <alignment horizontal="center"/>
    </xf>
    <xf numFmtId="0" fontId="10" fillId="0" borderId="9" xfId="66" applyFont="1" applyBorder="1"/>
    <xf numFmtId="0" fontId="13" fillId="0" borderId="9" xfId="66" applyFont="1" applyBorder="1"/>
    <xf numFmtId="0" fontId="13" fillId="0" borderId="9" xfId="66" applyFont="1" applyBorder="1" applyAlignment="1">
      <alignment horizontal="center"/>
    </xf>
    <xf numFmtId="0" fontId="10" fillId="0" borderId="9" xfId="87" applyFont="1" applyBorder="1" applyAlignment="1">
      <alignment horizontal="left" vertical="top" wrapText="1" shrinkToFit="1"/>
    </xf>
    <xf numFmtId="0" fontId="10" fillId="0" borderId="9" xfId="87" applyFont="1" applyBorder="1" applyAlignment="1">
      <alignment horizontal="center" vertical="top" shrinkToFit="1"/>
    </xf>
    <xf numFmtId="0" fontId="10" fillId="0" borderId="9" xfId="2" applyFont="1" applyBorder="1" applyAlignment="1">
      <alignment vertical="top"/>
    </xf>
    <xf numFmtId="187" fontId="10" fillId="0" borderId="9" xfId="2" applyNumberFormat="1" applyFont="1" applyBorder="1" applyAlignment="1">
      <alignment horizontal="center" vertical="top"/>
    </xf>
    <xf numFmtId="188" fontId="10" fillId="0" borderId="9" xfId="3" applyNumberFormat="1" applyFont="1" applyFill="1" applyBorder="1" applyAlignment="1">
      <alignment horizontal="right" vertical="top"/>
    </xf>
    <xf numFmtId="0" fontId="20" fillId="0" borderId="9" xfId="2" applyFont="1" applyBorder="1" applyAlignment="1">
      <alignment horizontal="center" vertical="top"/>
    </xf>
    <xf numFmtId="0" fontId="13" fillId="0" borderId="9" xfId="2" applyFont="1" applyBorder="1" applyAlignment="1">
      <alignment vertical="top"/>
    </xf>
    <xf numFmtId="0" fontId="13" fillId="0" borderId="9" xfId="2" applyFont="1" applyBorder="1" applyAlignment="1">
      <alignment horizontal="center" vertical="top"/>
    </xf>
    <xf numFmtId="0" fontId="20" fillId="0" borderId="9" xfId="4" applyFont="1" applyBorder="1" applyAlignment="1">
      <alignment horizontal="center" vertical="top"/>
    </xf>
    <xf numFmtId="0" fontId="10" fillId="0" borderId="9" xfId="90" applyFont="1" applyBorder="1" applyAlignment="1">
      <alignment vertical="top"/>
    </xf>
    <xf numFmtId="0" fontId="10" fillId="0" borderId="9" xfId="90" applyFont="1" applyBorder="1" applyAlignment="1">
      <alignment horizontal="center" vertical="top"/>
    </xf>
    <xf numFmtId="187" fontId="10" fillId="0" borderId="9" xfId="90" applyNumberFormat="1" applyFont="1" applyBorder="1" applyAlignment="1">
      <alignment horizontal="center" vertical="top"/>
    </xf>
    <xf numFmtId="188" fontId="10" fillId="0" borderId="9" xfId="91" applyNumberFormat="1" applyFont="1" applyFill="1" applyBorder="1" applyAlignment="1">
      <alignment horizontal="right" vertical="top"/>
    </xf>
    <xf numFmtId="0" fontId="20" fillId="0" borderId="9" xfId="90" applyFont="1" applyBorder="1" applyAlignment="1">
      <alignment horizontal="center" vertical="top"/>
    </xf>
    <xf numFmtId="0" fontId="13" fillId="0" borderId="9" xfId="90" applyFont="1" applyBorder="1" applyAlignment="1">
      <alignment vertical="top"/>
    </xf>
    <xf numFmtId="0" fontId="13" fillId="0" borderId="9" xfId="90" applyFont="1" applyBorder="1" applyAlignment="1">
      <alignment horizontal="center" vertical="top"/>
    </xf>
    <xf numFmtId="0" fontId="10" fillId="0" borderId="9" xfId="68" applyFont="1" applyBorder="1" applyAlignment="1">
      <alignment vertical="top"/>
    </xf>
    <xf numFmtId="0" fontId="10" fillId="0" borderId="9" xfId="68" applyFont="1" applyBorder="1" applyAlignment="1">
      <alignment horizontal="center" vertical="top"/>
    </xf>
    <xf numFmtId="187" fontId="10" fillId="0" borderId="9" xfId="68" applyNumberFormat="1" applyFont="1" applyBorder="1" applyAlignment="1">
      <alignment horizontal="center" vertical="top"/>
    </xf>
    <xf numFmtId="188" fontId="10" fillId="0" borderId="9" xfId="69" applyNumberFormat="1" applyFont="1" applyFill="1" applyBorder="1" applyAlignment="1">
      <alignment vertical="top"/>
    </xf>
    <xf numFmtId="0" fontId="10" fillId="0" borderId="9" xfId="68" applyFont="1" applyBorder="1" applyAlignment="1">
      <alignment horizontal="center"/>
    </xf>
    <xf numFmtId="0" fontId="10" fillId="0" borderId="9" xfId="68" applyFont="1" applyBorder="1"/>
    <xf numFmtId="0" fontId="13" fillId="0" borderId="9" xfId="68" applyFont="1" applyBorder="1"/>
    <xf numFmtId="0" fontId="13" fillId="0" borderId="9" xfId="68" applyFont="1" applyBorder="1" applyAlignment="1">
      <alignment horizontal="center"/>
    </xf>
    <xf numFmtId="0" fontId="10" fillId="0" borderId="9" xfId="70" applyFont="1" applyBorder="1" applyAlignment="1">
      <alignment vertical="top"/>
    </xf>
    <xf numFmtId="0" fontId="10" fillId="0" borderId="9" xfId="70" applyFont="1" applyBorder="1" applyAlignment="1">
      <alignment horizontal="center" vertical="top"/>
    </xf>
    <xf numFmtId="187" fontId="10" fillId="0" borderId="9" xfId="70" applyNumberFormat="1" applyFont="1" applyBorder="1" applyAlignment="1">
      <alignment horizontal="center" vertical="top"/>
    </xf>
    <xf numFmtId="188" fontId="10" fillId="0" borderId="9" xfId="71" applyNumberFormat="1" applyFont="1" applyFill="1" applyBorder="1" applyAlignment="1">
      <alignment vertical="top"/>
    </xf>
    <xf numFmtId="0" fontId="10" fillId="0" borderId="9" xfId="70" applyFont="1" applyBorder="1" applyAlignment="1">
      <alignment horizontal="center"/>
    </xf>
    <xf numFmtId="0" fontId="10" fillId="0" borderId="9" xfId="70" applyFont="1" applyBorder="1"/>
    <xf numFmtId="0" fontId="13" fillId="0" borderId="9" xfId="70" applyFont="1" applyBorder="1"/>
    <xf numFmtId="0" fontId="13" fillId="0" borderId="9" xfId="70" applyFont="1" applyBorder="1" applyAlignment="1">
      <alignment horizontal="center"/>
    </xf>
    <xf numFmtId="0" fontId="10" fillId="0" borderId="9" xfId="72" applyFont="1" applyBorder="1" applyAlignment="1">
      <alignment vertical="top"/>
    </xf>
    <xf numFmtId="0" fontId="10" fillId="0" borderId="9" xfId="72" applyFont="1" applyBorder="1" applyAlignment="1">
      <alignment horizontal="center" vertical="top"/>
    </xf>
    <xf numFmtId="187" fontId="10" fillId="0" borderId="9" xfId="72" applyNumberFormat="1" applyFont="1" applyBorder="1" applyAlignment="1">
      <alignment horizontal="center" vertical="top"/>
    </xf>
    <xf numFmtId="188" fontId="10" fillId="0" borderId="9" xfId="73" applyNumberFormat="1" applyFont="1" applyFill="1" applyBorder="1" applyAlignment="1">
      <alignment vertical="top"/>
    </xf>
    <xf numFmtId="0" fontId="10" fillId="0" borderId="9" xfId="72" applyFont="1" applyBorder="1" applyAlignment="1">
      <alignment horizontal="center"/>
    </xf>
    <xf numFmtId="0" fontId="10" fillId="0" borderId="9" xfId="72" applyFont="1" applyBorder="1"/>
    <xf numFmtId="0" fontId="13" fillId="0" borderId="9" xfId="72" applyFont="1" applyBorder="1"/>
    <xf numFmtId="0" fontId="13" fillId="0" borderId="9" xfId="72" applyFont="1" applyBorder="1" applyAlignment="1">
      <alignment horizontal="center"/>
    </xf>
    <xf numFmtId="0" fontId="20" fillId="0" borderId="9" xfId="72" applyFont="1" applyBorder="1" applyAlignment="1">
      <alignment horizontal="center" vertical="top"/>
    </xf>
    <xf numFmtId="0" fontId="10" fillId="0" borderId="9" xfId="72" applyFont="1" applyBorder="1" applyAlignment="1">
      <alignment horizontal="center" vertical="center"/>
    </xf>
    <xf numFmtId="0" fontId="10" fillId="0" borderId="8" xfId="87" applyFont="1" applyBorder="1" applyAlignment="1">
      <alignment wrapText="1"/>
    </xf>
    <xf numFmtId="0" fontId="10" fillId="0" borderId="8" xfId="87" applyFont="1" applyBorder="1" applyAlignment="1">
      <alignment horizontal="center"/>
    </xf>
    <xf numFmtId="49" fontId="10" fillId="0" borderId="8" xfId="87" applyNumberFormat="1" applyFont="1" applyBorder="1" applyAlignment="1">
      <alignment horizontal="center"/>
    </xf>
    <xf numFmtId="188" fontId="10" fillId="0" borderId="8" xfId="87" applyNumberFormat="1" applyFont="1" applyBorder="1"/>
    <xf numFmtId="0" fontId="10" fillId="0" borderId="8" xfId="87" applyFont="1" applyBorder="1"/>
    <xf numFmtId="0" fontId="13" fillId="0" borderId="8" xfId="87" applyFont="1" applyBorder="1"/>
    <xf numFmtId="0" fontId="13" fillId="0" borderId="8" xfId="87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9" xfId="87" applyFont="1" applyBorder="1" applyAlignment="1">
      <alignment wrapText="1"/>
    </xf>
    <xf numFmtId="0" fontId="10" fillId="0" borderId="9" xfId="87" applyFont="1" applyBorder="1" applyAlignment="1">
      <alignment horizontal="center"/>
    </xf>
    <xf numFmtId="187" fontId="10" fillId="0" borderId="9" xfId="87" applyNumberFormat="1" applyFont="1" applyBorder="1" applyAlignment="1">
      <alignment horizontal="center"/>
    </xf>
    <xf numFmtId="188" fontId="10" fillId="0" borderId="9" xfId="88" applyNumberFormat="1" applyFont="1" applyFill="1" applyBorder="1" applyAlignment="1">
      <alignment horizontal="right"/>
    </xf>
    <xf numFmtId="0" fontId="13" fillId="0" borderId="9" xfId="87" applyFont="1" applyBorder="1"/>
    <xf numFmtId="0" fontId="13" fillId="0" borderId="9" xfId="87" applyFont="1" applyBorder="1" applyAlignment="1">
      <alignment horizontal="center"/>
    </xf>
    <xf numFmtId="188" fontId="10" fillId="0" borderId="9" xfId="88" applyNumberFormat="1" applyFont="1" applyFill="1" applyBorder="1"/>
    <xf numFmtId="187" fontId="10" fillId="0" borderId="9" xfId="50" applyNumberFormat="1" applyFont="1" applyBorder="1" applyAlignment="1">
      <alignment horizontal="center" vertical="top"/>
    </xf>
    <xf numFmtId="0" fontId="20" fillId="0" borderId="9" xfId="50" applyFont="1" applyBorder="1" applyAlignment="1">
      <alignment horizontal="center" vertical="top"/>
    </xf>
    <xf numFmtId="0" fontId="10" fillId="0" borderId="9" xfId="50" applyFont="1" applyBorder="1" applyAlignment="1">
      <alignment horizontal="center"/>
    </xf>
    <xf numFmtId="0" fontId="10" fillId="0" borderId="9" xfId="50" applyFont="1" applyBorder="1"/>
    <xf numFmtId="0" fontId="13" fillId="0" borderId="9" xfId="50" applyFont="1" applyBorder="1"/>
    <xf numFmtId="0" fontId="13" fillId="0" borderId="9" xfId="50" applyFont="1" applyBorder="1" applyAlignment="1">
      <alignment horizontal="center"/>
    </xf>
    <xf numFmtId="0" fontId="10" fillId="0" borderId="3" xfId="50" applyFont="1" applyBorder="1" applyAlignment="1">
      <alignment horizontal="center"/>
    </xf>
    <xf numFmtId="0" fontId="24" fillId="0" borderId="9" xfId="83" applyFont="1" applyBorder="1" applyAlignment="1">
      <alignment horizontal="center" vertical="center"/>
    </xf>
    <xf numFmtId="0" fontId="10" fillId="0" borderId="9" xfId="56" applyFont="1" applyBorder="1" applyAlignment="1">
      <alignment horizontal="center" vertical="center"/>
    </xf>
    <xf numFmtId="0" fontId="8" fillId="0" borderId="9" xfId="83" applyFont="1" applyBorder="1" applyAlignment="1">
      <alignment vertical="top" wrapText="1"/>
    </xf>
    <xf numFmtId="43" fontId="8" fillId="0" borderId="9" xfId="84" applyFont="1" applyFill="1" applyBorder="1" applyAlignment="1">
      <alignment vertical="top"/>
    </xf>
    <xf numFmtId="0" fontId="10" fillId="0" borderId="9" xfId="87" applyFont="1" applyBorder="1" applyAlignment="1">
      <alignment horizontal="left" vertical="center" wrapText="1"/>
    </xf>
    <xf numFmtId="0" fontId="10" fillId="0" borderId="9" xfId="87" applyFont="1" applyBorder="1" applyAlignment="1">
      <alignment horizontal="center" vertical="center" wrapText="1"/>
    </xf>
    <xf numFmtId="187" fontId="10" fillId="0" borderId="6" xfId="87" applyNumberFormat="1" applyFont="1" applyBorder="1" applyAlignment="1">
      <alignment horizontal="center" vertical="center"/>
    </xf>
    <xf numFmtId="188" fontId="10" fillId="0" borderId="9" xfId="52" applyNumberFormat="1" applyFont="1" applyFill="1" applyBorder="1" applyAlignment="1">
      <alignment horizontal="center" vertical="center"/>
    </xf>
    <xf numFmtId="0" fontId="13" fillId="0" borderId="9" xfId="87" applyFont="1" applyBorder="1" applyAlignment="1">
      <alignment horizontal="center" vertical="center"/>
    </xf>
    <xf numFmtId="187" fontId="10" fillId="0" borderId="6" xfId="83" applyNumberFormat="1" applyFont="1" applyBorder="1" applyAlignment="1">
      <alignment horizontal="center" vertical="top"/>
    </xf>
    <xf numFmtId="4" fontId="10" fillId="0" borderId="9" xfId="87" applyNumberFormat="1" applyFont="1" applyBorder="1" applyAlignment="1">
      <alignment horizontal="right" vertical="top"/>
    </xf>
    <xf numFmtId="0" fontId="10" fillId="0" borderId="0" xfId="1" applyFont="1" applyAlignment="1">
      <alignment horizontal="center" vertical="top"/>
    </xf>
    <xf numFmtId="0" fontId="40" fillId="0" borderId="9" xfId="0" applyFont="1" applyBorder="1" applyAlignment="1">
      <alignment horizontal="center" vertical="top"/>
    </xf>
    <xf numFmtId="0" fontId="10" fillId="0" borderId="0" xfId="1" applyFont="1" applyAlignment="1">
      <alignment vertical="top" wrapText="1"/>
    </xf>
    <xf numFmtId="189" fontId="10" fillId="0" borderId="9" xfId="87" applyNumberFormat="1" applyFont="1" applyBorder="1" applyAlignment="1">
      <alignment horizontal="center" vertical="top"/>
    </xf>
    <xf numFmtId="3" fontId="10" fillId="0" borderId="9" xfId="87" applyNumberFormat="1" applyFont="1" applyBorder="1" applyAlignment="1">
      <alignment vertical="top"/>
    </xf>
    <xf numFmtId="0" fontId="10" fillId="0" borderId="9" xfId="82" applyFont="1" applyBorder="1" applyAlignment="1">
      <alignment vertical="top"/>
    </xf>
    <xf numFmtId="0" fontId="23" fillId="0" borderId="9" xfId="87" applyFont="1" applyBorder="1" applyAlignment="1">
      <alignment horizontal="center" vertical="top" wrapText="1"/>
    </xf>
    <xf numFmtId="0" fontId="10" fillId="0" borderId="6" xfId="87" applyFont="1" applyBorder="1" applyAlignment="1">
      <alignment horizontal="center" vertical="top" wrapText="1"/>
    </xf>
    <xf numFmtId="0" fontId="24" fillId="0" borderId="9" xfId="87" applyFont="1" applyBorder="1" applyAlignment="1">
      <alignment horizontal="center" vertical="top" wrapText="1"/>
    </xf>
    <xf numFmtId="0" fontId="41" fillId="0" borderId="1" xfId="86" applyFont="1" applyBorder="1" applyAlignment="1">
      <alignment horizontal="center"/>
    </xf>
    <xf numFmtId="0" fontId="41" fillId="0" borderId="1" xfId="86" applyFont="1" applyBorder="1" applyAlignment="1">
      <alignment horizontal="center" vertical="center"/>
    </xf>
    <xf numFmtId="190" fontId="41" fillId="0" borderId="1" xfId="86" applyNumberFormat="1" applyFont="1" applyBorder="1" applyAlignment="1">
      <alignment horizontal="center"/>
    </xf>
    <xf numFmtId="0" fontId="41" fillId="0" borderId="1" xfId="86" applyFont="1" applyBorder="1"/>
    <xf numFmtId="0" fontId="29" fillId="0" borderId="1" xfId="86" applyFont="1" applyBorder="1" applyAlignment="1">
      <alignment horizontal="center" vertical="center"/>
    </xf>
    <xf numFmtId="190" fontId="29" fillId="0" borderId="23" xfId="86" applyNumberFormat="1" applyFont="1" applyBorder="1" applyAlignment="1">
      <alignment horizontal="right"/>
    </xf>
    <xf numFmtId="0" fontId="29" fillId="0" borderId="1" xfId="86" applyFont="1" applyBorder="1"/>
    <xf numFmtId="190" fontId="29" fillId="0" borderId="1" xfId="86" applyNumberFormat="1" applyFont="1" applyBorder="1"/>
    <xf numFmtId="0" fontId="42" fillId="0" borderId="1" xfId="86" applyFont="1" applyBorder="1" applyAlignment="1">
      <alignment horizontal="center" vertical="center"/>
    </xf>
    <xf numFmtId="0" fontId="41" fillId="3" borderId="1" xfId="86" applyFont="1" applyFill="1" applyBorder="1" applyAlignment="1">
      <alignment horizontal="center"/>
    </xf>
    <xf numFmtId="190" fontId="41" fillId="3" borderId="1" xfId="86" applyNumberFormat="1" applyFont="1" applyFill="1" applyBorder="1"/>
    <xf numFmtId="0" fontId="29" fillId="3" borderId="1" xfId="86" applyFont="1" applyFill="1" applyBorder="1"/>
    <xf numFmtId="0" fontId="29" fillId="0" borderId="0" xfId="86" applyFont="1" applyAlignment="1">
      <alignment horizontal="center" vertical="center"/>
    </xf>
    <xf numFmtId="190" fontId="29" fillId="0" borderId="0" xfId="86" applyNumberFormat="1" applyFont="1"/>
    <xf numFmtId="3" fontId="41" fillId="3" borderId="1" xfId="86" applyNumberFormat="1" applyFont="1" applyFill="1" applyBorder="1" applyAlignment="1">
      <alignment horizontal="center" vertical="center"/>
    </xf>
    <xf numFmtId="0" fontId="21" fillId="0" borderId="9" xfId="46" applyFont="1" applyBorder="1" applyAlignment="1">
      <alignment horizontal="center"/>
    </xf>
    <xf numFmtId="0" fontId="21" fillId="0" borderId="9" xfId="46" applyFont="1" applyBorder="1"/>
    <xf numFmtId="0" fontId="16" fillId="0" borderId="9" xfId="46" applyFont="1" applyBorder="1"/>
    <xf numFmtId="0" fontId="16" fillId="0" borderId="9" xfId="46" applyFont="1" applyBorder="1" applyAlignment="1">
      <alignment horizontal="center"/>
    </xf>
    <xf numFmtId="0" fontId="10" fillId="0" borderId="9" xfId="78" applyFont="1" applyBorder="1" applyAlignment="1">
      <alignment vertical="top"/>
    </xf>
    <xf numFmtId="0" fontId="10" fillId="0" borderId="9" xfId="78" applyFont="1" applyBorder="1" applyAlignment="1">
      <alignment horizontal="center" vertical="top"/>
    </xf>
    <xf numFmtId="187" fontId="10" fillId="0" borderId="9" xfId="78" applyNumberFormat="1" applyFont="1" applyBorder="1" applyAlignment="1">
      <alignment horizontal="center" vertical="top"/>
    </xf>
    <xf numFmtId="188" fontId="10" fillId="0" borderId="9" xfId="79" applyNumberFormat="1" applyFont="1" applyFill="1" applyBorder="1" applyAlignment="1">
      <alignment vertical="top"/>
    </xf>
    <xf numFmtId="0" fontId="21" fillId="0" borderId="9" xfId="78" applyFont="1" applyBorder="1" applyAlignment="1">
      <alignment horizontal="center"/>
    </xf>
    <xf numFmtId="0" fontId="21" fillId="0" borderId="9" xfId="78" applyFont="1" applyBorder="1"/>
    <xf numFmtId="0" fontId="16" fillId="0" borderId="9" xfId="78" applyFont="1" applyBorder="1"/>
    <xf numFmtId="0" fontId="16" fillId="0" borderId="9" xfId="78" applyFont="1" applyBorder="1" applyAlignment="1">
      <alignment horizontal="center"/>
    </xf>
    <xf numFmtId="0" fontId="10" fillId="0" borderId="9" xfId="78" applyFont="1" applyBorder="1" applyAlignment="1">
      <alignment vertical="top" wrapText="1"/>
    </xf>
    <xf numFmtId="0" fontId="13" fillId="0" borderId="9" xfId="78" applyFont="1" applyBorder="1" applyAlignment="1">
      <alignment vertical="top"/>
    </xf>
    <xf numFmtId="0" fontId="13" fillId="0" borderId="9" xfId="78" applyFont="1" applyBorder="1" applyAlignment="1">
      <alignment horizontal="center" vertical="top"/>
    </xf>
    <xf numFmtId="0" fontId="10" fillId="0" borderId="9" xfId="78" applyFont="1" applyBorder="1" applyAlignment="1">
      <alignment wrapText="1"/>
    </xf>
    <xf numFmtId="0" fontId="10" fillId="0" borderId="9" xfId="78" applyFont="1" applyBorder="1" applyAlignment="1">
      <alignment horizontal="center"/>
    </xf>
    <xf numFmtId="187" fontId="10" fillId="0" borderId="9" xfId="78" applyNumberFormat="1" applyFont="1" applyBorder="1" applyAlignment="1">
      <alignment horizontal="center"/>
    </xf>
    <xf numFmtId="188" fontId="10" fillId="0" borderId="9" xfId="79" applyNumberFormat="1" applyFont="1" applyFill="1" applyBorder="1"/>
    <xf numFmtId="0" fontId="10" fillId="0" borderId="9" xfId="78" applyFont="1" applyBorder="1"/>
    <xf numFmtId="0" fontId="13" fillId="0" borderId="9" xfId="78" applyFont="1" applyBorder="1"/>
    <xf numFmtId="0" fontId="13" fillId="0" borderId="9" xfId="78" applyFont="1" applyBorder="1" applyAlignment="1">
      <alignment horizontal="center"/>
    </xf>
    <xf numFmtId="0" fontId="10" fillId="0" borderId="9" xfId="78" applyFont="1" applyBorder="1" applyAlignment="1">
      <alignment horizontal="center" vertical="center"/>
    </xf>
    <xf numFmtId="0" fontId="21" fillId="0" borderId="9" xfId="37" applyFont="1" applyBorder="1" applyAlignment="1">
      <alignment horizontal="center"/>
    </xf>
    <xf numFmtId="0" fontId="21" fillId="0" borderId="9" xfId="37" applyFont="1" applyBorder="1"/>
    <xf numFmtId="0" fontId="16" fillId="0" borderId="9" xfId="37" applyFont="1" applyBorder="1"/>
    <xf numFmtId="0" fontId="16" fillId="0" borderId="9" xfId="37" applyFont="1" applyBorder="1" applyAlignment="1">
      <alignment horizontal="center"/>
    </xf>
    <xf numFmtId="0" fontId="23" fillId="0" borderId="9" xfId="2" applyFont="1" applyBorder="1" applyAlignment="1">
      <alignment horizontal="center"/>
    </xf>
    <xf numFmtId="0" fontId="18" fillId="0" borderId="9" xfId="2" applyFont="1" applyBorder="1" applyAlignment="1">
      <alignment horizontal="center"/>
    </xf>
    <xf numFmtId="0" fontId="21" fillId="0" borderId="8" xfId="49" applyFont="1" applyBorder="1" applyAlignment="1">
      <alignment vertical="top"/>
    </xf>
    <xf numFmtId="0" fontId="10" fillId="0" borderId="8" xfId="49" applyFont="1" applyBorder="1" applyAlignment="1">
      <alignment horizontal="center" vertical="top"/>
    </xf>
    <xf numFmtId="187" fontId="10" fillId="0" borderId="8" xfId="53" applyNumberFormat="1" applyFont="1" applyBorder="1" applyAlignment="1">
      <alignment horizontal="center" vertical="top"/>
    </xf>
    <xf numFmtId="188" fontId="10" fillId="0" borderId="8" xfId="54" applyNumberFormat="1" applyFont="1" applyFill="1" applyBorder="1" applyAlignment="1">
      <alignment horizontal="right" vertical="top"/>
    </xf>
    <xf numFmtId="0" fontId="20" fillId="0" borderId="8" xfId="49" applyFont="1" applyBorder="1" applyAlignment="1">
      <alignment horizontal="center" vertical="top"/>
    </xf>
    <xf numFmtId="0" fontId="10" fillId="0" borderId="8" xfId="49" applyFont="1" applyBorder="1" applyAlignment="1">
      <alignment horizontal="center"/>
    </xf>
    <xf numFmtId="0" fontId="10" fillId="0" borderId="8" xfId="49" applyFont="1" applyBorder="1"/>
    <xf numFmtId="0" fontId="13" fillId="0" borderId="8" xfId="49" applyFont="1" applyBorder="1"/>
    <xf numFmtId="0" fontId="13" fillId="0" borderId="8" xfId="49" applyFont="1" applyBorder="1" applyAlignment="1">
      <alignment horizontal="center"/>
    </xf>
    <xf numFmtId="0" fontId="22" fillId="0" borderId="8" xfId="49" applyFont="1" applyBorder="1" applyAlignment="1">
      <alignment horizontal="center" vertical="center"/>
    </xf>
    <xf numFmtId="0" fontId="4" fillId="0" borderId="9" xfId="97" applyBorder="1"/>
    <xf numFmtId="0" fontId="13" fillId="2" borderId="4" xfId="97" applyFont="1" applyFill="1" applyBorder="1" applyAlignment="1">
      <alignment horizontal="center"/>
    </xf>
    <xf numFmtId="0" fontId="13" fillId="2" borderId="6" xfId="97" applyFont="1" applyFill="1" applyBorder="1"/>
    <xf numFmtId="43" fontId="13" fillId="2" borderId="9" xfId="98" applyFont="1" applyFill="1" applyBorder="1"/>
    <xf numFmtId="43" fontId="10" fillId="0" borderId="13" xfId="102" applyFont="1" applyFill="1" applyBorder="1"/>
    <xf numFmtId="0" fontId="23" fillId="0" borderId="9" xfId="49" applyFont="1" applyBorder="1" applyAlignment="1">
      <alignment horizontal="center" vertical="top"/>
    </xf>
    <xf numFmtId="0" fontId="23" fillId="0" borderId="9" xfId="2" applyFont="1" applyBorder="1" applyAlignment="1">
      <alignment horizontal="left" vertical="top"/>
    </xf>
    <xf numFmtId="0" fontId="23" fillId="0" borderId="9" xfId="39" applyFont="1" applyBorder="1" applyAlignment="1">
      <alignment horizontal="center" vertical="top"/>
    </xf>
    <xf numFmtId="43" fontId="30" fillId="0" borderId="9" xfId="88" applyFont="1" applyFill="1" applyBorder="1" applyAlignment="1">
      <alignment horizontal="center" vertical="center"/>
    </xf>
    <xf numFmtId="0" fontId="24" fillId="0" borderId="9" xfId="87" applyFont="1" applyBorder="1" applyAlignment="1">
      <alignment horizontal="center" vertical="top"/>
    </xf>
    <xf numFmtId="43" fontId="24" fillId="0" borderId="9" xfId="88" applyFont="1" applyFill="1" applyBorder="1" applyAlignment="1">
      <alignment horizontal="center" vertical="top" wrapText="1"/>
    </xf>
    <xf numFmtId="0" fontId="10" fillId="0" borderId="8" xfId="87" applyFont="1" applyBorder="1" applyAlignment="1">
      <alignment horizontal="center" vertical="center"/>
    </xf>
    <xf numFmtId="15" fontId="10" fillId="0" borderId="8" xfId="87" applyNumberFormat="1" applyFont="1" applyBorder="1" applyAlignment="1">
      <alignment horizontal="center" vertical="center"/>
    </xf>
    <xf numFmtId="188" fontId="10" fillId="0" borderId="8" xfId="88" applyNumberFormat="1" applyFont="1" applyFill="1" applyBorder="1" applyAlignment="1">
      <alignment horizontal="center" vertical="center"/>
    </xf>
    <xf numFmtId="43" fontId="10" fillId="0" borderId="8" xfId="88" applyFont="1" applyFill="1" applyBorder="1" applyAlignment="1">
      <alignment horizontal="center" vertical="center"/>
    </xf>
    <xf numFmtId="43" fontId="8" fillId="0" borderId="9" xfId="84" applyFont="1" applyFill="1" applyBorder="1" applyAlignment="1">
      <alignment horizontal="center" vertical="center"/>
    </xf>
    <xf numFmtId="0" fontId="23" fillId="0" borderId="9" xfId="46" applyFont="1" applyBorder="1" applyAlignment="1">
      <alignment horizontal="center" vertical="top"/>
    </xf>
    <xf numFmtId="0" fontId="23" fillId="0" borderId="9" xfId="87" applyFont="1" applyBorder="1" applyAlignment="1">
      <alignment horizontal="center"/>
    </xf>
    <xf numFmtId="0" fontId="23" fillId="0" borderId="6" xfId="87" applyFont="1" applyBorder="1" applyAlignment="1">
      <alignment horizontal="center" vertical="top" wrapText="1"/>
    </xf>
    <xf numFmtId="0" fontId="10" fillId="0" borderId="9" xfId="46" applyFont="1" applyBorder="1" applyAlignment="1">
      <alignment horizontal="left" vertical="top" wrapText="1"/>
    </xf>
    <xf numFmtId="188" fontId="10" fillId="0" borderId="9" xfId="47" applyNumberFormat="1" applyFont="1" applyFill="1" applyBorder="1" applyAlignment="1">
      <alignment horizontal="center" vertical="top"/>
    </xf>
    <xf numFmtId="0" fontId="30" fillId="0" borderId="9" xfId="87" applyFont="1" applyBorder="1" applyAlignment="1">
      <alignment horizontal="center" vertical="top"/>
    </xf>
    <xf numFmtId="0" fontId="19" fillId="0" borderId="9" xfId="83" applyFont="1" applyBorder="1" applyAlignment="1">
      <alignment horizontal="center" vertical="top" wrapText="1"/>
    </xf>
    <xf numFmtId="0" fontId="23" fillId="0" borderId="9" xfId="12" applyFont="1" applyBorder="1" applyAlignment="1">
      <alignment horizontal="center" vertical="top"/>
    </xf>
    <xf numFmtId="0" fontId="23" fillId="2" borderId="3" xfId="46" applyFont="1" applyFill="1" applyBorder="1" applyAlignment="1">
      <alignment horizontal="center" vertical="top"/>
    </xf>
    <xf numFmtId="0" fontId="23" fillId="0" borderId="9" xfId="46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19" fillId="0" borderId="9" xfId="83" applyFont="1" applyBorder="1" applyAlignment="1">
      <alignment horizontal="center" vertical="top"/>
    </xf>
    <xf numFmtId="188" fontId="10" fillId="2" borderId="9" xfId="97" applyNumberFormat="1" applyFont="1" applyFill="1" applyBorder="1"/>
    <xf numFmtId="188" fontId="10" fillId="2" borderId="9" xfId="98" applyNumberFormat="1" applyFont="1" applyFill="1" applyBorder="1" applyAlignment="1">
      <alignment horizontal="right"/>
    </xf>
    <xf numFmtId="188" fontId="10" fillId="2" borderId="8" xfId="98" applyNumberFormat="1" applyFont="1" applyFill="1" applyBorder="1" applyAlignment="1">
      <alignment horizontal="right"/>
    </xf>
    <xf numFmtId="188" fontId="10" fillId="2" borderId="9" xfId="99" applyNumberFormat="1" applyFont="1" applyFill="1" applyBorder="1" applyAlignment="1">
      <alignment horizontal="right"/>
    </xf>
    <xf numFmtId="188" fontId="10" fillId="2" borderId="9" xfId="100" applyNumberFormat="1" applyFont="1" applyFill="1" applyBorder="1" applyAlignment="1">
      <alignment horizontal="center" vertical="center"/>
    </xf>
    <xf numFmtId="188" fontId="10" fillId="2" borderId="9" xfId="99" applyNumberFormat="1" applyFont="1" applyFill="1" applyBorder="1" applyAlignment="1">
      <alignment horizontal="center"/>
    </xf>
    <xf numFmtId="0" fontId="23" fillId="0" borderId="9" xfId="87" applyFont="1" applyBorder="1" applyAlignment="1">
      <alignment horizontal="center" vertical="center"/>
    </xf>
    <xf numFmtId="0" fontId="23" fillId="0" borderId="9" xfId="83" applyFont="1" applyBorder="1" applyAlignment="1">
      <alignment horizontal="center" vertical="top" wrapText="1"/>
    </xf>
    <xf numFmtId="188" fontId="4" fillId="0" borderId="0" xfId="97" applyNumberFormat="1"/>
    <xf numFmtId="188" fontId="10" fillId="2" borderId="10" xfId="97" applyNumberFormat="1" applyFont="1" applyFill="1" applyBorder="1" applyAlignment="1">
      <alignment horizontal="center"/>
    </xf>
    <xf numFmtId="188" fontId="10" fillId="0" borderId="0" xfId="83" applyNumberFormat="1" applyFont="1"/>
    <xf numFmtId="188" fontId="34" fillId="0" borderId="0" xfId="87" applyNumberFormat="1" applyFont="1" applyAlignment="1">
      <alignment vertical="top"/>
    </xf>
    <xf numFmtId="188" fontId="10" fillId="0" borderId="0" xfId="87" applyNumberFormat="1" applyFont="1" applyAlignment="1">
      <alignment vertical="top"/>
    </xf>
    <xf numFmtId="188" fontId="29" fillId="0" borderId="0" xfId="87" applyNumberFormat="1" applyFont="1" applyAlignment="1">
      <alignment vertical="top"/>
    </xf>
    <xf numFmtId="188" fontId="29" fillId="3" borderId="0" xfId="87" applyNumberFormat="1" applyFont="1" applyFill="1" applyAlignment="1">
      <alignment vertical="top"/>
    </xf>
    <xf numFmtId="43" fontId="29" fillId="0" borderId="0" xfId="87" applyNumberFormat="1" applyFont="1" applyAlignment="1">
      <alignment vertical="top"/>
    </xf>
    <xf numFmtId="43" fontId="29" fillId="0" borderId="0" xfId="87" applyNumberFormat="1" applyFont="1"/>
    <xf numFmtId="43" fontId="21" fillId="0" borderId="0" xfId="87" applyNumberFormat="1" applyFont="1"/>
    <xf numFmtId="43" fontId="29" fillId="0" borderId="0" xfId="85" applyFont="1"/>
    <xf numFmtId="188" fontId="10" fillId="0" borderId="0" xfId="87" applyNumberFormat="1" applyFont="1"/>
    <xf numFmtId="188" fontId="8" fillId="0" borderId="0" xfId="87" applyNumberFormat="1" applyFont="1" applyAlignment="1">
      <alignment vertical="top"/>
    </xf>
    <xf numFmtId="188" fontId="8" fillId="0" borderId="0" xfId="83" applyNumberFormat="1" applyFont="1"/>
    <xf numFmtId="188" fontId="5" fillId="0" borderId="0" xfId="87" applyNumberFormat="1" applyAlignment="1">
      <alignment vertical="top"/>
    </xf>
    <xf numFmtId="188" fontId="24" fillId="0" borderId="0" xfId="87" applyNumberFormat="1" applyFont="1"/>
    <xf numFmtId="15" fontId="10" fillId="0" borderId="9" xfId="52" applyNumberFormat="1" applyFont="1" applyFill="1" applyBorder="1" applyAlignment="1">
      <alignment horizontal="center"/>
    </xf>
    <xf numFmtId="188" fontId="10" fillId="0" borderId="9" xfId="52" applyNumberFormat="1" applyFont="1" applyFill="1" applyBorder="1"/>
    <xf numFmtId="0" fontId="10" fillId="0" borderId="9" xfId="87" applyFont="1" applyBorder="1" applyAlignment="1">
      <alignment horizontal="left"/>
    </xf>
    <xf numFmtId="188" fontId="10" fillId="0" borderId="0" xfId="1" applyNumberFormat="1" applyFont="1"/>
    <xf numFmtId="188" fontId="21" fillId="0" borderId="0" xfId="87" applyNumberFormat="1" applyFont="1" applyAlignment="1">
      <alignment vertical="top"/>
    </xf>
    <xf numFmtId="43" fontId="5" fillId="0" borderId="0" xfId="87" applyNumberFormat="1" applyAlignment="1">
      <alignment vertical="top"/>
    </xf>
    <xf numFmtId="0" fontId="8" fillId="2" borderId="10" xfId="0" applyFont="1" applyFill="1" applyBorder="1"/>
    <xf numFmtId="0" fontId="8" fillId="2" borderId="0" xfId="0" applyFont="1" applyFill="1"/>
    <xf numFmtId="0" fontId="8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top"/>
    </xf>
    <xf numFmtId="0" fontId="30" fillId="2" borderId="9" xfId="0" applyFont="1" applyFill="1" applyBorder="1" applyAlignment="1">
      <alignment horizontal="center" vertical="top"/>
    </xf>
    <xf numFmtId="43" fontId="8" fillId="2" borderId="9" xfId="85" applyFont="1" applyFill="1" applyBorder="1" applyAlignment="1">
      <alignment horizontal="center" vertical="top"/>
    </xf>
    <xf numFmtId="43" fontId="34" fillId="0" borderId="0" xfId="87" applyNumberFormat="1" applyFont="1" applyAlignment="1">
      <alignment vertical="top"/>
    </xf>
    <xf numFmtId="43" fontId="10" fillId="0" borderId="9" xfId="87" applyNumberFormat="1" applyFont="1" applyBorder="1"/>
    <xf numFmtId="0" fontId="24" fillId="0" borderId="0" xfId="87" applyFont="1" applyAlignment="1">
      <alignment vertical="top"/>
    </xf>
    <xf numFmtId="0" fontId="21" fillId="0" borderId="1" xfId="86" applyFont="1" applyBorder="1" applyAlignment="1">
      <alignment horizontal="center" vertical="center"/>
    </xf>
    <xf numFmtId="190" fontId="21" fillId="0" borderId="1" xfId="86" applyNumberFormat="1" applyFont="1" applyBorder="1"/>
    <xf numFmtId="0" fontId="18" fillId="0" borderId="9" xfId="87" applyFont="1" applyBorder="1" applyAlignment="1">
      <alignment horizontal="center" vertical="top"/>
    </xf>
    <xf numFmtId="0" fontId="10" fillId="0" borderId="13" xfId="101" applyFont="1" applyBorder="1"/>
    <xf numFmtId="0" fontId="13" fillId="0" borderId="13" xfId="101" applyFont="1" applyBorder="1"/>
    <xf numFmtId="0" fontId="43" fillId="0" borderId="0" xfId="101" applyFont="1"/>
    <xf numFmtId="0" fontId="13" fillId="0" borderId="9" xfId="101" applyFont="1" applyBorder="1" applyAlignment="1">
      <alignment horizontal="center"/>
    </xf>
    <xf numFmtId="43" fontId="13" fillId="0" borderId="9" xfId="102" applyFont="1" applyBorder="1" applyAlignment="1">
      <alignment horizontal="center"/>
    </xf>
    <xf numFmtId="0" fontId="13" fillId="0" borderId="24" xfId="101" applyFont="1" applyBorder="1"/>
    <xf numFmtId="49" fontId="10" fillId="0" borderId="24" xfId="101" applyNumberFormat="1" applyFont="1" applyBorder="1" applyAlignment="1">
      <alignment horizontal="center"/>
    </xf>
    <xf numFmtId="0" fontId="10" fillId="0" borderId="24" xfId="101" applyFont="1" applyBorder="1" applyAlignment="1">
      <alignment horizontal="center"/>
    </xf>
    <xf numFmtId="43" fontId="10" fillId="0" borderId="24" xfId="102" applyFont="1" applyBorder="1" applyAlignment="1">
      <alignment horizontal="center"/>
    </xf>
    <xf numFmtId="49" fontId="10" fillId="0" borderId="13" xfId="101" applyNumberFormat="1" applyFont="1" applyBorder="1" applyAlignment="1">
      <alignment horizontal="center"/>
    </xf>
    <xf numFmtId="0" fontId="10" fillId="0" borderId="13" xfId="101" applyFont="1" applyBorder="1" applyAlignment="1">
      <alignment horizontal="center"/>
    </xf>
    <xf numFmtId="43" fontId="10" fillId="0" borderId="13" xfId="102" applyFont="1" applyBorder="1"/>
    <xf numFmtId="0" fontId="10" fillId="0" borderId="25" xfId="101" applyFont="1" applyBorder="1"/>
    <xf numFmtId="49" fontId="10" fillId="0" borderId="25" xfId="101" applyNumberFormat="1" applyFont="1" applyBorder="1" applyAlignment="1">
      <alignment horizontal="center"/>
    </xf>
    <xf numFmtId="0" fontId="10" fillId="0" borderId="25" xfId="101" applyFont="1" applyBorder="1" applyAlignment="1">
      <alignment horizontal="center"/>
    </xf>
    <xf numFmtId="43" fontId="10" fillId="0" borderId="25" xfId="102" applyFont="1" applyBorder="1"/>
    <xf numFmtId="0" fontId="10" fillId="0" borderId="15" xfId="101" applyFont="1" applyBorder="1"/>
    <xf numFmtId="0" fontId="13" fillId="0" borderId="26" xfId="101" applyFont="1" applyBorder="1" applyAlignment="1">
      <alignment horizontal="center"/>
    </xf>
    <xf numFmtId="49" fontId="10" fillId="0" borderId="26" xfId="101" applyNumberFormat="1" applyFont="1" applyBorder="1" applyAlignment="1">
      <alignment horizontal="center"/>
    </xf>
    <xf numFmtId="0" fontId="10" fillId="0" borderId="26" xfId="101" applyFont="1" applyBorder="1" applyAlignment="1">
      <alignment horizontal="center"/>
    </xf>
    <xf numFmtId="43" fontId="10" fillId="0" borderId="26" xfId="85" applyFont="1" applyBorder="1" applyAlignment="1">
      <alignment horizontal="center"/>
    </xf>
    <xf numFmtId="3" fontId="10" fillId="0" borderId="26" xfId="101" applyNumberFormat="1" applyFont="1" applyBorder="1" applyAlignment="1">
      <alignment horizontal="center"/>
    </xf>
    <xf numFmtId="0" fontId="13" fillId="0" borderId="0" xfId="101" applyFont="1" applyAlignment="1">
      <alignment horizontal="right"/>
    </xf>
    <xf numFmtId="49" fontId="10" fillId="0" borderId="0" xfId="101" applyNumberFormat="1" applyFont="1" applyAlignment="1">
      <alignment horizontal="center"/>
    </xf>
    <xf numFmtId="0" fontId="10" fillId="0" borderId="0" xfId="101" applyFont="1" applyAlignment="1">
      <alignment horizontal="center"/>
    </xf>
    <xf numFmtId="43" fontId="10" fillId="0" borderId="0" xfId="102" applyFont="1" applyBorder="1"/>
    <xf numFmtId="43" fontId="10" fillId="0" borderId="24" xfId="102" applyFont="1" applyBorder="1"/>
    <xf numFmtId="43" fontId="43" fillId="0" borderId="0" xfId="101" applyNumberFormat="1" applyFont="1"/>
    <xf numFmtId="0" fontId="10" fillId="0" borderId="27" xfId="101" applyFont="1" applyBorder="1"/>
    <xf numFmtId="43" fontId="10" fillId="0" borderId="13" xfId="101" applyNumberFormat="1" applyFont="1" applyBorder="1" applyAlignment="1">
      <alignment horizontal="center"/>
    </xf>
    <xf numFmtId="0" fontId="10" fillId="0" borderId="13" xfId="101" applyFont="1" applyBorder="1" applyAlignment="1">
      <alignment horizontal="left"/>
    </xf>
    <xf numFmtId="0" fontId="10" fillId="0" borderId="9" xfId="101" applyFont="1" applyBorder="1"/>
    <xf numFmtId="49" fontId="10" fillId="0" borderId="15" xfId="101" applyNumberFormat="1" applyFont="1" applyBorder="1" applyAlignment="1">
      <alignment horizontal="center"/>
    </xf>
    <xf numFmtId="0" fontId="10" fillId="0" borderId="7" xfId="101" applyFont="1" applyBorder="1"/>
    <xf numFmtId="49" fontId="10" fillId="0" borderId="7" xfId="101" applyNumberFormat="1" applyFont="1" applyBorder="1" applyAlignment="1">
      <alignment horizontal="center"/>
    </xf>
    <xf numFmtId="43" fontId="10" fillId="0" borderId="26" xfId="102" applyFont="1" applyBorder="1"/>
    <xf numFmtId="0" fontId="13" fillId="0" borderId="0" xfId="101" applyFont="1" applyAlignment="1">
      <alignment horizontal="center"/>
    </xf>
    <xf numFmtId="43" fontId="10" fillId="0" borderId="0" xfId="85" applyFont="1" applyBorder="1" applyAlignment="1">
      <alignment horizontal="center"/>
    </xf>
    <xf numFmtId="3" fontId="10" fillId="0" borderId="0" xfId="101" applyNumberFormat="1" applyFont="1" applyAlignment="1">
      <alignment horizontal="center"/>
    </xf>
    <xf numFmtId="0" fontId="13" fillId="0" borderId="8" xfId="101" applyFont="1" applyBorder="1"/>
    <xf numFmtId="49" fontId="10" fillId="0" borderId="8" xfId="101" applyNumberFormat="1" applyFont="1" applyBorder="1" applyAlignment="1">
      <alignment horizontal="center"/>
    </xf>
    <xf numFmtId="0" fontId="10" fillId="0" borderId="8" xfId="101" applyFont="1" applyBorder="1" applyAlignment="1">
      <alignment horizontal="center"/>
    </xf>
    <xf numFmtId="43" fontId="10" fillId="0" borderId="8" xfId="102" applyFont="1" applyBorder="1"/>
    <xf numFmtId="43" fontId="23" fillId="0" borderId="6" xfId="88" applyFont="1" applyFill="1" applyBorder="1" applyAlignment="1">
      <alignment horizontal="center" vertical="top"/>
    </xf>
    <xf numFmtId="0" fontId="10" fillId="0" borderId="0" xfId="83" applyFont="1" applyAlignment="1">
      <alignment vertical="top"/>
    </xf>
    <xf numFmtId="0" fontId="10" fillId="4" borderId="9" xfId="25" applyFont="1" applyFill="1" applyBorder="1" applyAlignment="1">
      <alignment vertical="top" wrapText="1"/>
    </xf>
    <xf numFmtId="0" fontId="10" fillId="4" borderId="9" xfId="25" applyFont="1" applyFill="1" applyBorder="1" applyAlignment="1">
      <alignment horizontal="center" vertical="top"/>
    </xf>
    <xf numFmtId="187" fontId="10" fillId="4" borderId="9" xfId="25" applyNumberFormat="1" applyFont="1" applyFill="1" applyBorder="1" applyAlignment="1">
      <alignment horizontal="center" vertical="top"/>
    </xf>
    <xf numFmtId="188" fontId="10" fillId="4" borderId="9" xfId="26" applyNumberFormat="1" applyFont="1" applyFill="1" applyBorder="1" applyAlignment="1">
      <alignment vertical="top"/>
    </xf>
    <xf numFmtId="0" fontId="10" fillId="4" borderId="9" xfId="2" applyFont="1" applyFill="1" applyBorder="1" applyAlignment="1">
      <alignment horizontal="center" vertical="top"/>
    </xf>
    <xf numFmtId="0" fontId="10" fillId="4" borderId="9" xfId="25" applyFont="1" applyFill="1" applyBorder="1" applyAlignment="1">
      <alignment vertical="top"/>
    </xf>
    <xf numFmtId="0" fontId="13" fillId="4" borderId="9" xfId="25" applyFont="1" applyFill="1" applyBorder="1" applyAlignment="1">
      <alignment vertical="top"/>
    </xf>
    <xf numFmtId="0" fontId="13" fillId="4" borderId="9" xfId="25" applyFont="1" applyFill="1" applyBorder="1" applyAlignment="1">
      <alignment horizontal="center" vertical="top"/>
    </xf>
    <xf numFmtId="0" fontId="10" fillId="4" borderId="9" xfId="43" applyFont="1" applyFill="1" applyBorder="1" applyAlignment="1">
      <alignment vertical="top" wrapText="1"/>
    </xf>
    <xf numFmtId="0" fontId="10" fillId="4" borderId="9" xfId="43" applyFont="1" applyFill="1" applyBorder="1" applyAlignment="1">
      <alignment horizontal="center" vertical="top"/>
    </xf>
    <xf numFmtId="187" fontId="10" fillId="4" borderId="9" xfId="43" applyNumberFormat="1" applyFont="1" applyFill="1" applyBorder="1" applyAlignment="1">
      <alignment horizontal="center" vertical="top"/>
    </xf>
    <xf numFmtId="188" fontId="10" fillId="4" borderId="9" xfId="44" applyNumberFormat="1" applyFont="1" applyFill="1" applyBorder="1" applyAlignment="1">
      <alignment horizontal="center" vertical="top"/>
    </xf>
    <xf numFmtId="0" fontId="10" fillId="4" borderId="9" xfId="43" applyFont="1" applyFill="1" applyBorder="1" applyAlignment="1">
      <alignment vertical="top"/>
    </xf>
    <xf numFmtId="0" fontId="13" fillId="4" borderId="9" xfId="43" applyFont="1" applyFill="1" applyBorder="1" applyAlignment="1">
      <alignment vertical="top"/>
    </xf>
    <xf numFmtId="0" fontId="13" fillId="4" borderId="9" xfId="43" applyFont="1" applyFill="1" applyBorder="1" applyAlignment="1">
      <alignment horizontal="center" vertical="top"/>
    </xf>
    <xf numFmtId="0" fontId="10" fillId="4" borderId="9" xfId="45" applyFont="1" applyFill="1" applyBorder="1" applyAlignment="1">
      <alignment horizontal="center" vertical="top"/>
    </xf>
    <xf numFmtId="0" fontId="10" fillId="4" borderId="9" xfId="46" applyFont="1" applyFill="1" applyBorder="1" applyAlignment="1">
      <alignment vertical="top" wrapText="1"/>
    </xf>
    <xf numFmtId="187" fontId="10" fillId="4" borderId="9" xfId="46" applyNumberFormat="1" applyFont="1" applyFill="1" applyBorder="1" applyAlignment="1">
      <alignment horizontal="center" vertical="top"/>
    </xf>
    <xf numFmtId="188" fontId="10" fillId="4" borderId="9" xfId="47" applyNumberFormat="1" applyFont="1" applyFill="1" applyBorder="1" applyAlignment="1">
      <alignment vertical="top"/>
    </xf>
    <xf numFmtId="0" fontId="10" fillId="4" borderId="9" xfId="46" applyFont="1" applyFill="1" applyBorder="1" applyAlignment="1">
      <alignment vertical="top"/>
    </xf>
    <xf numFmtId="0" fontId="13" fillId="4" borderId="9" xfId="46" applyFont="1" applyFill="1" applyBorder="1" applyAlignment="1">
      <alignment vertical="top"/>
    </xf>
    <xf numFmtId="0" fontId="13" fillId="4" borderId="9" xfId="46" applyFont="1" applyFill="1" applyBorder="1" applyAlignment="1">
      <alignment horizontal="center" vertical="top"/>
    </xf>
    <xf numFmtId="0" fontId="10" fillId="4" borderId="9" xfId="83" applyFont="1" applyFill="1" applyBorder="1" applyAlignment="1">
      <alignment horizontal="center" vertical="center"/>
    </xf>
    <xf numFmtId="0" fontId="13" fillId="4" borderId="9" xfId="83" applyFont="1" applyFill="1" applyBorder="1" applyAlignment="1">
      <alignment horizontal="center" vertical="center"/>
    </xf>
    <xf numFmtId="0" fontId="10" fillId="4" borderId="9" xfId="57" applyFont="1" applyFill="1" applyBorder="1" applyAlignment="1">
      <alignment horizontal="center" vertical="center"/>
    </xf>
    <xf numFmtId="0" fontId="10" fillId="4" borderId="9" xfId="83" applyFont="1" applyFill="1" applyBorder="1" applyAlignment="1">
      <alignment horizontal="center"/>
    </xf>
    <xf numFmtId="0" fontId="13" fillId="4" borderId="9" xfId="83" applyFont="1" applyFill="1" applyBorder="1" applyAlignment="1">
      <alignment horizontal="center"/>
    </xf>
    <xf numFmtId="15" fontId="10" fillId="4" borderId="9" xfId="87" applyNumberFormat="1" applyFont="1" applyFill="1" applyBorder="1" applyAlignment="1">
      <alignment horizontal="center" vertical="top"/>
    </xf>
    <xf numFmtId="188" fontId="10" fillId="4" borderId="9" xfId="88" applyNumberFormat="1" applyFont="1" applyFill="1" applyBorder="1" applyAlignment="1">
      <alignment horizontal="center" vertical="top"/>
    </xf>
    <xf numFmtId="43" fontId="10" fillId="4" borderId="9" xfId="88" applyFont="1" applyFill="1" applyBorder="1" applyAlignment="1">
      <alignment horizontal="center" vertical="top"/>
    </xf>
    <xf numFmtId="0" fontId="10" fillId="4" borderId="9" xfId="4" applyFont="1" applyFill="1" applyBorder="1" applyAlignment="1">
      <alignment horizontal="center" vertical="top"/>
    </xf>
    <xf numFmtId="0" fontId="33" fillId="4" borderId="9" xfId="4" applyFont="1" applyFill="1" applyBorder="1" applyAlignment="1">
      <alignment horizontal="center" vertical="top"/>
    </xf>
    <xf numFmtId="0" fontId="23" fillId="4" borderId="9" xfId="87" applyFont="1" applyFill="1" applyBorder="1" applyAlignment="1">
      <alignment horizontal="center" vertical="top"/>
    </xf>
    <xf numFmtId="0" fontId="10" fillId="4" borderId="9" xfId="46" quotePrefix="1" applyFont="1" applyFill="1" applyBorder="1" applyAlignment="1">
      <alignment horizontal="center" vertical="top"/>
    </xf>
    <xf numFmtId="0" fontId="18" fillId="4" borderId="9" xfId="87" applyFont="1" applyFill="1" applyBorder="1" applyAlignment="1">
      <alignment horizontal="center" vertical="top"/>
    </xf>
    <xf numFmtId="0" fontId="13" fillId="2" borderId="0" xfId="2" applyFont="1" applyFill="1" applyAlignment="1">
      <alignment horizontal="center"/>
    </xf>
    <xf numFmtId="0" fontId="16" fillId="2" borderId="3" xfId="2" applyFont="1" applyFill="1" applyBorder="1" applyAlignment="1">
      <alignment horizontal="center" vertical="center" shrinkToFit="1"/>
    </xf>
    <xf numFmtId="0" fontId="16" fillId="2" borderId="3" xfId="2" applyFont="1" applyFill="1" applyBorder="1" applyAlignment="1">
      <alignment horizontal="center" vertical="center" wrapText="1" shrinkToFit="1"/>
    </xf>
    <xf numFmtId="0" fontId="16" fillId="2" borderId="8" xfId="2" applyFont="1" applyFill="1" applyBorder="1" applyAlignment="1">
      <alignment horizontal="center" vertical="center" wrapText="1" shrinkToFit="1"/>
    </xf>
    <xf numFmtId="0" fontId="16" fillId="2" borderId="9" xfId="2" applyFont="1" applyFill="1" applyBorder="1" applyAlignment="1">
      <alignment horizontal="center" vertical="center" shrinkToFit="1"/>
    </xf>
    <xf numFmtId="0" fontId="16" fillId="2" borderId="3" xfId="2" applyFont="1" applyFill="1" applyBorder="1" applyAlignment="1">
      <alignment horizontal="center" vertical="top" wrapText="1" shrinkToFit="1"/>
    </xf>
    <xf numFmtId="0" fontId="16" fillId="2" borderId="8" xfId="2" applyFont="1" applyFill="1" applyBorder="1" applyAlignment="1">
      <alignment horizontal="center" vertical="top" wrapText="1" shrinkToFit="1"/>
    </xf>
    <xf numFmtId="0" fontId="16" fillId="2" borderId="8" xfId="2" applyFont="1" applyFill="1" applyBorder="1" applyAlignment="1">
      <alignment horizontal="center" vertical="center" shrinkToFit="1"/>
    </xf>
    <xf numFmtId="0" fontId="16" fillId="2" borderId="3" xfId="2" applyFont="1" applyFill="1" applyBorder="1" applyAlignment="1">
      <alignment horizontal="center" vertical="center"/>
    </xf>
    <xf numFmtId="0" fontId="16" fillId="2" borderId="8" xfId="2" applyFont="1" applyFill="1" applyBorder="1" applyAlignment="1">
      <alignment horizontal="center" vertical="center"/>
    </xf>
    <xf numFmtId="187" fontId="16" fillId="2" borderId="3" xfId="2" applyNumberFormat="1" applyFont="1" applyFill="1" applyBorder="1" applyAlignment="1">
      <alignment horizontal="center" vertical="center" wrapText="1" shrinkToFit="1"/>
    </xf>
    <xf numFmtId="187" fontId="16" fillId="2" borderId="8" xfId="2" applyNumberFormat="1" applyFont="1" applyFill="1" applyBorder="1" applyAlignment="1">
      <alignment horizontal="center" vertical="center" wrapText="1" shrinkToFit="1"/>
    </xf>
    <xf numFmtId="188" fontId="16" fillId="2" borderId="3" xfId="3" applyNumberFormat="1" applyFont="1" applyFill="1" applyBorder="1" applyAlignment="1">
      <alignment horizontal="center" vertical="center" wrapText="1" shrinkToFit="1"/>
    </xf>
    <xf numFmtId="188" fontId="16" fillId="2" borderId="8" xfId="3" applyNumberFormat="1" applyFont="1" applyFill="1" applyBorder="1" applyAlignment="1">
      <alignment horizontal="center" vertical="center" wrapText="1" shrinkToFit="1"/>
    </xf>
    <xf numFmtId="0" fontId="13" fillId="2" borderId="16" xfId="2" applyFont="1" applyFill="1" applyBorder="1" applyAlignment="1">
      <alignment horizontal="center"/>
    </xf>
    <xf numFmtId="0" fontId="41" fillId="0" borderId="0" xfId="86" applyFont="1" applyAlignment="1">
      <alignment horizontal="center"/>
    </xf>
    <xf numFmtId="0" fontId="29" fillId="0" borderId="0" xfId="86" applyFont="1"/>
    <xf numFmtId="0" fontId="13" fillId="0" borderId="0" xfId="97" applyFont="1" applyAlignment="1">
      <alignment horizontal="center"/>
    </xf>
    <xf numFmtId="0" fontId="31" fillId="0" borderId="3" xfId="2" applyFont="1" applyBorder="1" applyAlignment="1">
      <alignment horizontal="center" vertical="center" wrapText="1" shrinkToFit="1"/>
    </xf>
    <xf numFmtId="0" fontId="31" fillId="0" borderId="7" xfId="2" applyFont="1" applyBorder="1" applyAlignment="1">
      <alignment horizontal="center" vertical="center" wrapText="1" shrinkToFit="1"/>
    </xf>
    <xf numFmtId="0" fontId="31" fillId="0" borderId="8" xfId="2" applyFont="1" applyBorder="1" applyAlignment="1">
      <alignment horizontal="center" vertical="center" wrapText="1" shrinkToFit="1"/>
    </xf>
    <xf numFmtId="0" fontId="13" fillId="0" borderId="3" xfId="2" applyFont="1" applyBorder="1" applyAlignment="1">
      <alignment horizontal="center" vertical="center" shrinkToFit="1"/>
    </xf>
    <xf numFmtId="0" fontId="13" fillId="0" borderId="7" xfId="2" applyFont="1" applyBorder="1"/>
    <xf numFmtId="0" fontId="13" fillId="0" borderId="8" xfId="2" applyFont="1" applyBorder="1"/>
    <xf numFmtId="0" fontId="13" fillId="0" borderId="7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187" fontId="13" fillId="0" borderId="3" xfId="2" applyNumberFormat="1" applyFont="1" applyBorder="1" applyAlignment="1">
      <alignment horizontal="center" vertical="center" wrapText="1" shrinkToFit="1"/>
    </xf>
    <xf numFmtId="187" fontId="13" fillId="0" borderId="7" xfId="2" applyNumberFormat="1" applyFont="1" applyBorder="1" applyAlignment="1">
      <alignment horizontal="center" vertical="center" wrapText="1" shrinkToFit="1"/>
    </xf>
    <xf numFmtId="187" fontId="13" fillId="0" borderId="8" xfId="2" applyNumberFormat="1" applyFont="1" applyBorder="1" applyAlignment="1">
      <alignment horizontal="center" vertical="center" wrapText="1" shrinkToFit="1"/>
    </xf>
    <xf numFmtId="188" fontId="13" fillId="0" borderId="3" xfId="3" applyNumberFormat="1" applyFont="1" applyFill="1" applyBorder="1" applyAlignment="1">
      <alignment horizontal="center" vertical="center" wrapText="1" shrinkToFit="1"/>
    </xf>
    <xf numFmtId="188" fontId="13" fillId="0" borderId="7" xfId="3" applyNumberFormat="1" applyFont="1" applyFill="1" applyBorder="1" applyAlignment="1">
      <alignment horizontal="center" vertical="center" wrapText="1" shrinkToFit="1"/>
    </xf>
    <xf numFmtId="188" fontId="13" fillId="0" borderId="8" xfId="3" applyNumberFormat="1" applyFont="1" applyFill="1" applyBorder="1" applyAlignment="1">
      <alignment horizontal="center" vertical="center" wrapText="1" shrinkToFit="1"/>
    </xf>
    <xf numFmtId="0" fontId="13" fillId="0" borderId="3" xfId="2" applyFont="1" applyBorder="1" applyAlignment="1">
      <alignment horizontal="center" vertical="center" wrapText="1" shrinkToFit="1"/>
    </xf>
    <xf numFmtId="0" fontId="13" fillId="0" borderId="7" xfId="2" applyFont="1" applyBorder="1" applyAlignment="1">
      <alignment horizontal="center" vertical="center" wrapText="1" shrinkToFit="1"/>
    </xf>
    <xf numFmtId="0" fontId="13" fillId="0" borderId="8" xfId="2" applyFont="1" applyBorder="1" applyAlignment="1">
      <alignment horizontal="center" vertical="center" wrapText="1" shrinkToFit="1"/>
    </xf>
    <xf numFmtId="0" fontId="13" fillId="0" borderId="4" xfId="2" applyFont="1" applyBorder="1" applyAlignment="1">
      <alignment horizontal="center" vertical="center" wrapText="1" shrinkToFit="1"/>
    </xf>
    <xf numFmtId="0" fontId="13" fillId="0" borderId="5" xfId="2" applyFont="1" applyBorder="1" applyAlignment="1">
      <alignment horizontal="center" vertical="center" wrapText="1" shrinkToFit="1"/>
    </xf>
    <xf numFmtId="0" fontId="13" fillId="0" borderId="6" xfId="2" applyFont="1" applyBorder="1" applyAlignment="1">
      <alignment horizontal="center" vertical="center" wrapText="1" shrinkToFit="1"/>
    </xf>
    <xf numFmtId="0" fontId="13" fillId="0" borderId="7" xfId="2" applyFont="1" applyBorder="1" applyAlignment="1">
      <alignment horizontal="center" vertical="center" shrinkToFit="1"/>
    </xf>
    <xf numFmtId="0" fontId="13" fillId="0" borderId="8" xfId="2" applyFont="1" applyBorder="1" applyAlignment="1">
      <alignment horizontal="center" vertical="center" shrinkToFit="1"/>
    </xf>
    <xf numFmtId="0" fontId="35" fillId="0" borderId="3" xfId="2" applyFont="1" applyBorder="1" applyAlignment="1">
      <alignment horizontal="center" vertical="center" wrapText="1" shrinkToFit="1"/>
    </xf>
    <xf numFmtId="0" fontId="35" fillId="0" borderId="7" xfId="2" applyFont="1" applyBorder="1" applyAlignment="1">
      <alignment horizontal="center" vertical="center" wrapText="1" shrinkToFit="1"/>
    </xf>
    <xf numFmtId="0" fontId="35" fillId="0" borderId="8" xfId="2" applyFont="1" applyBorder="1" applyAlignment="1">
      <alignment horizontal="center" vertical="center" wrapText="1" shrinkToFit="1"/>
    </xf>
    <xf numFmtId="0" fontId="10" fillId="2" borderId="20" xfId="97" applyFont="1" applyFill="1" applyBorder="1" applyAlignment="1">
      <alignment horizontal="center"/>
    </xf>
    <xf numFmtId="0" fontId="10" fillId="2" borderId="21" xfId="97" applyFont="1" applyFill="1" applyBorder="1" applyAlignment="1">
      <alignment horizontal="center"/>
    </xf>
    <xf numFmtId="0" fontId="10" fillId="2" borderId="22" xfId="97" applyFont="1" applyFill="1" applyBorder="1" applyAlignment="1">
      <alignment horizontal="center"/>
    </xf>
    <xf numFmtId="0" fontId="10" fillId="2" borderId="10" xfId="97" applyFont="1" applyFill="1" applyBorder="1" applyAlignment="1">
      <alignment horizontal="center"/>
    </xf>
    <xf numFmtId="0" fontId="10" fillId="2" borderId="0" xfId="97" applyFont="1" applyFill="1" applyAlignment="1">
      <alignment horizontal="center"/>
    </xf>
    <xf numFmtId="0" fontId="10" fillId="2" borderId="11" xfId="97" applyFont="1" applyFill="1" applyBorder="1" applyAlignment="1">
      <alignment horizontal="center"/>
    </xf>
    <xf numFmtId="0" fontId="11" fillId="2" borderId="10" xfId="97" applyFont="1" applyFill="1" applyBorder="1" applyAlignment="1">
      <alignment horizontal="center"/>
    </xf>
    <xf numFmtId="0" fontId="11" fillId="2" borderId="0" xfId="97" applyFont="1" applyFill="1" applyAlignment="1">
      <alignment horizontal="center"/>
    </xf>
    <xf numFmtId="188" fontId="10" fillId="2" borderId="10" xfId="97" applyNumberFormat="1" applyFont="1" applyFill="1" applyBorder="1" applyAlignment="1">
      <alignment horizontal="center"/>
    </xf>
    <xf numFmtId="0" fontId="13" fillId="0" borderId="0" xfId="101" applyFont="1" applyAlignment="1">
      <alignment horizontal="center"/>
    </xf>
    <xf numFmtId="0" fontId="13" fillId="0" borderId="9" xfId="101" applyFont="1" applyBorder="1" applyAlignment="1">
      <alignment horizontal="center" vertical="center"/>
    </xf>
    <xf numFmtId="49" fontId="13" fillId="0" borderId="3" xfId="101" applyNumberFormat="1" applyFont="1" applyBorder="1" applyAlignment="1">
      <alignment horizontal="center" vertical="center"/>
    </xf>
    <xf numFmtId="49" fontId="13" fillId="0" borderId="8" xfId="101" applyNumberFormat="1" applyFont="1" applyBorder="1" applyAlignment="1">
      <alignment horizontal="center" vertical="center"/>
    </xf>
    <xf numFmtId="0" fontId="13" fillId="0" borderId="9" xfId="101" applyFont="1" applyBorder="1" applyAlignment="1">
      <alignment horizontal="center"/>
    </xf>
    <xf numFmtId="0" fontId="13" fillId="0" borderId="16" xfId="2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6" fillId="0" borderId="3" xfId="2" applyFont="1" applyBorder="1" applyAlignment="1">
      <alignment horizontal="center" vertical="top" wrapText="1" shrinkToFit="1"/>
    </xf>
    <xf numFmtId="0" fontId="16" fillId="0" borderId="8" xfId="2" applyFont="1" applyBorder="1" applyAlignment="1">
      <alignment horizontal="center" vertical="top" wrapText="1" shrinkToFit="1"/>
    </xf>
    <xf numFmtId="0" fontId="16" fillId="0" borderId="3" xfId="2" applyFont="1" applyBorder="1" applyAlignment="1">
      <alignment horizontal="center" vertical="center" shrinkToFit="1"/>
    </xf>
    <xf numFmtId="0" fontId="16" fillId="0" borderId="8" xfId="2" applyFont="1" applyBorder="1" applyAlignment="1">
      <alignment horizontal="center" vertical="center" shrinkToFit="1"/>
    </xf>
    <xf numFmtId="0" fontId="16" fillId="0" borderId="3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187" fontId="16" fillId="0" borderId="3" xfId="2" applyNumberFormat="1" applyFont="1" applyBorder="1" applyAlignment="1">
      <alignment horizontal="center" vertical="center" wrapText="1" shrinkToFit="1"/>
    </xf>
    <xf numFmtId="187" fontId="16" fillId="0" borderId="8" xfId="2" applyNumberFormat="1" applyFont="1" applyBorder="1" applyAlignment="1">
      <alignment horizontal="center" vertical="center" wrapText="1" shrinkToFit="1"/>
    </xf>
    <xf numFmtId="188" fontId="16" fillId="0" borderId="3" xfId="3" applyNumberFormat="1" applyFont="1" applyFill="1" applyBorder="1" applyAlignment="1">
      <alignment horizontal="center" vertical="center" wrapText="1" shrinkToFit="1"/>
    </xf>
    <xf numFmtId="188" fontId="16" fillId="0" borderId="8" xfId="3" applyNumberFormat="1" applyFont="1" applyFill="1" applyBorder="1" applyAlignment="1">
      <alignment horizontal="center" vertical="center" wrapText="1" shrinkToFit="1"/>
    </xf>
    <xf numFmtId="0" fontId="16" fillId="0" borderId="3" xfId="2" applyFont="1" applyBorder="1" applyAlignment="1">
      <alignment horizontal="center" vertical="center" wrapText="1" shrinkToFit="1"/>
    </xf>
    <xf numFmtId="0" fontId="16" fillId="0" borderId="8" xfId="2" applyFont="1" applyBorder="1" applyAlignment="1">
      <alignment horizontal="center" vertical="center" wrapText="1" shrinkToFit="1"/>
    </xf>
    <xf numFmtId="0" fontId="16" fillId="0" borderId="9" xfId="2" applyFont="1" applyBorder="1" applyAlignment="1">
      <alignment horizontal="center" vertical="center" shrinkToFit="1"/>
    </xf>
    <xf numFmtId="0" fontId="10" fillId="0" borderId="9" xfId="2" applyFont="1" applyFill="1" applyBorder="1" applyAlignment="1">
      <alignment horizontal="center" vertical="center" wrapText="1" shrinkToFit="1"/>
    </xf>
    <xf numFmtId="0" fontId="10" fillId="0" borderId="9" xfId="46" applyFont="1" applyFill="1" applyBorder="1" applyAlignment="1">
      <alignment wrapText="1"/>
    </xf>
    <xf numFmtId="0" fontId="10" fillId="0" borderId="9" xfId="46" applyFont="1" applyFill="1" applyBorder="1" applyAlignment="1">
      <alignment horizontal="center"/>
    </xf>
    <xf numFmtId="187" fontId="10" fillId="0" borderId="9" xfId="46" applyNumberFormat="1" applyFont="1" applyFill="1" applyBorder="1" applyAlignment="1">
      <alignment horizontal="center"/>
    </xf>
    <xf numFmtId="0" fontId="23" fillId="0" borderId="9" xfId="46" applyFont="1" applyFill="1" applyBorder="1" applyAlignment="1">
      <alignment horizontal="center"/>
    </xf>
    <xf numFmtId="0" fontId="10" fillId="0" borderId="9" xfId="87" applyFont="1" applyFill="1" applyBorder="1" applyAlignment="1">
      <alignment horizontal="center" vertical="top"/>
    </xf>
    <xf numFmtId="0" fontId="10" fillId="0" borderId="9" xfId="46" applyFont="1" applyFill="1" applyBorder="1"/>
    <xf numFmtId="0" fontId="13" fillId="0" borderId="9" xfId="46" applyFont="1" applyFill="1" applyBorder="1"/>
    <xf numFmtId="0" fontId="13" fillId="0" borderId="9" xfId="46" applyFont="1" applyFill="1" applyBorder="1" applyAlignment="1">
      <alignment horizontal="center"/>
    </xf>
    <xf numFmtId="0" fontId="10" fillId="0" borderId="9" xfId="2" applyFont="1" applyFill="1" applyBorder="1" applyAlignment="1">
      <alignment horizontal="center"/>
    </xf>
    <xf numFmtId="188" fontId="24" fillId="0" borderId="0" xfId="87" applyNumberFormat="1" applyFont="1" applyFill="1"/>
    <xf numFmtId="0" fontId="24" fillId="0" borderId="0" xfId="87" applyFont="1" applyFill="1"/>
  </cellXfs>
  <cellStyles count="112">
    <cellStyle name="Normal 2" xfId="82" xr:uid="{00000000-0005-0000-0000-000000000000}"/>
    <cellStyle name="เครื่องหมายจุลภาค 10" xfId="52" xr:uid="{00000000-0005-0000-0000-000002000000}"/>
    <cellStyle name="เครื่องหมายจุลภาค 11" xfId="34" xr:uid="{00000000-0005-0000-0000-000003000000}"/>
    <cellStyle name="เครื่องหมายจุลภาค 12" xfId="9" xr:uid="{00000000-0005-0000-0000-000004000000}"/>
    <cellStyle name="เครื่องหมายจุลภาค 13" xfId="92" xr:uid="{00000000-0005-0000-0000-000005000000}"/>
    <cellStyle name="เครื่องหมายจุลภาค 14" xfId="11" xr:uid="{00000000-0005-0000-0000-000006000000}"/>
    <cellStyle name="เครื่องหมายจุลภาค 15" xfId="13" xr:uid="{00000000-0005-0000-0000-000007000000}"/>
    <cellStyle name="เครื่องหมายจุลภาค 16" xfId="16" xr:uid="{00000000-0005-0000-0000-000008000000}"/>
    <cellStyle name="เครื่องหมายจุลภาค 17" xfId="18" xr:uid="{00000000-0005-0000-0000-000009000000}"/>
    <cellStyle name="เครื่องหมายจุลภาค 19" xfId="36" xr:uid="{00000000-0005-0000-0000-00000A000000}"/>
    <cellStyle name="เครื่องหมายจุลภาค 2" xfId="3" xr:uid="{00000000-0005-0000-0000-00000B000000}"/>
    <cellStyle name="เครื่องหมายจุลภาค 20" xfId="22" xr:uid="{00000000-0005-0000-0000-00000C000000}"/>
    <cellStyle name="เครื่องหมายจุลภาค 21" xfId="20" xr:uid="{00000000-0005-0000-0000-00000D000000}"/>
    <cellStyle name="เครื่องหมายจุลภาค 22" xfId="24" xr:uid="{00000000-0005-0000-0000-00000E000000}"/>
    <cellStyle name="เครื่องหมายจุลภาค 23" xfId="94" xr:uid="{00000000-0005-0000-0000-00000F000000}"/>
    <cellStyle name="เครื่องหมายจุลภาค 24" xfId="26" xr:uid="{00000000-0005-0000-0000-000010000000}"/>
    <cellStyle name="เครื่องหมายจุลภาค 25" xfId="28" xr:uid="{00000000-0005-0000-0000-000011000000}"/>
    <cellStyle name="เครื่องหมายจุลภาค 27" xfId="30" xr:uid="{00000000-0005-0000-0000-000012000000}"/>
    <cellStyle name="เครื่องหมายจุลภาค 29" xfId="96" xr:uid="{00000000-0005-0000-0000-000013000000}"/>
    <cellStyle name="เครื่องหมายจุลภาค 3" xfId="88" xr:uid="{00000000-0005-0000-0000-000014000000}"/>
    <cellStyle name="เครื่องหมายจุลภาค 3 2" xfId="106" xr:uid="{00000000-0005-0000-0000-000015000000}"/>
    <cellStyle name="เครื่องหมายจุลภาค 3 3" xfId="111" xr:uid="{B4B80D3A-9065-4979-9F8A-0F9583036721}"/>
    <cellStyle name="เครื่องหมายจุลภาค 32" xfId="32" xr:uid="{00000000-0005-0000-0000-000016000000}"/>
    <cellStyle name="เครื่องหมายจุลภาค 36" xfId="65" xr:uid="{00000000-0005-0000-0000-000017000000}"/>
    <cellStyle name="เครื่องหมายจุลภาค 37" xfId="69" xr:uid="{00000000-0005-0000-0000-000018000000}"/>
    <cellStyle name="เครื่องหมายจุลภาค 38" xfId="63" xr:uid="{00000000-0005-0000-0000-000019000000}"/>
    <cellStyle name="เครื่องหมายจุลภาค 39" xfId="71" xr:uid="{00000000-0005-0000-0000-00001A000000}"/>
    <cellStyle name="เครื่องหมายจุลภาค 4" xfId="59" xr:uid="{00000000-0005-0000-0000-00001B000000}"/>
    <cellStyle name="เครื่องหมายจุลภาค 41" xfId="61" xr:uid="{00000000-0005-0000-0000-00001C000000}"/>
    <cellStyle name="เครื่องหมายจุลภาค 43" xfId="73" xr:uid="{00000000-0005-0000-0000-00001D000000}"/>
    <cellStyle name="เครื่องหมายจุลภาค 44" xfId="67" xr:uid="{00000000-0005-0000-0000-00001E000000}"/>
    <cellStyle name="เครื่องหมายจุลภาค 47" xfId="38" xr:uid="{00000000-0005-0000-0000-00001F000000}"/>
    <cellStyle name="เครื่องหมายจุลภาค 5" xfId="98" xr:uid="{00000000-0005-0000-0000-000020000000}"/>
    <cellStyle name="เครื่องหมายจุลภาค 50" xfId="75" xr:uid="{00000000-0005-0000-0000-000021000000}"/>
    <cellStyle name="เครื่องหมายจุลภาค 56" xfId="41" xr:uid="{00000000-0005-0000-0000-000022000000}"/>
    <cellStyle name="เครื่องหมายจุลภาค 57" xfId="79" xr:uid="{00000000-0005-0000-0000-000023000000}"/>
    <cellStyle name="เครื่องหมายจุลภาค 59" xfId="42" xr:uid="{00000000-0005-0000-0000-000024000000}"/>
    <cellStyle name="เครื่องหมายจุลภาค 6" xfId="5" xr:uid="{00000000-0005-0000-0000-000025000000}"/>
    <cellStyle name="เครื่องหมายจุลภาค 61" xfId="81" xr:uid="{00000000-0005-0000-0000-000026000000}"/>
    <cellStyle name="เครื่องหมายจุลภาค 64" xfId="44" xr:uid="{00000000-0005-0000-0000-000027000000}"/>
    <cellStyle name="เครื่องหมายจุลภาค 68" xfId="47" xr:uid="{00000000-0005-0000-0000-000028000000}"/>
    <cellStyle name="เครื่องหมายจุลภาค 69" xfId="51" xr:uid="{00000000-0005-0000-0000-000029000000}"/>
    <cellStyle name="เครื่องหมายจุลภาค 7" xfId="102" xr:uid="{00000000-0005-0000-0000-00002A000000}"/>
    <cellStyle name="เครื่องหมายจุลภาค 70" xfId="100" xr:uid="{00000000-0005-0000-0000-00002B000000}"/>
    <cellStyle name="เครื่องหมายจุลภาค 71" xfId="54" xr:uid="{00000000-0005-0000-0000-00002C000000}"/>
    <cellStyle name="เครื่องหมายจุลภาค 8" xfId="7" xr:uid="{00000000-0005-0000-0000-00002D000000}"/>
    <cellStyle name="เครื่องหมายจุลภาค 9" xfId="91" xr:uid="{00000000-0005-0000-0000-00002E000000}"/>
    <cellStyle name="จุลภาค" xfId="85" builtinId="3"/>
    <cellStyle name="จุลภาค 2" xfId="48" xr:uid="{00000000-0005-0000-0000-00002F000000}"/>
    <cellStyle name="จุลภาค 3" xfId="84" xr:uid="{00000000-0005-0000-0000-000030000000}"/>
    <cellStyle name="จุลภาค 3 2" xfId="107" xr:uid="{00000000-0005-0000-0000-000031000000}"/>
    <cellStyle name="ปกติ" xfId="0" builtinId="0"/>
    <cellStyle name="ปกติ 10" xfId="97" xr:uid="{00000000-0005-0000-0000-000033000000}"/>
    <cellStyle name="ปกติ 10 2" xfId="108" xr:uid="{00000000-0005-0000-0000-000034000000}"/>
    <cellStyle name="ปกติ 11" xfId="33" xr:uid="{00000000-0005-0000-0000-000035000000}"/>
    <cellStyle name="ปกติ 12" xfId="8" xr:uid="{00000000-0005-0000-0000-000036000000}"/>
    <cellStyle name="ปกติ 13" xfId="14" xr:uid="{00000000-0005-0000-0000-000037000000}"/>
    <cellStyle name="ปกติ 14" xfId="10" xr:uid="{00000000-0005-0000-0000-000038000000}"/>
    <cellStyle name="ปกติ 15" xfId="12" xr:uid="{00000000-0005-0000-0000-000039000000}"/>
    <cellStyle name="ปกติ 16" xfId="15" xr:uid="{00000000-0005-0000-0000-00003A000000}"/>
    <cellStyle name="ปกติ 17" xfId="17" xr:uid="{00000000-0005-0000-0000-00003B000000}"/>
    <cellStyle name="ปกติ 18" xfId="101" xr:uid="{00000000-0005-0000-0000-00003C000000}"/>
    <cellStyle name="ปกติ 19" xfId="35" xr:uid="{00000000-0005-0000-0000-00003D000000}"/>
    <cellStyle name="ปกติ 2" xfId="1" xr:uid="{00000000-0005-0000-0000-00003E000000}"/>
    <cellStyle name="ปกติ 2 2" xfId="2" xr:uid="{00000000-0005-0000-0000-00003F000000}"/>
    <cellStyle name="ปกติ 20" xfId="21" xr:uid="{00000000-0005-0000-0000-000040000000}"/>
    <cellStyle name="ปกติ 21" xfId="19" xr:uid="{00000000-0005-0000-0000-000041000000}"/>
    <cellStyle name="ปกติ 22" xfId="23" xr:uid="{00000000-0005-0000-0000-000042000000}"/>
    <cellStyle name="ปกติ 23" xfId="93" xr:uid="{00000000-0005-0000-0000-000043000000}"/>
    <cellStyle name="ปกติ 24" xfId="25" xr:uid="{00000000-0005-0000-0000-000044000000}"/>
    <cellStyle name="ปกติ 25" xfId="27" xr:uid="{00000000-0005-0000-0000-000045000000}"/>
    <cellStyle name="ปกติ 26" xfId="57" xr:uid="{00000000-0005-0000-0000-000046000000}"/>
    <cellStyle name="ปกติ 27" xfId="29" xr:uid="{00000000-0005-0000-0000-000047000000}"/>
    <cellStyle name="ปกติ 28" xfId="103" xr:uid="{00000000-0005-0000-0000-000048000000}"/>
    <cellStyle name="ปกติ 29" xfId="95" xr:uid="{00000000-0005-0000-0000-000049000000}"/>
    <cellStyle name="ปกติ 3" xfId="83" xr:uid="{00000000-0005-0000-0000-00004A000000}"/>
    <cellStyle name="ปกติ 3 2" xfId="105" xr:uid="{00000000-0005-0000-0000-00004B000000}"/>
    <cellStyle name="ปกติ 30" xfId="109" xr:uid="{EA7848EC-7696-480E-9DFD-8EC5C8690FA3}"/>
    <cellStyle name="ปกติ 32" xfId="31" xr:uid="{00000000-0005-0000-0000-00004C000000}"/>
    <cellStyle name="ปกติ 33" xfId="45" xr:uid="{00000000-0005-0000-0000-00004D000000}"/>
    <cellStyle name="ปกติ 36" xfId="64" xr:uid="{00000000-0005-0000-0000-00004E000000}"/>
    <cellStyle name="ปกติ 37" xfId="68" xr:uid="{00000000-0005-0000-0000-00004F000000}"/>
    <cellStyle name="ปกติ 38" xfId="62" xr:uid="{00000000-0005-0000-0000-000050000000}"/>
    <cellStyle name="ปกติ 39" xfId="70" xr:uid="{00000000-0005-0000-0000-000051000000}"/>
    <cellStyle name="ปกติ 4" xfId="58" xr:uid="{00000000-0005-0000-0000-000052000000}"/>
    <cellStyle name="ปกติ 41" xfId="60" xr:uid="{00000000-0005-0000-0000-000053000000}"/>
    <cellStyle name="ปกติ 43" xfId="72" xr:uid="{00000000-0005-0000-0000-000054000000}"/>
    <cellStyle name="ปกติ 44" xfId="66" xr:uid="{00000000-0005-0000-0000-000055000000}"/>
    <cellStyle name="ปกติ 45" xfId="76" xr:uid="{00000000-0005-0000-0000-000056000000}"/>
    <cellStyle name="ปกติ 47" xfId="37" xr:uid="{00000000-0005-0000-0000-000057000000}"/>
    <cellStyle name="ปกติ 5" xfId="77" xr:uid="{00000000-0005-0000-0000-000058000000}"/>
    <cellStyle name="ปกติ 50" xfId="74" xr:uid="{00000000-0005-0000-0000-000059000000}"/>
    <cellStyle name="ปกติ 51" xfId="56" xr:uid="{00000000-0005-0000-0000-00005A000000}"/>
    <cellStyle name="ปกติ 56" xfId="40" xr:uid="{00000000-0005-0000-0000-00005B000000}"/>
    <cellStyle name="ปกติ 57" xfId="78" xr:uid="{00000000-0005-0000-0000-00005C000000}"/>
    <cellStyle name="ปกติ 58" xfId="89" xr:uid="{00000000-0005-0000-0000-00005D000000}"/>
    <cellStyle name="ปกติ 59" xfId="39" xr:uid="{00000000-0005-0000-0000-00005E000000}"/>
    <cellStyle name="ปกติ 6" xfId="4" xr:uid="{00000000-0005-0000-0000-00005F000000}"/>
    <cellStyle name="ปกติ 61" xfId="80" xr:uid="{00000000-0005-0000-0000-000060000000}"/>
    <cellStyle name="ปกติ 62" xfId="55" xr:uid="{00000000-0005-0000-0000-000061000000}"/>
    <cellStyle name="ปกติ 64" xfId="43" xr:uid="{00000000-0005-0000-0000-000062000000}"/>
    <cellStyle name="ปกติ 68" xfId="46" xr:uid="{00000000-0005-0000-0000-000063000000}"/>
    <cellStyle name="ปกติ 69" xfId="50" xr:uid="{00000000-0005-0000-0000-000064000000}"/>
    <cellStyle name="ปกติ 7" xfId="86" xr:uid="{00000000-0005-0000-0000-000065000000}"/>
    <cellStyle name="ปกติ 70" xfId="49" xr:uid="{00000000-0005-0000-0000-000066000000}"/>
    <cellStyle name="ปกติ 71" xfId="53" xr:uid="{00000000-0005-0000-0000-000067000000}"/>
    <cellStyle name="ปกติ 8" xfId="6" xr:uid="{00000000-0005-0000-0000-000068000000}"/>
    <cellStyle name="ปกติ 9" xfId="87" xr:uid="{00000000-0005-0000-0000-000069000000}"/>
    <cellStyle name="ปกติ 9 2" xfId="90" xr:uid="{00000000-0005-0000-0000-00006A000000}"/>
    <cellStyle name="ปกติ 9 3" xfId="104" xr:uid="{00000000-0005-0000-0000-00006B000000}"/>
    <cellStyle name="ปกติ 9 4" xfId="110" xr:uid="{7BC97226-12D3-4541-8FBA-154B201F1557}"/>
    <cellStyle name="ปกติ_400" xfId="99" xr:uid="{00000000-0005-0000-0000-00006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26;&#3619;&#3640;&#3611;&#3588;&#3619;&#3640;&#3616;&#3633;&#3603;&#3601;&#3660;%20&#3611;&#3619;&#3632;&#3592;&#3635;&#3611;&#3637;%202567%20(&#3626;&#3635;&#3609;&#3633;&#3585;&#3585;&#3634;&#3619;&#3624;&#3638;&#3585;&#3625;&#3634;)%20&#3592;&#3634;&#3585;&#3585;&#3629;&#3591;&#3588;&#3621;&#3633;&#3591;%200710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_V3.7"/>
      <sheetName val="สำนักการศึกษา"/>
      <sheetName val="ASSET_GROUP"/>
      <sheetName val="ASSET_CATEGORY"/>
      <sheetName val="CONFIG"/>
      <sheetName val="ASSET_TYPE"/>
      <sheetName val="RECEIVE_TYPE"/>
      <sheetName val="EXPENSE_JOB"/>
      <sheetName val="CREDIT_ACCOUNT"/>
      <sheetName val="ASSET_SOURCE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ที่ดิน</v>
          </cell>
        </row>
        <row r="3">
          <cell r="A3" t="str">
            <v>อาคาร</v>
          </cell>
        </row>
        <row r="4">
          <cell r="A4" t="str">
            <v>สิ่งปลูกสร้าง</v>
          </cell>
        </row>
        <row r="5">
          <cell r="A5" t="str">
            <v>ครุภัณฑ์</v>
          </cell>
        </row>
        <row r="6">
          <cell r="A6" t="str">
            <v>สินทรัพย์โครงสร้างพื้นฐาน</v>
          </cell>
        </row>
        <row r="7">
          <cell r="A7" t="str">
            <v>สินทรัพย์ไม่มีตัวตน</v>
          </cell>
        </row>
        <row r="8">
          <cell r="A8" t="str">
            <v>อสังหาริมทรัพย์เพื่อการลงทุน</v>
          </cell>
        </row>
        <row r="9">
          <cell r="A9" t="str">
            <v>สินทรัพย์_ภายใต้สัญญาเช่าการเงิน</v>
          </cell>
        </row>
      </sheetData>
      <sheetData sheetId="4">
        <row r="2">
          <cell r="B2" t="str">
            <v>แสดง</v>
          </cell>
          <cell r="C2" t="str">
            <v>ไม่คำนวณค่าเสื่อม</v>
          </cell>
        </row>
        <row r="3">
          <cell r="B3" t="str">
            <v>ไม่แสดง</v>
          </cell>
          <cell r="C3" t="str">
            <v>คำนวณค่าเสื่อม</v>
          </cell>
        </row>
      </sheetData>
      <sheetData sheetId="5" refreshError="1"/>
      <sheetData sheetId="6">
        <row r="2">
          <cell r="B2" t="str">
            <v>ซื้อ/จ้าง</v>
          </cell>
          <cell r="D2" t="str">
            <v>ส่งคืน</v>
          </cell>
        </row>
        <row r="3">
          <cell r="B3" t="str">
            <v>รับบริจาค</v>
          </cell>
          <cell r="D3" t="str">
            <v>ไม่ส่งคืน</v>
          </cell>
        </row>
        <row r="4">
          <cell r="B4" t="str">
            <v>รับโอน</v>
          </cell>
        </row>
      </sheetData>
      <sheetData sheetId="7">
        <row r="2">
          <cell r="B2" t="str">
            <v>งบกลาง</v>
          </cell>
        </row>
        <row r="3">
          <cell r="B3" t="str">
            <v>งานบริหารทั่วไป</v>
          </cell>
        </row>
        <row r="4">
          <cell r="B4" t="str">
            <v>งานวางแผนสถิติและวิชาการ</v>
          </cell>
        </row>
        <row r="5">
          <cell r="B5" t="str">
            <v>งานบริหารงานคลัง</v>
          </cell>
        </row>
        <row r="6">
          <cell r="B6" t="str">
            <v>งานควบคุมภายในและการตรวจสอบภายใน</v>
          </cell>
        </row>
        <row r="7">
          <cell r="B7" t="str">
            <v>งานสารสนเทศ</v>
          </cell>
        </row>
        <row r="8">
          <cell r="B8" t="str">
            <v>งานบริหารทั่วไปเกี่ยวกับการรักษาความสงบภายใน</v>
          </cell>
        </row>
        <row r="9">
          <cell r="B9" t="str">
            <v>งานเทศกิจ</v>
          </cell>
        </row>
        <row r="10">
          <cell r="B10" t="str">
            <v>งานป้องกันและบรรเทาสาธารณภัย</v>
          </cell>
        </row>
        <row r="11">
          <cell r="B11" t="str">
            <v>งานจราจร</v>
          </cell>
        </row>
        <row r="12">
          <cell r="B12" t="str">
            <v>งานบริหารทั่วไปเกี่ยวกับการศึกษา</v>
          </cell>
        </row>
        <row r="13">
          <cell r="B13" t="str">
            <v>งานระดับก่อนวัยเรียนและประถมศึกษา</v>
          </cell>
        </row>
        <row r="14">
          <cell r="B14" t="str">
            <v>งานระดับมัธยมศึกษา</v>
          </cell>
        </row>
        <row r="15">
          <cell r="B15" t="str">
            <v>งานศึกษาไม่กำหนดระดับ</v>
          </cell>
        </row>
        <row r="16">
          <cell r="B16" t="str">
            <v>งานบริหารทั่วไปเกี่ยวกับสาธารณสุข</v>
          </cell>
        </row>
        <row r="17">
          <cell r="B17" t="str">
            <v>งานโรงพยาบาล</v>
          </cell>
        </row>
        <row r="18">
          <cell r="B18" t="str">
            <v>งานบริการสาธารณสุขและงานสาธารณสุขอื่น</v>
          </cell>
        </row>
        <row r="19">
          <cell r="B19" t="str">
            <v>งานศูนย์บริการสาธารณสุข</v>
          </cell>
        </row>
        <row r="20">
          <cell r="B20" t="str">
            <v>งานบริหารทั่วไปเกี่ยวกับสังคมสงเคราะห์</v>
          </cell>
        </row>
        <row r="21">
          <cell r="B21" t="str">
            <v>งานสวัสดิการสังคมและสังคมสงเคราะห์</v>
          </cell>
        </row>
        <row r="22">
          <cell r="B22" t="str">
            <v>งานบริหารทั่วไปเกี่ยวกับเคหะและชุมชน</v>
          </cell>
        </row>
        <row r="23">
          <cell r="B23" t="str">
            <v>งานไฟฟ้าและประปา</v>
          </cell>
        </row>
        <row r="24">
          <cell r="B24" t="str">
            <v>งานสวนสาธารณะ</v>
          </cell>
        </row>
        <row r="25">
          <cell r="B25" t="str">
            <v>งานกำจัดขยะมูลฝอยและสิ่งปฏิกูล</v>
          </cell>
        </row>
        <row r="26">
          <cell r="B26" t="str">
            <v>งานบำบัดน้ำเสีย</v>
          </cell>
        </row>
        <row r="27">
          <cell r="B27" t="str">
            <v>งานบริหารทั่วไปเกี่ยวกับสร้างความเข้มแข็งของชุมชน</v>
          </cell>
        </row>
        <row r="28">
          <cell r="B28" t="str">
            <v>งานส่งเสริมและสนับสนุนความเข้มแข็งชุมชน</v>
          </cell>
        </row>
        <row r="29">
          <cell r="B29" t="str">
            <v>งานบริหารทั่วไปเกี่ยวกับศาสนา วัฒนธรรม และนันทนาการ</v>
          </cell>
        </row>
        <row r="30">
          <cell r="B30" t="str">
            <v>งานกีฬาและนันทนาการ</v>
          </cell>
        </row>
        <row r="31">
          <cell r="B31" t="str">
            <v>งานศาสนาวัฒนธรรมท้องถิ่น</v>
          </cell>
        </row>
        <row r="32">
          <cell r="B32" t="str">
            <v>งานวิชาการวางแผนและส่งเสริมการท่องเที่ยว</v>
          </cell>
        </row>
        <row r="33">
          <cell r="B33" t="str">
            <v>งานบริหารทั่วไปเกี่ยวกับอุตสาหกรรมและการโยธา</v>
          </cell>
        </row>
        <row r="34">
          <cell r="B34" t="str">
            <v>งานก่อสร้าง</v>
          </cell>
        </row>
        <row r="35">
          <cell r="B35" t="str">
            <v>งานส่งเสริมการเกษตร</v>
          </cell>
        </row>
        <row r="36">
          <cell r="B36" t="str">
            <v>งานสิ่งแวดล้อมและทรัพยากรธรรมชาติ</v>
          </cell>
        </row>
        <row r="37">
          <cell r="B37" t="str">
            <v>งานกิจการสถานธนานุบาล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E1000"/>
  <sheetViews>
    <sheetView zoomScale="87" zoomScaleNormal="87" workbookViewId="0">
      <selection activeCell="L14" sqref="L14"/>
    </sheetView>
  </sheetViews>
  <sheetFormatPr defaultColWidth="14.42578125" defaultRowHeight="15" customHeight="1" x14ac:dyDescent="0.35"/>
  <cols>
    <col min="1" max="1" width="3.140625" style="15" customWidth="1"/>
    <col min="2" max="2" width="31.28515625" style="15" customWidth="1"/>
    <col min="3" max="3" width="14.140625" style="15" customWidth="1"/>
    <col min="4" max="4" width="17.5703125" style="15" bestFit="1" customWidth="1"/>
    <col min="5" max="5" width="19.5703125" style="15" customWidth="1"/>
    <col min="6" max="6" width="9" style="15" customWidth="1"/>
    <col min="7" max="26" width="8.7109375" style="15" customWidth="1"/>
    <col min="27" max="16384" width="14.42578125" style="15"/>
  </cols>
  <sheetData>
    <row r="1" spans="1:5" ht="19.5" customHeight="1" x14ac:dyDescent="0.35">
      <c r="A1" s="872" t="s">
        <v>4525</v>
      </c>
      <c r="B1" s="873"/>
      <c r="C1" s="873"/>
      <c r="D1" s="873"/>
      <c r="E1" s="873"/>
    </row>
    <row r="2" spans="1:5" ht="19.5" customHeight="1" x14ac:dyDescent="0.35">
      <c r="A2" s="872" t="s">
        <v>6</v>
      </c>
      <c r="B2" s="873"/>
      <c r="C2" s="873"/>
      <c r="D2" s="873"/>
      <c r="E2" s="873"/>
    </row>
    <row r="3" spans="1:5" ht="19.5" customHeight="1" x14ac:dyDescent="0.35">
      <c r="A3" s="872" t="s">
        <v>4526</v>
      </c>
      <c r="B3" s="873"/>
      <c r="C3" s="873"/>
      <c r="D3" s="873"/>
      <c r="E3" s="873"/>
    </row>
    <row r="4" spans="1:5" ht="19.5" customHeight="1" x14ac:dyDescent="0.35">
      <c r="B4" s="653" t="s">
        <v>4527</v>
      </c>
      <c r="C4" s="654" t="s">
        <v>4528</v>
      </c>
      <c r="D4" s="655" t="s">
        <v>4529</v>
      </c>
      <c r="E4" s="653" t="s">
        <v>3</v>
      </c>
    </row>
    <row r="5" spans="1:5" ht="19.5" customHeight="1" x14ac:dyDescent="0.35">
      <c r="B5" s="656" t="s">
        <v>36</v>
      </c>
      <c r="C5" s="657">
        <f>สำนักงาน!A870</f>
        <v>865</v>
      </c>
      <c r="D5" s="658">
        <f>สำนักงาน!F871</f>
        <v>12530511.799999997</v>
      </c>
      <c r="E5" s="659"/>
    </row>
    <row r="6" spans="1:5" ht="19.5" customHeight="1" x14ac:dyDescent="0.35">
      <c r="B6" s="656" t="s">
        <v>4339</v>
      </c>
      <c r="C6" s="657">
        <f>ยานพาหนะ!A6</f>
        <v>1</v>
      </c>
      <c r="D6" s="660">
        <f>ยานพาหนะ!F7</f>
        <v>50000</v>
      </c>
      <c r="E6" s="659"/>
    </row>
    <row r="7" spans="1:5" ht="19.5" customHeight="1" x14ac:dyDescent="0.35">
      <c r="B7" s="656" t="s">
        <v>152</v>
      </c>
      <c r="C7" s="661">
        <f>ไฟฟ้าและวิทยุ!A180</f>
        <v>175</v>
      </c>
      <c r="D7" s="660">
        <f>ไฟฟ้าและวิทยุ!F181</f>
        <v>3035818.430000002</v>
      </c>
      <c r="E7" s="659"/>
    </row>
    <row r="8" spans="1:5" ht="19.5" customHeight="1" x14ac:dyDescent="0.35">
      <c r="B8" s="656" t="s">
        <v>4341</v>
      </c>
      <c r="C8" s="774">
        <f>โฆษณา!A51</f>
        <v>46</v>
      </c>
      <c r="D8" s="775">
        <f>โฆษณา!F52</f>
        <v>4061756.15</v>
      </c>
      <c r="E8" s="659"/>
    </row>
    <row r="9" spans="1:5" ht="19.5" customHeight="1" x14ac:dyDescent="0.35">
      <c r="B9" s="656" t="s">
        <v>4343</v>
      </c>
      <c r="C9" s="657">
        <f>การเกษตร!A8</f>
        <v>3</v>
      </c>
      <c r="D9" s="660">
        <f>การเกษตร!F9</f>
        <v>46650</v>
      </c>
      <c r="E9" s="659"/>
    </row>
    <row r="10" spans="1:5" ht="19.5" customHeight="1" x14ac:dyDescent="0.35">
      <c r="B10" s="656" t="s">
        <v>4348</v>
      </c>
      <c r="C10" s="657">
        <f>โรงงาน!A7</f>
        <v>2</v>
      </c>
      <c r="D10" s="660">
        <f>โรงงาน!F8</f>
        <v>7200</v>
      </c>
      <c r="E10" s="659"/>
    </row>
    <row r="11" spans="1:5" ht="19.5" customHeight="1" x14ac:dyDescent="0.35">
      <c r="B11" s="656" t="s">
        <v>4347</v>
      </c>
      <c r="C11" s="657">
        <f>ก่อสร้าง!A6</f>
        <v>1</v>
      </c>
      <c r="D11" s="660">
        <f>ก่อสร้าง!F7</f>
        <v>3600</v>
      </c>
      <c r="E11" s="659"/>
    </row>
    <row r="12" spans="1:5" ht="19.5" customHeight="1" x14ac:dyDescent="0.35">
      <c r="B12" s="656" t="s">
        <v>4530</v>
      </c>
      <c r="C12" s="657" t="s">
        <v>5002</v>
      </c>
      <c r="D12" s="657" t="s">
        <v>5002</v>
      </c>
      <c r="E12" s="659"/>
    </row>
    <row r="13" spans="1:5" ht="19.5" customHeight="1" x14ac:dyDescent="0.35">
      <c r="B13" s="656" t="s">
        <v>4531</v>
      </c>
      <c r="C13" s="657">
        <f>วิทยาศาสตร์!A17</f>
        <v>12</v>
      </c>
      <c r="D13" s="660">
        <f>วิทยาศาสตร์!F18</f>
        <v>83170</v>
      </c>
      <c r="E13" s="659"/>
    </row>
    <row r="14" spans="1:5" ht="19.5" customHeight="1" x14ac:dyDescent="0.35">
      <c r="B14" s="656" t="s">
        <v>184</v>
      </c>
      <c r="C14" s="657">
        <f>คอมพิวเตอร์!A295</f>
        <v>290</v>
      </c>
      <c r="D14" s="660">
        <f>คอมพิวเตอร์!F296</f>
        <v>6001896.4800000004</v>
      </c>
      <c r="E14" s="659"/>
    </row>
    <row r="15" spans="1:5" ht="19.5" customHeight="1" x14ac:dyDescent="0.35">
      <c r="B15" s="656" t="s">
        <v>4338</v>
      </c>
      <c r="C15" s="657">
        <f>การศึกษา!A10</f>
        <v>5</v>
      </c>
      <c r="D15" s="660">
        <f>การศึกษา!F11</f>
        <v>130000</v>
      </c>
      <c r="E15" s="659"/>
    </row>
    <row r="16" spans="1:5" ht="19.5" customHeight="1" x14ac:dyDescent="0.35">
      <c r="B16" s="656" t="s">
        <v>4340</v>
      </c>
      <c r="C16" s="657">
        <f>งานบ้าน!A50</f>
        <v>45</v>
      </c>
      <c r="D16" s="660">
        <f>งานบ้าน!F51</f>
        <v>500556</v>
      </c>
      <c r="E16" s="659"/>
    </row>
    <row r="17" spans="2:5" ht="19.5" customHeight="1" x14ac:dyDescent="0.35">
      <c r="B17" s="656" t="s">
        <v>154</v>
      </c>
      <c r="C17" s="657">
        <f>กีฬา!A282</f>
        <v>277</v>
      </c>
      <c r="D17" s="660">
        <f>กีฬา!F283</f>
        <v>24048740.949999984</v>
      </c>
      <c r="E17" s="659"/>
    </row>
    <row r="18" spans="2:5" ht="19.5" customHeight="1" x14ac:dyDescent="0.35">
      <c r="B18" s="656" t="s">
        <v>4532</v>
      </c>
      <c r="C18" s="657" t="s">
        <v>5002</v>
      </c>
      <c r="D18" s="657" t="s">
        <v>5002</v>
      </c>
      <c r="E18" s="659"/>
    </row>
    <row r="19" spans="2:5" ht="19.5" customHeight="1" x14ac:dyDescent="0.35">
      <c r="B19" s="656" t="s">
        <v>4342</v>
      </c>
      <c r="C19" s="657">
        <f>อื่นๆ!A16</f>
        <v>11</v>
      </c>
      <c r="D19" s="660">
        <f>อื่นๆ!F17</f>
        <v>982556</v>
      </c>
      <c r="E19" s="659"/>
    </row>
    <row r="20" spans="2:5" ht="19.5" customHeight="1" x14ac:dyDescent="0.35">
      <c r="B20" s="662" t="s">
        <v>4533</v>
      </c>
      <c r="C20" s="667">
        <f>SUM(C5:C19)</f>
        <v>1733</v>
      </c>
      <c r="D20" s="663">
        <f>SUM(D5:D19)</f>
        <v>51482455.809999987</v>
      </c>
      <c r="E20" s="664"/>
    </row>
    <row r="21" spans="2:5" ht="19.5" customHeight="1" x14ac:dyDescent="0.35">
      <c r="C21" s="665"/>
      <c r="D21" s="666"/>
    </row>
    <row r="22" spans="2:5" ht="19.5" customHeight="1" x14ac:dyDescent="0.35">
      <c r="C22" s="665"/>
      <c r="D22" s="666"/>
    </row>
    <row r="23" spans="2:5" ht="19.5" customHeight="1" x14ac:dyDescent="0.35">
      <c r="C23" s="665"/>
      <c r="D23" s="666"/>
    </row>
    <row r="24" spans="2:5" ht="19.5" customHeight="1" x14ac:dyDescent="0.35">
      <c r="C24" s="665"/>
      <c r="D24" s="666"/>
    </row>
    <row r="25" spans="2:5" ht="19.5" customHeight="1" x14ac:dyDescent="0.35">
      <c r="C25" s="665"/>
      <c r="D25" s="666"/>
    </row>
    <row r="26" spans="2:5" ht="19.5" customHeight="1" x14ac:dyDescent="0.35">
      <c r="C26" s="665"/>
      <c r="D26" s="666"/>
    </row>
    <row r="27" spans="2:5" ht="19.5" customHeight="1" x14ac:dyDescent="0.35">
      <c r="C27" s="665"/>
      <c r="D27" s="666"/>
    </row>
    <row r="28" spans="2:5" ht="19.5" customHeight="1" x14ac:dyDescent="0.35">
      <c r="C28" s="665"/>
      <c r="D28" s="666"/>
    </row>
    <row r="29" spans="2:5" ht="19.5" customHeight="1" x14ac:dyDescent="0.35">
      <c r="C29" s="665"/>
      <c r="D29" s="666"/>
    </row>
    <row r="30" spans="2:5" ht="19.5" customHeight="1" x14ac:dyDescent="0.35">
      <c r="C30" s="665"/>
      <c r="D30" s="666"/>
    </row>
    <row r="31" spans="2:5" ht="19.5" customHeight="1" x14ac:dyDescent="0.35">
      <c r="C31" s="665"/>
      <c r="D31" s="666"/>
    </row>
    <row r="32" spans="2:5" ht="19.5" customHeight="1" x14ac:dyDescent="0.35">
      <c r="D32" s="666"/>
    </row>
    <row r="33" spans="4:4" ht="19.5" customHeight="1" x14ac:dyDescent="0.35">
      <c r="D33" s="666"/>
    </row>
    <row r="34" spans="4:4" ht="19.5" customHeight="1" x14ac:dyDescent="0.35">
      <c r="D34" s="666"/>
    </row>
    <row r="35" spans="4:4" ht="19.5" customHeight="1" x14ac:dyDescent="0.35">
      <c r="D35" s="666"/>
    </row>
    <row r="36" spans="4:4" ht="19.5" customHeight="1" x14ac:dyDescent="0.35">
      <c r="D36" s="666"/>
    </row>
    <row r="37" spans="4:4" ht="19.5" customHeight="1" x14ac:dyDescent="0.35">
      <c r="D37" s="666"/>
    </row>
    <row r="38" spans="4:4" ht="19.5" customHeight="1" x14ac:dyDescent="0.35">
      <c r="D38" s="666"/>
    </row>
    <row r="39" spans="4:4" ht="19.5" customHeight="1" x14ac:dyDescent="0.35">
      <c r="D39" s="666"/>
    </row>
    <row r="40" spans="4:4" ht="19.5" customHeight="1" x14ac:dyDescent="0.35">
      <c r="D40" s="666"/>
    </row>
    <row r="41" spans="4:4" ht="19.5" customHeight="1" x14ac:dyDescent="0.35">
      <c r="D41" s="666"/>
    </row>
    <row r="42" spans="4:4" ht="19.5" customHeight="1" x14ac:dyDescent="0.35">
      <c r="D42" s="666"/>
    </row>
    <row r="43" spans="4:4" ht="19.5" customHeight="1" x14ac:dyDescent="0.35">
      <c r="D43" s="666"/>
    </row>
    <row r="44" spans="4:4" ht="19.5" customHeight="1" x14ac:dyDescent="0.35">
      <c r="D44" s="666"/>
    </row>
    <row r="45" spans="4:4" ht="19.5" customHeight="1" x14ac:dyDescent="0.35">
      <c r="D45" s="666"/>
    </row>
    <row r="46" spans="4:4" ht="19.5" customHeight="1" x14ac:dyDescent="0.35">
      <c r="D46" s="666"/>
    </row>
    <row r="47" spans="4:4" ht="19.5" customHeight="1" x14ac:dyDescent="0.35">
      <c r="D47" s="666"/>
    </row>
    <row r="48" spans="4:4" ht="19.5" customHeight="1" x14ac:dyDescent="0.35">
      <c r="D48" s="666"/>
    </row>
    <row r="49" spans="3:4" ht="19.5" customHeight="1" x14ac:dyDescent="0.35">
      <c r="D49" s="666"/>
    </row>
    <row r="50" spans="3:4" ht="19.5" customHeight="1" x14ac:dyDescent="0.35">
      <c r="D50" s="666"/>
    </row>
    <row r="51" spans="3:4" ht="19.5" customHeight="1" x14ac:dyDescent="0.35">
      <c r="D51" s="666"/>
    </row>
    <row r="52" spans="3:4" ht="19.5" customHeight="1" x14ac:dyDescent="0.35">
      <c r="D52" s="666"/>
    </row>
    <row r="53" spans="3:4" ht="19.5" customHeight="1" x14ac:dyDescent="0.35">
      <c r="D53" s="666"/>
    </row>
    <row r="54" spans="3:4" ht="19.5" customHeight="1" x14ac:dyDescent="0.35">
      <c r="D54" s="666"/>
    </row>
    <row r="55" spans="3:4" ht="19.5" customHeight="1" x14ac:dyDescent="0.35">
      <c r="D55" s="666"/>
    </row>
    <row r="56" spans="3:4" ht="19.5" customHeight="1" x14ac:dyDescent="0.35">
      <c r="D56" s="666"/>
    </row>
    <row r="57" spans="3:4" ht="19.5" customHeight="1" x14ac:dyDescent="0.35">
      <c r="D57" s="666"/>
    </row>
    <row r="58" spans="3:4" ht="19.5" customHeight="1" x14ac:dyDescent="0.35">
      <c r="D58" s="666"/>
    </row>
    <row r="59" spans="3:4" ht="19.5" customHeight="1" x14ac:dyDescent="0.35">
      <c r="D59" s="666"/>
    </row>
    <row r="60" spans="3:4" ht="19.5" customHeight="1" x14ac:dyDescent="0.35">
      <c r="D60" s="666"/>
    </row>
    <row r="61" spans="3:4" ht="19.5" customHeight="1" x14ac:dyDescent="0.35">
      <c r="D61" s="666"/>
    </row>
    <row r="62" spans="3:4" ht="19.5" customHeight="1" x14ac:dyDescent="0.35">
      <c r="C62" s="665"/>
      <c r="D62" s="666"/>
    </row>
    <row r="63" spans="3:4" ht="19.5" customHeight="1" x14ac:dyDescent="0.35">
      <c r="C63" s="665"/>
      <c r="D63" s="666"/>
    </row>
    <row r="64" spans="3:4" ht="19.5" customHeight="1" x14ac:dyDescent="0.35">
      <c r="C64" s="665"/>
      <c r="D64" s="666"/>
    </row>
    <row r="65" spans="3:4" ht="19.5" customHeight="1" x14ac:dyDescent="0.35">
      <c r="C65" s="665"/>
      <c r="D65" s="666"/>
    </row>
    <row r="66" spans="3:4" ht="19.5" customHeight="1" x14ac:dyDescent="0.35">
      <c r="C66" s="665"/>
      <c r="D66" s="666"/>
    </row>
    <row r="67" spans="3:4" ht="19.5" customHeight="1" x14ac:dyDescent="0.35">
      <c r="C67" s="665"/>
      <c r="D67" s="666"/>
    </row>
    <row r="68" spans="3:4" ht="19.5" customHeight="1" x14ac:dyDescent="0.35">
      <c r="C68" s="665"/>
      <c r="D68" s="666"/>
    </row>
    <row r="69" spans="3:4" ht="19.5" customHeight="1" x14ac:dyDescent="0.35">
      <c r="C69" s="665"/>
      <c r="D69" s="666"/>
    </row>
    <row r="70" spans="3:4" ht="19.5" customHeight="1" x14ac:dyDescent="0.35">
      <c r="C70" s="665"/>
      <c r="D70" s="666"/>
    </row>
    <row r="71" spans="3:4" ht="19.5" customHeight="1" x14ac:dyDescent="0.35">
      <c r="C71" s="665"/>
      <c r="D71" s="666"/>
    </row>
    <row r="72" spans="3:4" ht="19.5" customHeight="1" x14ac:dyDescent="0.35">
      <c r="C72" s="665"/>
      <c r="D72" s="666"/>
    </row>
    <row r="73" spans="3:4" ht="19.5" customHeight="1" x14ac:dyDescent="0.35">
      <c r="C73" s="665"/>
      <c r="D73" s="666"/>
    </row>
    <row r="74" spans="3:4" ht="19.5" customHeight="1" x14ac:dyDescent="0.35">
      <c r="C74" s="665"/>
      <c r="D74" s="666"/>
    </row>
    <row r="75" spans="3:4" ht="19.5" customHeight="1" x14ac:dyDescent="0.35">
      <c r="C75" s="665"/>
      <c r="D75" s="666"/>
    </row>
    <row r="76" spans="3:4" ht="19.5" customHeight="1" x14ac:dyDescent="0.35">
      <c r="C76" s="665"/>
      <c r="D76" s="666"/>
    </row>
    <row r="77" spans="3:4" ht="19.5" customHeight="1" x14ac:dyDescent="0.35">
      <c r="C77" s="665"/>
      <c r="D77" s="666"/>
    </row>
    <row r="78" spans="3:4" ht="19.5" customHeight="1" x14ac:dyDescent="0.35">
      <c r="C78" s="665"/>
      <c r="D78" s="666"/>
    </row>
    <row r="79" spans="3:4" ht="19.5" customHeight="1" x14ac:dyDescent="0.35">
      <c r="C79" s="665"/>
      <c r="D79" s="666"/>
    </row>
    <row r="80" spans="3:4" ht="19.5" customHeight="1" x14ac:dyDescent="0.35">
      <c r="C80" s="665"/>
      <c r="D80" s="666"/>
    </row>
    <row r="81" spans="3:4" ht="19.5" customHeight="1" x14ac:dyDescent="0.35">
      <c r="C81" s="665"/>
      <c r="D81" s="666"/>
    </row>
    <row r="82" spans="3:4" ht="19.5" customHeight="1" x14ac:dyDescent="0.35">
      <c r="C82" s="665"/>
      <c r="D82" s="666"/>
    </row>
    <row r="83" spans="3:4" ht="19.5" customHeight="1" x14ac:dyDescent="0.35">
      <c r="C83" s="665"/>
      <c r="D83" s="666"/>
    </row>
    <row r="84" spans="3:4" ht="19.5" customHeight="1" x14ac:dyDescent="0.35">
      <c r="C84" s="665"/>
      <c r="D84" s="666"/>
    </row>
    <row r="85" spans="3:4" ht="19.5" customHeight="1" x14ac:dyDescent="0.35">
      <c r="C85" s="665"/>
      <c r="D85" s="666"/>
    </row>
    <row r="86" spans="3:4" ht="19.5" customHeight="1" x14ac:dyDescent="0.35">
      <c r="C86" s="665"/>
      <c r="D86" s="666"/>
    </row>
    <row r="87" spans="3:4" ht="19.5" customHeight="1" x14ac:dyDescent="0.35">
      <c r="C87" s="665"/>
      <c r="D87" s="666"/>
    </row>
    <row r="88" spans="3:4" ht="19.5" customHeight="1" x14ac:dyDescent="0.35">
      <c r="C88" s="665"/>
      <c r="D88" s="666"/>
    </row>
    <row r="89" spans="3:4" ht="19.5" customHeight="1" x14ac:dyDescent="0.35">
      <c r="C89" s="665"/>
      <c r="D89" s="666"/>
    </row>
    <row r="90" spans="3:4" ht="19.5" customHeight="1" x14ac:dyDescent="0.35">
      <c r="C90" s="665"/>
      <c r="D90" s="666"/>
    </row>
    <row r="91" spans="3:4" ht="19.5" customHeight="1" x14ac:dyDescent="0.35">
      <c r="C91" s="665"/>
      <c r="D91" s="666"/>
    </row>
    <row r="92" spans="3:4" ht="19.5" customHeight="1" x14ac:dyDescent="0.35">
      <c r="C92" s="665"/>
      <c r="D92" s="666"/>
    </row>
    <row r="93" spans="3:4" ht="19.5" customHeight="1" x14ac:dyDescent="0.35">
      <c r="C93" s="665"/>
      <c r="D93" s="666"/>
    </row>
    <row r="94" spans="3:4" ht="19.5" customHeight="1" x14ac:dyDescent="0.35">
      <c r="C94" s="665"/>
      <c r="D94" s="666"/>
    </row>
    <row r="95" spans="3:4" ht="19.5" customHeight="1" x14ac:dyDescent="0.35">
      <c r="C95" s="665"/>
      <c r="D95" s="666"/>
    </row>
    <row r="96" spans="3:4" ht="19.5" customHeight="1" x14ac:dyDescent="0.35">
      <c r="C96" s="665"/>
      <c r="D96" s="666"/>
    </row>
    <row r="97" spans="3:4" ht="19.5" customHeight="1" x14ac:dyDescent="0.35">
      <c r="C97" s="665"/>
      <c r="D97" s="666"/>
    </row>
    <row r="98" spans="3:4" ht="19.5" customHeight="1" x14ac:dyDescent="0.35">
      <c r="C98" s="665"/>
      <c r="D98" s="666"/>
    </row>
    <row r="99" spans="3:4" ht="19.5" customHeight="1" x14ac:dyDescent="0.35">
      <c r="C99" s="665"/>
      <c r="D99" s="666"/>
    </row>
    <row r="100" spans="3:4" ht="19.5" customHeight="1" x14ac:dyDescent="0.35">
      <c r="C100" s="665"/>
      <c r="D100" s="666"/>
    </row>
    <row r="101" spans="3:4" ht="19.5" customHeight="1" x14ac:dyDescent="0.35">
      <c r="C101" s="665"/>
      <c r="D101" s="666"/>
    </row>
    <row r="102" spans="3:4" ht="19.5" customHeight="1" x14ac:dyDescent="0.35">
      <c r="C102" s="665"/>
      <c r="D102" s="666"/>
    </row>
    <row r="103" spans="3:4" ht="19.5" customHeight="1" x14ac:dyDescent="0.35">
      <c r="C103" s="665"/>
      <c r="D103" s="666"/>
    </row>
    <row r="104" spans="3:4" ht="19.5" customHeight="1" x14ac:dyDescent="0.35">
      <c r="C104" s="665"/>
      <c r="D104" s="666"/>
    </row>
    <row r="105" spans="3:4" ht="19.5" customHeight="1" x14ac:dyDescent="0.35">
      <c r="C105" s="665"/>
      <c r="D105" s="666"/>
    </row>
    <row r="106" spans="3:4" ht="19.5" customHeight="1" x14ac:dyDescent="0.35">
      <c r="C106" s="665"/>
      <c r="D106" s="666"/>
    </row>
    <row r="107" spans="3:4" ht="19.5" customHeight="1" x14ac:dyDescent="0.35">
      <c r="C107" s="665"/>
      <c r="D107" s="666"/>
    </row>
    <row r="108" spans="3:4" ht="19.5" customHeight="1" x14ac:dyDescent="0.35">
      <c r="C108" s="665"/>
      <c r="D108" s="666"/>
    </row>
    <row r="109" spans="3:4" ht="19.5" customHeight="1" x14ac:dyDescent="0.35">
      <c r="C109" s="665"/>
      <c r="D109" s="666"/>
    </row>
    <row r="110" spans="3:4" ht="19.5" customHeight="1" x14ac:dyDescent="0.35">
      <c r="C110" s="665"/>
      <c r="D110" s="666"/>
    </row>
    <row r="111" spans="3:4" ht="19.5" customHeight="1" x14ac:dyDescent="0.35">
      <c r="C111" s="665"/>
      <c r="D111" s="666"/>
    </row>
    <row r="112" spans="3:4" ht="19.5" customHeight="1" x14ac:dyDescent="0.35">
      <c r="C112" s="665"/>
      <c r="D112" s="666"/>
    </row>
    <row r="113" spans="3:4" ht="19.5" customHeight="1" x14ac:dyDescent="0.35">
      <c r="C113" s="665"/>
      <c r="D113" s="666"/>
    </row>
    <row r="114" spans="3:4" ht="19.5" customHeight="1" x14ac:dyDescent="0.35">
      <c r="C114" s="665"/>
      <c r="D114" s="666"/>
    </row>
    <row r="115" spans="3:4" ht="19.5" customHeight="1" x14ac:dyDescent="0.35">
      <c r="C115" s="665"/>
      <c r="D115" s="666"/>
    </row>
    <row r="116" spans="3:4" ht="19.5" customHeight="1" x14ac:dyDescent="0.35">
      <c r="C116" s="665"/>
      <c r="D116" s="666"/>
    </row>
    <row r="117" spans="3:4" ht="19.5" customHeight="1" x14ac:dyDescent="0.35">
      <c r="C117" s="665"/>
      <c r="D117" s="666"/>
    </row>
    <row r="118" spans="3:4" ht="19.5" customHeight="1" x14ac:dyDescent="0.35">
      <c r="C118" s="665"/>
      <c r="D118" s="666"/>
    </row>
    <row r="119" spans="3:4" ht="19.5" customHeight="1" x14ac:dyDescent="0.35">
      <c r="C119" s="665"/>
      <c r="D119" s="666"/>
    </row>
    <row r="120" spans="3:4" ht="19.5" customHeight="1" x14ac:dyDescent="0.35">
      <c r="C120" s="665"/>
      <c r="D120" s="666"/>
    </row>
    <row r="121" spans="3:4" ht="19.5" customHeight="1" x14ac:dyDescent="0.35">
      <c r="C121" s="665"/>
      <c r="D121" s="666"/>
    </row>
    <row r="122" spans="3:4" ht="19.5" customHeight="1" x14ac:dyDescent="0.35">
      <c r="C122" s="665"/>
      <c r="D122" s="666"/>
    </row>
    <row r="123" spans="3:4" ht="19.5" customHeight="1" x14ac:dyDescent="0.35">
      <c r="C123" s="665"/>
      <c r="D123" s="666"/>
    </row>
    <row r="124" spans="3:4" ht="19.5" customHeight="1" x14ac:dyDescent="0.35">
      <c r="C124" s="665"/>
      <c r="D124" s="666"/>
    </row>
    <row r="125" spans="3:4" ht="19.5" customHeight="1" x14ac:dyDescent="0.35">
      <c r="C125" s="665"/>
      <c r="D125" s="666"/>
    </row>
    <row r="126" spans="3:4" ht="19.5" customHeight="1" x14ac:dyDescent="0.35">
      <c r="C126" s="665"/>
      <c r="D126" s="666"/>
    </row>
    <row r="127" spans="3:4" ht="19.5" customHeight="1" x14ac:dyDescent="0.35">
      <c r="C127" s="665"/>
      <c r="D127" s="666"/>
    </row>
    <row r="128" spans="3:4" ht="19.5" customHeight="1" x14ac:dyDescent="0.35">
      <c r="C128" s="665"/>
      <c r="D128" s="666"/>
    </row>
    <row r="129" spans="3:4" ht="19.5" customHeight="1" x14ac:dyDescent="0.35">
      <c r="C129" s="665"/>
      <c r="D129" s="666"/>
    </row>
    <row r="130" spans="3:4" ht="19.5" customHeight="1" x14ac:dyDescent="0.35">
      <c r="C130" s="665"/>
      <c r="D130" s="666"/>
    </row>
    <row r="131" spans="3:4" ht="19.5" customHeight="1" x14ac:dyDescent="0.35">
      <c r="C131" s="665"/>
      <c r="D131" s="666"/>
    </row>
    <row r="132" spans="3:4" ht="19.5" customHeight="1" x14ac:dyDescent="0.35">
      <c r="C132" s="665"/>
      <c r="D132" s="666"/>
    </row>
    <row r="133" spans="3:4" ht="19.5" customHeight="1" x14ac:dyDescent="0.35">
      <c r="C133" s="665"/>
      <c r="D133" s="666"/>
    </row>
    <row r="134" spans="3:4" ht="19.5" customHeight="1" x14ac:dyDescent="0.35">
      <c r="C134" s="665"/>
      <c r="D134" s="666"/>
    </row>
    <row r="135" spans="3:4" ht="19.5" customHeight="1" x14ac:dyDescent="0.35">
      <c r="C135" s="665"/>
      <c r="D135" s="666"/>
    </row>
    <row r="136" spans="3:4" ht="19.5" customHeight="1" x14ac:dyDescent="0.35">
      <c r="C136" s="665"/>
      <c r="D136" s="666"/>
    </row>
    <row r="137" spans="3:4" ht="19.5" customHeight="1" x14ac:dyDescent="0.35">
      <c r="C137" s="665"/>
      <c r="D137" s="666"/>
    </row>
    <row r="138" spans="3:4" ht="19.5" customHeight="1" x14ac:dyDescent="0.35">
      <c r="C138" s="665"/>
      <c r="D138" s="666"/>
    </row>
    <row r="139" spans="3:4" ht="19.5" customHeight="1" x14ac:dyDescent="0.35">
      <c r="C139" s="665"/>
      <c r="D139" s="666"/>
    </row>
    <row r="140" spans="3:4" ht="19.5" customHeight="1" x14ac:dyDescent="0.35">
      <c r="C140" s="665"/>
      <c r="D140" s="666"/>
    </row>
    <row r="141" spans="3:4" ht="19.5" customHeight="1" x14ac:dyDescent="0.35">
      <c r="C141" s="665"/>
      <c r="D141" s="666"/>
    </row>
    <row r="142" spans="3:4" ht="19.5" customHeight="1" x14ac:dyDescent="0.35">
      <c r="C142" s="665"/>
      <c r="D142" s="666"/>
    </row>
    <row r="143" spans="3:4" ht="19.5" customHeight="1" x14ac:dyDescent="0.35">
      <c r="C143" s="665"/>
      <c r="D143" s="666"/>
    </row>
    <row r="144" spans="3:4" ht="19.5" customHeight="1" x14ac:dyDescent="0.35">
      <c r="C144" s="665"/>
      <c r="D144" s="666"/>
    </row>
    <row r="145" spans="3:4" ht="19.5" customHeight="1" x14ac:dyDescent="0.35">
      <c r="C145" s="665"/>
      <c r="D145" s="666"/>
    </row>
    <row r="146" spans="3:4" ht="19.5" customHeight="1" x14ac:dyDescent="0.35">
      <c r="C146" s="665"/>
      <c r="D146" s="666"/>
    </row>
    <row r="147" spans="3:4" ht="19.5" customHeight="1" x14ac:dyDescent="0.35">
      <c r="C147" s="665"/>
      <c r="D147" s="666"/>
    </row>
    <row r="148" spans="3:4" ht="19.5" customHeight="1" x14ac:dyDescent="0.35">
      <c r="C148" s="665"/>
      <c r="D148" s="666"/>
    </row>
    <row r="149" spans="3:4" ht="19.5" customHeight="1" x14ac:dyDescent="0.35">
      <c r="C149" s="665"/>
      <c r="D149" s="666"/>
    </row>
    <row r="150" spans="3:4" ht="19.5" customHeight="1" x14ac:dyDescent="0.35">
      <c r="C150" s="665"/>
      <c r="D150" s="666"/>
    </row>
    <row r="151" spans="3:4" ht="19.5" customHeight="1" x14ac:dyDescent="0.35">
      <c r="C151" s="665"/>
      <c r="D151" s="666"/>
    </row>
    <row r="152" spans="3:4" ht="19.5" customHeight="1" x14ac:dyDescent="0.35">
      <c r="C152" s="665"/>
      <c r="D152" s="666"/>
    </row>
    <row r="153" spans="3:4" ht="19.5" customHeight="1" x14ac:dyDescent="0.35">
      <c r="C153" s="665"/>
      <c r="D153" s="666"/>
    </row>
    <row r="154" spans="3:4" ht="19.5" customHeight="1" x14ac:dyDescent="0.35">
      <c r="C154" s="665"/>
      <c r="D154" s="666"/>
    </row>
    <row r="155" spans="3:4" ht="19.5" customHeight="1" x14ac:dyDescent="0.35">
      <c r="C155" s="665"/>
      <c r="D155" s="666"/>
    </row>
    <row r="156" spans="3:4" ht="19.5" customHeight="1" x14ac:dyDescent="0.35">
      <c r="C156" s="665"/>
      <c r="D156" s="666"/>
    </row>
    <row r="157" spans="3:4" ht="19.5" customHeight="1" x14ac:dyDescent="0.35">
      <c r="C157" s="665"/>
      <c r="D157" s="666"/>
    </row>
    <row r="158" spans="3:4" ht="19.5" customHeight="1" x14ac:dyDescent="0.35">
      <c r="C158" s="665"/>
      <c r="D158" s="666"/>
    </row>
    <row r="159" spans="3:4" ht="19.5" customHeight="1" x14ac:dyDescent="0.35">
      <c r="C159" s="665"/>
      <c r="D159" s="666"/>
    </row>
    <row r="160" spans="3:4" ht="19.5" customHeight="1" x14ac:dyDescent="0.35">
      <c r="C160" s="665"/>
      <c r="D160" s="666"/>
    </row>
    <row r="161" spans="3:4" ht="19.5" customHeight="1" x14ac:dyDescent="0.35">
      <c r="C161" s="665"/>
      <c r="D161" s="666"/>
    </row>
    <row r="162" spans="3:4" ht="19.5" customHeight="1" x14ac:dyDescent="0.35">
      <c r="C162" s="665"/>
      <c r="D162" s="666"/>
    </row>
    <row r="163" spans="3:4" ht="19.5" customHeight="1" x14ac:dyDescent="0.35">
      <c r="C163" s="665"/>
      <c r="D163" s="666"/>
    </row>
    <row r="164" spans="3:4" ht="19.5" customHeight="1" x14ac:dyDescent="0.35">
      <c r="C164" s="665"/>
      <c r="D164" s="666"/>
    </row>
    <row r="165" spans="3:4" ht="19.5" customHeight="1" x14ac:dyDescent="0.35">
      <c r="C165" s="665"/>
      <c r="D165" s="666"/>
    </row>
    <row r="166" spans="3:4" ht="19.5" customHeight="1" x14ac:dyDescent="0.35">
      <c r="C166" s="665"/>
      <c r="D166" s="666"/>
    </row>
    <row r="167" spans="3:4" ht="19.5" customHeight="1" x14ac:dyDescent="0.35">
      <c r="C167" s="665"/>
      <c r="D167" s="666"/>
    </row>
    <row r="168" spans="3:4" ht="19.5" customHeight="1" x14ac:dyDescent="0.35">
      <c r="C168" s="665"/>
      <c r="D168" s="666"/>
    </row>
    <row r="169" spans="3:4" ht="19.5" customHeight="1" x14ac:dyDescent="0.35">
      <c r="C169" s="665"/>
      <c r="D169" s="666"/>
    </row>
    <row r="170" spans="3:4" ht="19.5" customHeight="1" x14ac:dyDescent="0.35">
      <c r="C170" s="665"/>
      <c r="D170" s="666"/>
    </row>
    <row r="171" spans="3:4" ht="19.5" customHeight="1" x14ac:dyDescent="0.35">
      <c r="C171" s="665"/>
      <c r="D171" s="666"/>
    </row>
    <row r="172" spans="3:4" ht="19.5" customHeight="1" x14ac:dyDescent="0.35">
      <c r="C172" s="665"/>
      <c r="D172" s="666"/>
    </row>
    <row r="173" spans="3:4" ht="19.5" customHeight="1" x14ac:dyDescent="0.35">
      <c r="C173" s="665"/>
      <c r="D173" s="666"/>
    </row>
    <row r="174" spans="3:4" ht="19.5" customHeight="1" x14ac:dyDescent="0.35">
      <c r="C174" s="665"/>
      <c r="D174" s="666"/>
    </row>
    <row r="175" spans="3:4" ht="19.5" customHeight="1" x14ac:dyDescent="0.35">
      <c r="C175" s="665"/>
      <c r="D175" s="666"/>
    </row>
    <row r="176" spans="3:4" ht="19.5" customHeight="1" x14ac:dyDescent="0.35">
      <c r="C176" s="665"/>
      <c r="D176" s="666"/>
    </row>
    <row r="177" spans="3:4" ht="19.5" customHeight="1" x14ac:dyDescent="0.35">
      <c r="C177" s="665"/>
      <c r="D177" s="666"/>
    </row>
    <row r="178" spans="3:4" ht="19.5" customHeight="1" x14ac:dyDescent="0.35">
      <c r="C178" s="665"/>
      <c r="D178" s="666"/>
    </row>
    <row r="179" spans="3:4" ht="19.5" customHeight="1" x14ac:dyDescent="0.35">
      <c r="C179" s="665"/>
      <c r="D179" s="666"/>
    </row>
    <row r="180" spans="3:4" ht="19.5" customHeight="1" x14ac:dyDescent="0.35">
      <c r="C180" s="665"/>
      <c r="D180" s="666"/>
    </row>
    <row r="181" spans="3:4" ht="19.5" customHeight="1" x14ac:dyDescent="0.35">
      <c r="C181" s="665"/>
      <c r="D181" s="666"/>
    </row>
    <row r="182" spans="3:4" ht="19.5" customHeight="1" x14ac:dyDescent="0.35">
      <c r="C182" s="665"/>
      <c r="D182" s="666"/>
    </row>
    <row r="183" spans="3:4" ht="19.5" customHeight="1" x14ac:dyDescent="0.35">
      <c r="C183" s="665"/>
      <c r="D183" s="666"/>
    </row>
    <row r="184" spans="3:4" ht="19.5" customHeight="1" x14ac:dyDescent="0.35">
      <c r="C184" s="665"/>
      <c r="D184" s="666"/>
    </row>
    <row r="185" spans="3:4" ht="19.5" customHeight="1" x14ac:dyDescent="0.35">
      <c r="C185" s="665"/>
      <c r="D185" s="666"/>
    </row>
    <row r="186" spans="3:4" ht="19.5" customHeight="1" x14ac:dyDescent="0.35">
      <c r="C186" s="665"/>
      <c r="D186" s="666"/>
    </row>
    <row r="187" spans="3:4" ht="19.5" customHeight="1" x14ac:dyDescent="0.35">
      <c r="C187" s="665"/>
      <c r="D187" s="666"/>
    </row>
    <row r="188" spans="3:4" ht="19.5" customHeight="1" x14ac:dyDescent="0.35">
      <c r="C188" s="665"/>
      <c r="D188" s="666"/>
    </row>
    <row r="189" spans="3:4" ht="19.5" customHeight="1" x14ac:dyDescent="0.35">
      <c r="C189" s="665"/>
      <c r="D189" s="666"/>
    </row>
    <row r="190" spans="3:4" ht="19.5" customHeight="1" x14ac:dyDescent="0.35">
      <c r="C190" s="665"/>
      <c r="D190" s="666"/>
    </row>
    <row r="191" spans="3:4" ht="19.5" customHeight="1" x14ac:dyDescent="0.35">
      <c r="C191" s="665"/>
      <c r="D191" s="666"/>
    </row>
    <row r="192" spans="3:4" ht="19.5" customHeight="1" x14ac:dyDescent="0.35">
      <c r="C192" s="665"/>
      <c r="D192" s="666"/>
    </row>
    <row r="193" spans="3:4" ht="19.5" customHeight="1" x14ac:dyDescent="0.35">
      <c r="C193" s="665"/>
      <c r="D193" s="666"/>
    </row>
    <row r="194" spans="3:4" ht="19.5" customHeight="1" x14ac:dyDescent="0.35">
      <c r="C194" s="665"/>
      <c r="D194" s="666"/>
    </row>
    <row r="195" spans="3:4" ht="19.5" customHeight="1" x14ac:dyDescent="0.35">
      <c r="C195" s="665"/>
      <c r="D195" s="666"/>
    </row>
    <row r="196" spans="3:4" ht="19.5" customHeight="1" x14ac:dyDescent="0.35">
      <c r="C196" s="665"/>
      <c r="D196" s="666"/>
    </row>
    <row r="197" spans="3:4" ht="19.5" customHeight="1" x14ac:dyDescent="0.35">
      <c r="C197" s="665"/>
      <c r="D197" s="666"/>
    </row>
    <row r="198" spans="3:4" ht="19.5" customHeight="1" x14ac:dyDescent="0.35">
      <c r="C198" s="665"/>
      <c r="D198" s="666"/>
    </row>
    <row r="199" spans="3:4" ht="19.5" customHeight="1" x14ac:dyDescent="0.35">
      <c r="C199" s="665"/>
      <c r="D199" s="666"/>
    </row>
    <row r="200" spans="3:4" ht="19.5" customHeight="1" x14ac:dyDescent="0.35">
      <c r="C200" s="665"/>
      <c r="D200" s="666"/>
    </row>
    <row r="201" spans="3:4" ht="19.5" customHeight="1" x14ac:dyDescent="0.35">
      <c r="C201" s="665"/>
      <c r="D201" s="666"/>
    </row>
    <row r="202" spans="3:4" ht="19.5" customHeight="1" x14ac:dyDescent="0.35">
      <c r="C202" s="665"/>
      <c r="D202" s="666"/>
    </row>
    <row r="203" spans="3:4" ht="19.5" customHeight="1" x14ac:dyDescent="0.35">
      <c r="C203" s="665"/>
      <c r="D203" s="666"/>
    </row>
    <row r="204" spans="3:4" ht="19.5" customHeight="1" x14ac:dyDescent="0.35">
      <c r="C204" s="665"/>
      <c r="D204" s="666"/>
    </row>
    <row r="205" spans="3:4" ht="19.5" customHeight="1" x14ac:dyDescent="0.35">
      <c r="C205" s="665"/>
      <c r="D205" s="666"/>
    </row>
    <row r="206" spans="3:4" ht="19.5" customHeight="1" x14ac:dyDescent="0.35">
      <c r="C206" s="665"/>
      <c r="D206" s="666"/>
    </row>
    <row r="207" spans="3:4" ht="19.5" customHeight="1" x14ac:dyDescent="0.35">
      <c r="C207" s="665"/>
      <c r="D207" s="666"/>
    </row>
    <row r="208" spans="3:4" ht="19.5" customHeight="1" x14ac:dyDescent="0.35">
      <c r="C208" s="665"/>
      <c r="D208" s="666"/>
    </row>
    <row r="209" spans="3:4" ht="19.5" customHeight="1" x14ac:dyDescent="0.35">
      <c r="C209" s="665"/>
      <c r="D209" s="666"/>
    </row>
    <row r="210" spans="3:4" ht="19.5" customHeight="1" x14ac:dyDescent="0.35">
      <c r="C210" s="665"/>
      <c r="D210" s="666"/>
    </row>
    <row r="211" spans="3:4" ht="19.5" customHeight="1" x14ac:dyDescent="0.35">
      <c r="C211" s="665"/>
      <c r="D211" s="666"/>
    </row>
    <row r="212" spans="3:4" ht="19.5" customHeight="1" x14ac:dyDescent="0.35">
      <c r="C212" s="665"/>
      <c r="D212" s="666"/>
    </row>
    <row r="213" spans="3:4" ht="19.5" customHeight="1" x14ac:dyDescent="0.35">
      <c r="C213" s="665"/>
      <c r="D213" s="666"/>
    </row>
    <row r="214" spans="3:4" ht="19.5" customHeight="1" x14ac:dyDescent="0.35">
      <c r="C214" s="665"/>
      <c r="D214" s="666"/>
    </row>
    <row r="215" spans="3:4" ht="19.5" customHeight="1" x14ac:dyDescent="0.35">
      <c r="C215" s="665"/>
      <c r="D215" s="666"/>
    </row>
    <row r="216" spans="3:4" ht="19.5" customHeight="1" x14ac:dyDescent="0.35">
      <c r="C216" s="665"/>
      <c r="D216" s="666"/>
    </row>
    <row r="217" spans="3:4" ht="19.5" customHeight="1" x14ac:dyDescent="0.35">
      <c r="C217" s="665"/>
      <c r="D217" s="666"/>
    </row>
    <row r="218" spans="3:4" ht="19.5" customHeight="1" x14ac:dyDescent="0.35">
      <c r="C218" s="665"/>
      <c r="D218" s="666"/>
    </row>
    <row r="219" spans="3:4" ht="19.5" customHeight="1" x14ac:dyDescent="0.35">
      <c r="C219" s="665"/>
      <c r="D219" s="666"/>
    </row>
    <row r="220" spans="3:4" ht="19.5" customHeight="1" x14ac:dyDescent="0.35">
      <c r="C220" s="665"/>
      <c r="D220" s="666"/>
    </row>
    <row r="221" spans="3:4" ht="19.5" customHeight="1" x14ac:dyDescent="0.35">
      <c r="C221" s="665"/>
      <c r="D221" s="666"/>
    </row>
    <row r="222" spans="3:4" ht="19.5" customHeight="1" x14ac:dyDescent="0.35">
      <c r="C222" s="665"/>
      <c r="D222" s="666"/>
    </row>
    <row r="223" spans="3:4" ht="19.5" customHeight="1" x14ac:dyDescent="0.35">
      <c r="C223" s="665"/>
      <c r="D223" s="666"/>
    </row>
    <row r="224" spans="3:4" ht="19.5" customHeight="1" x14ac:dyDescent="0.35">
      <c r="C224" s="665"/>
      <c r="D224" s="666"/>
    </row>
    <row r="225" spans="3:4" ht="19.5" customHeight="1" x14ac:dyDescent="0.35">
      <c r="C225" s="665"/>
      <c r="D225" s="666"/>
    </row>
    <row r="226" spans="3:4" ht="19.5" customHeight="1" x14ac:dyDescent="0.35">
      <c r="C226" s="665"/>
      <c r="D226" s="666"/>
    </row>
    <row r="227" spans="3:4" ht="19.5" customHeight="1" x14ac:dyDescent="0.35">
      <c r="C227" s="665"/>
      <c r="D227" s="666"/>
    </row>
    <row r="228" spans="3:4" ht="19.5" customHeight="1" x14ac:dyDescent="0.35">
      <c r="C228" s="665"/>
      <c r="D228" s="666"/>
    </row>
    <row r="229" spans="3:4" ht="19.5" customHeight="1" x14ac:dyDescent="0.35">
      <c r="C229" s="665"/>
      <c r="D229" s="666"/>
    </row>
    <row r="230" spans="3:4" ht="19.5" customHeight="1" x14ac:dyDescent="0.35">
      <c r="C230" s="665"/>
      <c r="D230" s="666"/>
    </row>
    <row r="231" spans="3:4" ht="19.5" customHeight="1" x14ac:dyDescent="0.35">
      <c r="C231" s="665"/>
      <c r="D231" s="666"/>
    </row>
    <row r="232" spans="3:4" ht="19.5" customHeight="1" x14ac:dyDescent="0.35">
      <c r="C232" s="665"/>
      <c r="D232" s="666"/>
    </row>
    <row r="233" spans="3:4" ht="19.5" customHeight="1" x14ac:dyDescent="0.35">
      <c r="C233" s="665"/>
      <c r="D233" s="666"/>
    </row>
    <row r="234" spans="3:4" ht="19.5" customHeight="1" x14ac:dyDescent="0.35">
      <c r="C234" s="665"/>
      <c r="D234" s="666"/>
    </row>
    <row r="235" spans="3:4" ht="19.5" customHeight="1" x14ac:dyDescent="0.35">
      <c r="C235" s="665"/>
      <c r="D235" s="666"/>
    </row>
    <row r="236" spans="3:4" ht="19.5" customHeight="1" x14ac:dyDescent="0.35">
      <c r="C236" s="665"/>
      <c r="D236" s="666"/>
    </row>
    <row r="237" spans="3:4" ht="19.5" customHeight="1" x14ac:dyDescent="0.35">
      <c r="C237" s="665"/>
      <c r="D237" s="666"/>
    </row>
    <row r="238" spans="3:4" ht="19.5" customHeight="1" x14ac:dyDescent="0.35">
      <c r="C238" s="665"/>
      <c r="D238" s="666"/>
    </row>
    <row r="239" spans="3:4" ht="19.5" customHeight="1" x14ac:dyDescent="0.35">
      <c r="C239" s="665"/>
      <c r="D239" s="666"/>
    </row>
    <row r="240" spans="3:4" ht="19.5" customHeight="1" x14ac:dyDescent="0.35">
      <c r="C240" s="665"/>
      <c r="D240" s="666"/>
    </row>
    <row r="241" spans="3:4" ht="19.5" customHeight="1" x14ac:dyDescent="0.35">
      <c r="C241" s="665"/>
      <c r="D241" s="666"/>
    </row>
    <row r="242" spans="3:4" ht="19.5" customHeight="1" x14ac:dyDescent="0.35">
      <c r="C242" s="665"/>
      <c r="D242" s="666"/>
    </row>
    <row r="243" spans="3:4" ht="19.5" customHeight="1" x14ac:dyDescent="0.35">
      <c r="C243" s="665"/>
      <c r="D243" s="666"/>
    </row>
    <row r="244" spans="3:4" ht="19.5" customHeight="1" x14ac:dyDescent="0.35">
      <c r="C244" s="665"/>
      <c r="D244" s="666"/>
    </row>
    <row r="245" spans="3:4" ht="19.5" customHeight="1" x14ac:dyDescent="0.35">
      <c r="C245" s="665"/>
      <c r="D245" s="666"/>
    </row>
    <row r="246" spans="3:4" ht="19.5" customHeight="1" x14ac:dyDescent="0.35">
      <c r="C246" s="665"/>
      <c r="D246" s="666"/>
    </row>
    <row r="247" spans="3:4" ht="19.5" customHeight="1" x14ac:dyDescent="0.35">
      <c r="C247" s="665"/>
      <c r="D247" s="666"/>
    </row>
    <row r="248" spans="3:4" ht="19.5" customHeight="1" x14ac:dyDescent="0.35">
      <c r="C248" s="665"/>
      <c r="D248" s="666"/>
    </row>
    <row r="249" spans="3:4" ht="19.5" customHeight="1" x14ac:dyDescent="0.35">
      <c r="C249" s="665"/>
      <c r="D249" s="666"/>
    </row>
    <row r="250" spans="3:4" ht="19.5" customHeight="1" x14ac:dyDescent="0.35">
      <c r="C250" s="665"/>
      <c r="D250" s="666"/>
    </row>
    <row r="251" spans="3:4" ht="19.5" customHeight="1" x14ac:dyDescent="0.35">
      <c r="C251" s="665"/>
      <c r="D251" s="666"/>
    </row>
    <row r="252" spans="3:4" ht="19.5" customHeight="1" x14ac:dyDescent="0.35">
      <c r="C252" s="665"/>
      <c r="D252" s="666"/>
    </row>
    <row r="253" spans="3:4" ht="19.5" customHeight="1" x14ac:dyDescent="0.35">
      <c r="C253" s="665"/>
      <c r="D253" s="666"/>
    </row>
    <row r="254" spans="3:4" ht="19.5" customHeight="1" x14ac:dyDescent="0.35">
      <c r="C254" s="665"/>
      <c r="D254" s="666"/>
    </row>
    <row r="255" spans="3:4" ht="19.5" customHeight="1" x14ac:dyDescent="0.35">
      <c r="C255" s="665"/>
      <c r="D255" s="666"/>
    </row>
    <row r="256" spans="3:4" ht="19.5" customHeight="1" x14ac:dyDescent="0.35">
      <c r="C256" s="665"/>
      <c r="D256" s="666"/>
    </row>
    <row r="257" spans="3:4" ht="19.5" customHeight="1" x14ac:dyDescent="0.35">
      <c r="C257" s="665"/>
      <c r="D257" s="666"/>
    </row>
    <row r="258" spans="3:4" ht="19.5" customHeight="1" x14ac:dyDescent="0.35">
      <c r="C258" s="665"/>
      <c r="D258" s="666"/>
    </row>
    <row r="259" spans="3:4" ht="19.5" customHeight="1" x14ac:dyDescent="0.35">
      <c r="C259" s="665"/>
      <c r="D259" s="666"/>
    </row>
    <row r="260" spans="3:4" ht="19.5" customHeight="1" x14ac:dyDescent="0.35">
      <c r="C260" s="665"/>
      <c r="D260" s="666"/>
    </row>
    <row r="261" spans="3:4" ht="19.5" customHeight="1" x14ac:dyDescent="0.35">
      <c r="C261" s="665"/>
      <c r="D261" s="666"/>
    </row>
    <row r="262" spans="3:4" ht="19.5" customHeight="1" x14ac:dyDescent="0.35">
      <c r="C262" s="665"/>
      <c r="D262" s="666"/>
    </row>
    <row r="263" spans="3:4" ht="19.5" customHeight="1" x14ac:dyDescent="0.35">
      <c r="C263" s="665"/>
      <c r="D263" s="666"/>
    </row>
    <row r="264" spans="3:4" ht="19.5" customHeight="1" x14ac:dyDescent="0.35">
      <c r="C264" s="665"/>
      <c r="D264" s="666"/>
    </row>
    <row r="265" spans="3:4" ht="19.5" customHeight="1" x14ac:dyDescent="0.35">
      <c r="C265" s="665"/>
      <c r="D265" s="666"/>
    </row>
    <row r="266" spans="3:4" ht="19.5" customHeight="1" x14ac:dyDescent="0.35">
      <c r="C266" s="665"/>
      <c r="D266" s="666"/>
    </row>
    <row r="267" spans="3:4" ht="19.5" customHeight="1" x14ac:dyDescent="0.35">
      <c r="C267" s="665"/>
      <c r="D267" s="666"/>
    </row>
    <row r="268" spans="3:4" ht="19.5" customHeight="1" x14ac:dyDescent="0.35">
      <c r="C268" s="665"/>
      <c r="D268" s="666"/>
    </row>
    <row r="269" spans="3:4" ht="19.5" customHeight="1" x14ac:dyDescent="0.35">
      <c r="C269" s="665"/>
      <c r="D269" s="666"/>
    </row>
    <row r="270" spans="3:4" ht="19.5" customHeight="1" x14ac:dyDescent="0.35">
      <c r="C270" s="665"/>
      <c r="D270" s="666"/>
    </row>
    <row r="271" spans="3:4" ht="19.5" customHeight="1" x14ac:dyDescent="0.35">
      <c r="C271" s="665"/>
      <c r="D271" s="666"/>
    </row>
    <row r="272" spans="3:4" ht="19.5" customHeight="1" x14ac:dyDescent="0.35">
      <c r="C272" s="665"/>
      <c r="D272" s="666"/>
    </row>
    <row r="273" spans="3:4" ht="19.5" customHeight="1" x14ac:dyDescent="0.35">
      <c r="C273" s="665"/>
      <c r="D273" s="666"/>
    </row>
    <row r="274" spans="3:4" ht="19.5" customHeight="1" x14ac:dyDescent="0.35">
      <c r="C274" s="665"/>
      <c r="D274" s="666"/>
    </row>
    <row r="275" spans="3:4" ht="19.5" customHeight="1" x14ac:dyDescent="0.35">
      <c r="C275" s="665"/>
      <c r="D275" s="666"/>
    </row>
    <row r="276" spans="3:4" ht="19.5" customHeight="1" x14ac:dyDescent="0.35">
      <c r="C276" s="665"/>
      <c r="D276" s="666"/>
    </row>
    <row r="277" spans="3:4" ht="19.5" customHeight="1" x14ac:dyDescent="0.35">
      <c r="C277" s="665"/>
      <c r="D277" s="666"/>
    </row>
    <row r="278" spans="3:4" ht="19.5" customHeight="1" x14ac:dyDescent="0.35">
      <c r="C278" s="665"/>
      <c r="D278" s="666"/>
    </row>
    <row r="279" spans="3:4" ht="19.5" customHeight="1" x14ac:dyDescent="0.35">
      <c r="C279" s="665"/>
      <c r="D279" s="666"/>
    </row>
    <row r="280" spans="3:4" ht="19.5" customHeight="1" x14ac:dyDescent="0.35">
      <c r="C280" s="665"/>
      <c r="D280" s="666"/>
    </row>
    <row r="281" spans="3:4" ht="19.5" customHeight="1" x14ac:dyDescent="0.35">
      <c r="C281" s="665"/>
      <c r="D281" s="666"/>
    </row>
    <row r="282" spans="3:4" ht="19.5" customHeight="1" x14ac:dyDescent="0.35">
      <c r="C282" s="665"/>
      <c r="D282" s="666"/>
    </row>
    <row r="283" spans="3:4" ht="19.5" customHeight="1" x14ac:dyDescent="0.35">
      <c r="C283" s="665"/>
      <c r="D283" s="666"/>
    </row>
    <row r="284" spans="3:4" ht="19.5" customHeight="1" x14ac:dyDescent="0.35">
      <c r="C284" s="665"/>
      <c r="D284" s="666"/>
    </row>
    <row r="285" spans="3:4" ht="19.5" customHeight="1" x14ac:dyDescent="0.35">
      <c r="C285" s="665"/>
      <c r="D285" s="666"/>
    </row>
    <row r="286" spans="3:4" ht="19.5" customHeight="1" x14ac:dyDescent="0.35">
      <c r="C286" s="665"/>
      <c r="D286" s="666"/>
    </row>
    <row r="287" spans="3:4" ht="19.5" customHeight="1" x14ac:dyDescent="0.35">
      <c r="C287" s="665"/>
      <c r="D287" s="666"/>
    </row>
    <row r="288" spans="3:4" ht="19.5" customHeight="1" x14ac:dyDescent="0.35">
      <c r="C288" s="665"/>
      <c r="D288" s="666"/>
    </row>
    <row r="289" spans="3:4" ht="19.5" customHeight="1" x14ac:dyDescent="0.35">
      <c r="C289" s="665"/>
      <c r="D289" s="666"/>
    </row>
    <row r="290" spans="3:4" ht="19.5" customHeight="1" x14ac:dyDescent="0.35">
      <c r="C290" s="665"/>
      <c r="D290" s="666"/>
    </row>
    <row r="291" spans="3:4" ht="19.5" customHeight="1" x14ac:dyDescent="0.35">
      <c r="C291" s="665"/>
      <c r="D291" s="666"/>
    </row>
    <row r="292" spans="3:4" ht="19.5" customHeight="1" x14ac:dyDescent="0.35">
      <c r="C292" s="665"/>
      <c r="D292" s="666"/>
    </row>
    <row r="293" spans="3:4" ht="19.5" customHeight="1" x14ac:dyDescent="0.35">
      <c r="C293" s="665"/>
      <c r="D293" s="666"/>
    </row>
    <row r="294" spans="3:4" ht="19.5" customHeight="1" x14ac:dyDescent="0.35">
      <c r="C294" s="665"/>
      <c r="D294" s="666"/>
    </row>
    <row r="295" spans="3:4" ht="19.5" customHeight="1" x14ac:dyDescent="0.35">
      <c r="C295" s="665"/>
      <c r="D295" s="666"/>
    </row>
    <row r="296" spans="3:4" ht="19.5" customHeight="1" x14ac:dyDescent="0.35">
      <c r="C296" s="665"/>
      <c r="D296" s="666"/>
    </row>
    <row r="297" spans="3:4" ht="19.5" customHeight="1" x14ac:dyDescent="0.35">
      <c r="C297" s="665"/>
      <c r="D297" s="666"/>
    </row>
    <row r="298" spans="3:4" ht="19.5" customHeight="1" x14ac:dyDescent="0.35">
      <c r="C298" s="665"/>
      <c r="D298" s="666"/>
    </row>
    <row r="299" spans="3:4" ht="19.5" customHeight="1" x14ac:dyDescent="0.35">
      <c r="C299" s="665"/>
      <c r="D299" s="666"/>
    </row>
    <row r="300" spans="3:4" ht="19.5" customHeight="1" x14ac:dyDescent="0.35">
      <c r="C300" s="665"/>
      <c r="D300" s="666"/>
    </row>
    <row r="301" spans="3:4" ht="19.5" customHeight="1" x14ac:dyDescent="0.35">
      <c r="C301" s="665"/>
      <c r="D301" s="666"/>
    </row>
    <row r="302" spans="3:4" ht="19.5" customHeight="1" x14ac:dyDescent="0.35">
      <c r="C302" s="665"/>
      <c r="D302" s="666"/>
    </row>
    <row r="303" spans="3:4" ht="19.5" customHeight="1" x14ac:dyDescent="0.35">
      <c r="C303" s="665"/>
      <c r="D303" s="666"/>
    </row>
    <row r="304" spans="3:4" ht="19.5" customHeight="1" x14ac:dyDescent="0.35">
      <c r="C304" s="665"/>
      <c r="D304" s="666"/>
    </row>
    <row r="305" spans="3:4" ht="19.5" customHeight="1" x14ac:dyDescent="0.35">
      <c r="C305" s="665"/>
      <c r="D305" s="666"/>
    </row>
    <row r="306" spans="3:4" ht="19.5" customHeight="1" x14ac:dyDescent="0.35">
      <c r="C306" s="665"/>
      <c r="D306" s="666"/>
    </row>
    <row r="307" spans="3:4" ht="19.5" customHeight="1" x14ac:dyDescent="0.35">
      <c r="C307" s="665"/>
      <c r="D307" s="666"/>
    </row>
    <row r="308" spans="3:4" ht="19.5" customHeight="1" x14ac:dyDescent="0.35">
      <c r="C308" s="665"/>
      <c r="D308" s="666"/>
    </row>
    <row r="309" spans="3:4" ht="19.5" customHeight="1" x14ac:dyDescent="0.35">
      <c r="C309" s="665"/>
      <c r="D309" s="666"/>
    </row>
    <row r="310" spans="3:4" ht="19.5" customHeight="1" x14ac:dyDescent="0.35">
      <c r="C310" s="665"/>
      <c r="D310" s="666"/>
    </row>
    <row r="311" spans="3:4" ht="19.5" customHeight="1" x14ac:dyDescent="0.35">
      <c r="C311" s="665"/>
      <c r="D311" s="666"/>
    </row>
    <row r="312" spans="3:4" ht="19.5" customHeight="1" x14ac:dyDescent="0.35">
      <c r="C312" s="665"/>
      <c r="D312" s="666"/>
    </row>
    <row r="313" spans="3:4" ht="19.5" customHeight="1" x14ac:dyDescent="0.35">
      <c r="C313" s="665"/>
      <c r="D313" s="666"/>
    </row>
    <row r="314" spans="3:4" ht="19.5" customHeight="1" x14ac:dyDescent="0.35">
      <c r="C314" s="665"/>
      <c r="D314" s="666"/>
    </row>
    <row r="315" spans="3:4" ht="19.5" customHeight="1" x14ac:dyDescent="0.35">
      <c r="C315" s="665"/>
      <c r="D315" s="666"/>
    </row>
    <row r="316" spans="3:4" ht="19.5" customHeight="1" x14ac:dyDescent="0.35">
      <c r="C316" s="665"/>
      <c r="D316" s="666"/>
    </row>
    <row r="317" spans="3:4" ht="19.5" customHeight="1" x14ac:dyDescent="0.35">
      <c r="C317" s="665"/>
      <c r="D317" s="666"/>
    </row>
    <row r="318" spans="3:4" ht="19.5" customHeight="1" x14ac:dyDescent="0.35">
      <c r="C318" s="665"/>
      <c r="D318" s="666"/>
    </row>
    <row r="319" spans="3:4" ht="19.5" customHeight="1" x14ac:dyDescent="0.35">
      <c r="C319" s="665"/>
      <c r="D319" s="666"/>
    </row>
    <row r="320" spans="3:4" ht="19.5" customHeight="1" x14ac:dyDescent="0.35">
      <c r="C320" s="665"/>
      <c r="D320" s="666"/>
    </row>
    <row r="321" spans="3:4" ht="19.5" customHeight="1" x14ac:dyDescent="0.35">
      <c r="C321" s="665"/>
      <c r="D321" s="666"/>
    </row>
    <row r="322" spans="3:4" ht="19.5" customHeight="1" x14ac:dyDescent="0.35">
      <c r="C322" s="665"/>
      <c r="D322" s="666"/>
    </row>
    <row r="323" spans="3:4" ht="19.5" customHeight="1" x14ac:dyDescent="0.35">
      <c r="C323" s="665"/>
      <c r="D323" s="666"/>
    </row>
    <row r="324" spans="3:4" ht="19.5" customHeight="1" x14ac:dyDescent="0.35">
      <c r="C324" s="665"/>
      <c r="D324" s="666"/>
    </row>
    <row r="325" spans="3:4" ht="19.5" customHeight="1" x14ac:dyDescent="0.35">
      <c r="C325" s="665"/>
      <c r="D325" s="666"/>
    </row>
    <row r="326" spans="3:4" ht="19.5" customHeight="1" x14ac:dyDescent="0.35">
      <c r="C326" s="665"/>
      <c r="D326" s="666"/>
    </row>
    <row r="327" spans="3:4" ht="19.5" customHeight="1" x14ac:dyDescent="0.35">
      <c r="C327" s="665"/>
      <c r="D327" s="666"/>
    </row>
    <row r="328" spans="3:4" ht="19.5" customHeight="1" x14ac:dyDescent="0.35">
      <c r="C328" s="665"/>
      <c r="D328" s="666"/>
    </row>
    <row r="329" spans="3:4" ht="19.5" customHeight="1" x14ac:dyDescent="0.35">
      <c r="C329" s="665"/>
      <c r="D329" s="666"/>
    </row>
    <row r="330" spans="3:4" ht="19.5" customHeight="1" x14ac:dyDescent="0.35">
      <c r="C330" s="665"/>
      <c r="D330" s="666"/>
    </row>
    <row r="331" spans="3:4" ht="19.5" customHeight="1" x14ac:dyDescent="0.35">
      <c r="C331" s="665"/>
      <c r="D331" s="666"/>
    </row>
    <row r="332" spans="3:4" ht="19.5" customHeight="1" x14ac:dyDescent="0.35">
      <c r="C332" s="665"/>
      <c r="D332" s="666"/>
    </row>
    <row r="333" spans="3:4" ht="19.5" customHeight="1" x14ac:dyDescent="0.35">
      <c r="C333" s="665"/>
      <c r="D333" s="666"/>
    </row>
    <row r="334" spans="3:4" ht="19.5" customHeight="1" x14ac:dyDescent="0.35">
      <c r="C334" s="665"/>
      <c r="D334" s="666"/>
    </row>
    <row r="335" spans="3:4" ht="19.5" customHeight="1" x14ac:dyDescent="0.35">
      <c r="C335" s="665"/>
      <c r="D335" s="666"/>
    </row>
    <row r="336" spans="3:4" ht="19.5" customHeight="1" x14ac:dyDescent="0.35">
      <c r="C336" s="665"/>
      <c r="D336" s="666"/>
    </row>
    <row r="337" spans="3:4" ht="19.5" customHeight="1" x14ac:dyDescent="0.35">
      <c r="C337" s="665"/>
      <c r="D337" s="666"/>
    </row>
    <row r="338" spans="3:4" ht="19.5" customHeight="1" x14ac:dyDescent="0.35">
      <c r="C338" s="665"/>
      <c r="D338" s="666"/>
    </row>
    <row r="339" spans="3:4" ht="19.5" customHeight="1" x14ac:dyDescent="0.35">
      <c r="C339" s="665"/>
      <c r="D339" s="666"/>
    </row>
    <row r="340" spans="3:4" ht="19.5" customHeight="1" x14ac:dyDescent="0.35">
      <c r="C340" s="665"/>
      <c r="D340" s="666"/>
    </row>
    <row r="341" spans="3:4" ht="19.5" customHeight="1" x14ac:dyDescent="0.35">
      <c r="C341" s="665"/>
      <c r="D341" s="666"/>
    </row>
    <row r="342" spans="3:4" ht="19.5" customHeight="1" x14ac:dyDescent="0.35">
      <c r="C342" s="665"/>
      <c r="D342" s="666"/>
    </row>
    <row r="343" spans="3:4" ht="19.5" customHeight="1" x14ac:dyDescent="0.35">
      <c r="C343" s="665"/>
      <c r="D343" s="666"/>
    </row>
    <row r="344" spans="3:4" ht="19.5" customHeight="1" x14ac:dyDescent="0.35">
      <c r="C344" s="665"/>
      <c r="D344" s="666"/>
    </row>
    <row r="345" spans="3:4" ht="19.5" customHeight="1" x14ac:dyDescent="0.35">
      <c r="C345" s="665"/>
      <c r="D345" s="666"/>
    </row>
    <row r="346" spans="3:4" ht="19.5" customHeight="1" x14ac:dyDescent="0.35">
      <c r="C346" s="665"/>
      <c r="D346" s="666"/>
    </row>
    <row r="347" spans="3:4" ht="19.5" customHeight="1" x14ac:dyDescent="0.35">
      <c r="C347" s="665"/>
      <c r="D347" s="666"/>
    </row>
    <row r="348" spans="3:4" ht="19.5" customHeight="1" x14ac:dyDescent="0.35">
      <c r="C348" s="665"/>
      <c r="D348" s="666"/>
    </row>
    <row r="349" spans="3:4" ht="19.5" customHeight="1" x14ac:dyDescent="0.35">
      <c r="C349" s="665"/>
      <c r="D349" s="666"/>
    </row>
    <row r="350" spans="3:4" ht="19.5" customHeight="1" x14ac:dyDescent="0.35">
      <c r="C350" s="665"/>
      <c r="D350" s="666"/>
    </row>
    <row r="351" spans="3:4" ht="19.5" customHeight="1" x14ac:dyDescent="0.35">
      <c r="C351" s="665"/>
      <c r="D351" s="666"/>
    </row>
    <row r="352" spans="3:4" ht="19.5" customHeight="1" x14ac:dyDescent="0.35">
      <c r="C352" s="665"/>
      <c r="D352" s="666"/>
    </row>
    <row r="353" spans="3:4" ht="19.5" customHeight="1" x14ac:dyDescent="0.35">
      <c r="C353" s="665"/>
      <c r="D353" s="666"/>
    </row>
    <row r="354" spans="3:4" ht="19.5" customHeight="1" x14ac:dyDescent="0.35">
      <c r="C354" s="665"/>
      <c r="D354" s="666"/>
    </row>
    <row r="355" spans="3:4" ht="19.5" customHeight="1" x14ac:dyDescent="0.35">
      <c r="C355" s="665"/>
      <c r="D355" s="666"/>
    </row>
    <row r="356" spans="3:4" ht="19.5" customHeight="1" x14ac:dyDescent="0.35">
      <c r="C356" s="665"/>
      <c r="D356" s="666"/>
    </row>
    <row r="357" spans="3:4" ht="19.5" customHeight="1" x14ac:dyDescent="0.35">
      <c r="C357" s="665"/>
      <c r="D357" s="666"/>
    </row>
    <row r="358" spans="3:4" ht="19.5" customHeight="1" x14ac:dyDescent="0.35">
      <c r="C358" s="665"/>
      <c r="D358" s="666"/>
    </row>
    <row r="359" spans="3:4" ht="19.5" customHeight="1" x14ac:dyDescent="0.35">
      <c r="C359" s="665"/>
      <c r="D359" s="666"/>
    </row>
    <row r="360" spans="3:4" ht="19.5" customHeight="1" x14ac:dyDescent="0.35">
      <c r="C360" s="665"/>
      <c r="D360" s="666"/>
    </row>
    <row r="361" spans="3:4" ht="19.5" customHeight="1" x14ac:dyDescent="0.35">
      <c r="C361" s="665"/>
      <c r="D361" s="666"/>
    </row>
    <row r="362" spans="3:4" ht="19.5" customHeight="1" x14ac:dyDescent="0.35">
      <c r="C362" s="665"/>
      <c r="D362" s="666"/>
    </row>
    <row r="363" spans="3:4" ht="19.5" customHeight="1" x14ac:dyDescent="0.35">
      <c r="C363" s="665"/>
      <c r="D363" s="666"/>
    </row>
    <row r="364" spans="3:4" ht="19.5" customHeight="1" x14ac:dyDescent="0.35">
      <c r="C364" s="665"/>
      <c r="D364" s="666"/>
    </row>
    <row r="365" spans="3:4" ht="19.5" customHeight="1" x14ac:dyDescent="0.35">
      <c r="C365" s="665"/>
      <c r="D365" s="666"/>
    </row>
    <row r="366" spans="3:4" ht="19.5" customHeight="1" x14ac:dyDescent="0.35">
      <c r="C366" s="665"/>
      <c r="D366" s="666"/>
    </row>
    <row r="367" spans="3:4" ht="19.5" customHeight="1" x14ac:dyDescent="0.35">
      <c r="C367" s="665"/>
      <c r="D367" s="666"/>
    </row>
    <row r="368" spans="3:4" ht="19.5" customHeight="1" x14ac:dyDescent="0.35">
      <c r="C368" s="665"/>
      <c r="D368" s="666"/>
    </row>
    <row r="369" spans="3:4" ht="19.5" customHeight="1" x14ac:dyDescent="0.35">
      <c r="C369" s="665"/>
      <c r="D369" s="666"/>
    </row>
    <row r="370" spans="3:4" ht="19.5" customHeight="1" x14ac:dyDescent="0.35">
      <c r="C370" s="665"/>
      <c r="D370" s="666"/>
    </row>
    <row r="371" spans="3:4" ht="19.5" customHeight="1" x14ac:dyDescent="0.35">
      <c r="C371" s="665"/>
      <c r="D371" s="666"/>
    </row>
    <row r="372" spans="3:4" ht="19.5" customHeight="1" x14ac:dyDescent="0.35">
      <c r="C372" s="665"/>
      <c r="D372" s="666"/>
    </row>
    <row r="373" spans="3:4" ht="19.5" customHeight="1" x14ac:dyDescent="0.35">
      <c r="C373" s="665"/>
      <c r="D373" s="666"/>
    </row>
    <row r="374" spans="3:4" ht="19.5" customHeight="1" x14ac:dyDescent="0.35">
      <c r="C374" s="665"/>
      <c r="D374" s="666"/>
    </row>
    <row r="375" spans="3:4" ht="19.5" customHeight="1" x14ac:dyDescent="0.35">
      <c r="C375" s="665"/>
      <c r="D375" s="666"/>
    </row>
    <row r="376" spans="3:4" ht="19.5" customHeight="1" x14ac:dyDescent="0.35">
      <c r="C376" s="665"/>
      <c r="D376" s="666"/>
    </row>
    <row r="377" spans="3:4" ht="19.5" customHeight="1" x14ac:dyDescent="0.35">
      <c r="C377" s="665"/>
      <c r="D377" s="666"/>
    </row>
    <row r="378" spans="3:4" ht="19.5" customHeight="1" x14ac:dyDescent="0.35">
      <c r="C378" s="665"/>
      <c r="D378" s="666"/>
    </row>
    <row r="379" spans="3:4" ht="19.5" customHeight="1" x14ac:dyDescent="0.35">
      <c r="C379" s="665"/>
      <c r="D379" s="666"/>
    </row>
    <row r="380" spans="3:4" ht="19.5" customHeight="1" x14ac:dyDescent="0.35">
      <c r="C380" s="665"/>
      <c r="D380" s="666"/>
    </row>
    <row r="381" spans="3:4" ht="19.5" customHeight="1" x14ac:dyDescent="0.35">
      <c r="C381" s="665"/>
      <c r="D381" s="666"/>
    </row>
    <row r="382" spans="3:4" ht="19.5" customHeight="1" x14ac:dyDescent="0.35">
      <c r="C382" s="665"/>
      <c r="D382" s="666"/>
    </row>
    <row r="383" spans="3:4" ht="19.5" customHeight="1" x14ac:dyDescent="0.35">
      <c r="C383" s="665"/>
      <c r="D383" s="666"/>
    </row>
    <row r="384" spans="3:4" ht="19.5" customHeight="1" x14ac:dyDescent="0.35">
      <c r="C384" s="665"/>
      <c r="D384" s="666"/>
    </row>
    <row r="385" spans="3:4" ht="19.5" customHeight="1" x14ac:dyDescent="0.35">
      <c r="C385" s="665"/>
      <c r="D385" s="666"/>
    </row>
    <row r="386" spans="3:4" ht="19.5" customHeight="1" x14ac:dyDescent="0.35">
      <c r="C386" s="665"/>
      <c r="D386" s="666"/>
    </row>
    <row r="387" spans="3:4" ht="19.5" customHeight="1" x14ac:dyDescent="0.35">
      <c r="C387" s="665"/>
      <c r="D387" s="666"/>
    </row>
    <row r="388" spans="3:4" ht="19.5" customHeight="1" x14ac:dyDescent="0.35">
      <c r="C388" s="665"/>
      <c r="D388" s="666"/>
    </row>
    <row r="389" spans="3:4" ht="19.5" customHeight="1" x14ac:dyDescent="0.35">
      <c r="C389" s="665"/>
      <c r="D389" s="666"/>
    </row>
    <row r="390" spans="3:4" ht="19.5" customHeight="1" x14ac:dyDescent="0.35">
      <c r="C390" s="665"/>
      <c r="D390" s="666"/>
    </row>
    <row r="391" spans="3:4" ht="19.5" customHeight="1" x14ac:dyDescent="0.35">
      <c r="C391" s="665"/>
      <c r="D391" s="666"/>
    </row>
    <row r="392" spans="3:4" ht="19.5" customHeight="1" x14ac:dyDescent="0.35">
      <c r="C392" s="665"/>
      <c r="D392" s="666"/>
    </row>
    <row r="393" spans="3:4" ht="19.5" customHeight="1" x14ac:dyDescent="0.35">
      <c r="C393" s="665"/>
      <c r="D393" s="666"/>
    </row>
    <row r="394" spans="3:4" ht="19.5" customHeight="1" x14ac:dyDescent="0.35">
      <c r="C394" s="665"/>
      <c r="D394" s="666"/>
    </row>
    <row r="395" spans="3:4" ht="19.5" customHeight="1" x14ac:dyDescent="0.35">
      <c r="C395" s="665"/>
      <c r="D395" s="666"/>
    </row>
    <row r="396" spans="3:4" ht="19.5" customHeight="1" x14ac:dyDescent="0.35">
      <c r="C396" s="665"/>
      <c r="D396" s="666"/>
    </row>
    <row r="397" spans="3:4" ht="19.5" customHeight="1" x14ac:dyDescent="0.35">
      <c r="C397" s="665"/>
      <c r="D397" s="666"/>
    </row>
    <row r="398" spans="3:4" ht="19.5" customHeight="1" x14ac:dyDescent="0.35">
      <c r="C398" s="665"/>
      <c r="D398" s="666"/>
    </row>
    <row r="399" spans="3:4" ht="19.5" customHeight="1" x14ac:dyDescent="0.35">
      <c r="C399" s="665"/>
      <c r="D399" s="666"/>
    </row>
    <row r="400" spans="3:4" ht="19.5" customHeight="1" x14ac:dyDescent="0.35">
      <c r="C400" s="665"/>
      <c r="D400" s="666"/>
    </row>
    <row r="401" spans="3:4" ht="19.5" customHeight="1" x14ac:dyDescent="0.35">
      <c r="C401" s="665"/>
      <c r="D401" s="666"/>
    </row>
    <row r="402" spans="3:4" ht="19.5" customHeight="1" x14ac:dyDescent="0.35">
      <c r="C402" s="665"/>
      <c r="D402" s="666"/>
    </row>
    <row r="403" spans="3:4" ht="19.5" customHeight="1" x14ac:dyDescent="0.35">
      <c r="C403" s="665"/>
      <c r="D403" s="666"/>
    </row>
    <row r="404" spans="3:4" ht="19.5" customHeight="1" x14ac:dyDescent="0.35">
      <c r="C404" s="665"/>
      <c r="D404" s="666"/>
    </row>
    <row r="405" spans="3:4" ht="19.5" customHeight="1" x14ac:dyDescent="0.35">
      <c r="C405" s="665"/>
      <c r="D405" s="666"/>
    </row>
    <row r="406" spans="3:4" ht="19.5" customHeight="1" x14ac:dyDescent="0.35">
      <c r="C406" s="665"/>
      <c r="D406" s="666"/>
    </row>
    <row r="407" spans="3:4" ht="19.5" customHeight="1" x14ac:dyDescent="0.35">
      <c r="C407" s="665"/>
      <c r="D407" s="666"/>
    </row>
    <row r="408" spans="3:4" ht="19.5" customHeight="1" x14ac:dyDescent="0.35">
      <c r="C408" s="665"/>
      <c r="D408" s="666"/>
    </row>
    <row r="409" spans="3:4" ht="19.5" customHeight="1" x14ac:dyDescent="0.35">
      <c r="C409" s="665"/>
      <c r="D409" s="666"/>
    </row>
    <row r="410" spans="3:4" ht="19.5" customHeight="1" x14ac:dyDescent="0.35">
      <c r="C410" s="665"/>
      <c r="D410" s="666"/>
    </row>
    <row r="411" spans="3:4" ht="19.5" customHeight="1" x14ac:dyDescent="0.35">
      <c r="C411" s="665"/>
      <c r="D411" s="666"/>
    </row>
    <row r="412" spans="3:4" ht="19.5" customHeight="1" x14ac:dyDescent="0.35">
      <c r="C412" s="665"/>
      <c r="D412" s="666"/>
    </row>
    <row r="413" spans="3:4" ht="19.5" customHeight="1" x14ac:dyDescent="0.35">
      <c r="C413" s="665"/>
      <c r="D413" s="666"/>
    </row>
    <row r="414" spans="3:4" ht="19.5" customHeight="1" x14ac:dyDescent="0.35">
      <c r="C414" s="665"/>
      <c r="D414" s="666"/>
    </row>
    <row r="415" spans="3:4" ht="19.5" customHeight="1" x14ac:dyDescent="0.35">
      <c r="C415" s="665"/>
      <c r="D415" s="666"/>
    </row>
    <row r="416" spans="3:4" ht="19.5" customHeight="1" x14ac:dyDescent="0.35">
      <c r="C416" s="665"/>
      <c r="D416" s="666"/>
    </row>
    <row r="417" spans="3:4" ht="19.5" customHeight="1" x14ac:dyDescent="0.35">
      <c r="C417" s="665"/>
      <c r="D417" s="666"/>
    </row>
    <row r="418" spans="3:4" ht="19.5" customHeight="1" x14ac:dyDescent="0.35">
      <c r="C418" s="665"/>
      <c r="D418" s="666"/>
    </row>
    <row r="419" spans="3:4" ht="19.5" customHeight="1" x14ac:dyDescent="0.35">
      <c r="C419" s="665"/>
      <c r="D419" s="666"/>
    </row>
    <row r="420" spans="3:4" ht="19.5" customHeight="1" x14ac:dyDescent="0.35">
      <c r="C420" s="665"/>
      <c r="D420" s="666"/>
    </row>
    <row r="421" spans="3:4" ht="19.5" customHeight="1" x14ac:dyDescent="0.35">
      <c r="C421" s="665"/>
      <c r="D421" s="666"/>
    </row>
    <row r="422" spans="3:4" ht="19.5" customHeight="1" x14ac:dyDescent="0.35">
      <c r="C422" s="665"/>
      <c r="D422" s="666"/>
    </row>
    <row r="423" spans="3:4" ht="19.5" customHeight="1" x14ac:dyDescent="0.35">
      <c r="C423" s="665"/>
      <c r="D423" s="666"/>
    </row>
    <row r="424" spans="3:4" ht="19.5" customHeight="1" x14ac:dyDescent="0.35">
      <c r="C424" s="665"/>
      <c r="D424" s="666"/>
    </row>
    <row r="425" spans="3:4" ht="19.5" customHeight="1" x14ac:dyDescent="0.35">
      <c r="C425" s="665"/>
      <c r="D425" s="666"/>
    </row>
    <row r="426" spans="3:4" ht="19.5" customHeight="1" x14ac:dyDescent="0.35">
      <c r="C426" s="665"/>
      <c r="D426" s="666"/>
    </row>
    <row r="427" spans="3:4" ht="19.5" customHeight="1" x14ac:dyDescent="0.35">
      <c r="C427" s="665"/>
      <c r="D427" s="666"/>
    </row>
    <row r="428" spans="3:4" ht="19.5" customHeight="1" x14ac:dyDescent="0.35">
      <c r="C428" s="665"/>
      <c r="D428" s="666"/>
    </row>
    <row r="429" spans="3:4" ht="19.5" customHeight="1" x14ac:dyDescent="0.35">
      <c r="C429" s="665"/>
      <c r="D429" s="666"/>
    </row>
    <row r="430" spans="3:4" ht="19.5" customHeight="1" x14ac:dyDescent="0.35">
      <c r="C430" s="665"/>
      <c r="D430" s="666"/>
    </row>
    <row r="431" spans="3:4" ht="19.5" customHeight="1" x14ac:dyDescent="0.35">
      <c r="C431" s="665"/>
      <c r="D431" s="666"/>
    </row>
    <row r="432" spans="3:4" ht="19.5" customHeight="1" x14ac:dyDescent="0.35">
      <c r="C432" s="665"/>
      <c r="D432" s="666"/>
    </row>
    <row r="433" spans="3:4" ht="19.5" customHeight="1" x14ac:dyDescent="0.35">
      <c r="C433" s="665"/>
      <c r="D433" s="666"/>
    </row>
    <row r="434" spans="3:4" ht="19.5" customHeight="1" x14ac:dyDescent="0.35">
      <c r="C434" s="665"/>
      <c r="D434" s="666"/>
    </row>
    <row r="435" spans="3:4" ht="19.5" customHeight="1" x14ac:dyDescent="0.35">
      <c r="C435" s="665"/>
      <c r="D435" s="666"/>
    </row>
    <row r="436" spans="3:4" ht="19.5" customHeight="1" x14ac:dyDescent="0.35">
      <c r="C436" s="665"/>
      <c r="D436" s="666"/>
    </row>
    <row r="437" spans="3:4" ht="19.5" customHeight="1" x14ac:dyDescent="0.35">
      <c r="C437" s="665"/>
      <c r="D437" s="666"/>
    </row>
    <row r="438" spans="3:4" ht="19.5" customHeight="1" x14ac:dyDescent="0.35">
      <c r="C438" s="665"/>
      <c r="D438" s="666"/>
    </row>
    <row r="439" spans="3:4" ht="19.5" customHeight="1" x14ac:dyDescent="0.35">
      <c r="C439" s="665"/>
      <c r="D439" s="666"/>
    </row>
    <row r="440" spans="3:4" ht="19.5" customHeight="1" x14ac:dyDescent="0.35">
      <c r="C440" s="665"/>
      <c r="D440" s="666"/>
    </row>
    <row r="441" spans="3:4" ht="19.5" customHeight="1" x14ac:dyDescent="0.35">
      <c r="C441" s="665"/>
      <c r="D441" s="666"/>
    </row>
    <row r="442" spans="3:4" ht="19.5" customHeight="1" x14ac:dyDescent="0.35">
      <c r="C442" s="665"/>
      <c r="D442" s="666"/>
    </row>
    <row r="443" spans="3:4" ht="19.5" customHeight="1" x14ac:dyDescent="0.35">
      <c r="C443" s="665"/>
      <c r="D443" s="666"/>
    </row>
    <row r="444" spans="3:4" ht="19.5" customHeight="1" x14ac:dyDescent="0.35">
      <c r="C444" s="665"/>
      <c r="D444" s="666"/>
    </row>
    <row r="445" spans="3:4" ht="19.5" customHeight="1" x14ac:dyDescent="0.35">
      <c r="C445" s="665"/>
      <c r="D445" s="666"/>
    </row>
    <row r="446" spans="3:4" ht="19.5" customHeight="1" x14ac:dyDescent="0.35">
      <c r="C446" s="665"/>
      <c r="D446" s="666"/>
    </row>
    <row r="447" spans="3:4" ht="19.5" customHeight="1" x14ac:dyDescent="0.35">
      <c r="C447" s="665"/>
      <c r="D447" s="666"/>
    </row>
    <row r="448" spans="3:4" ht="19.5" customHeight="1" x14ac:dyDescent="0.35">
      <c r="C448" s="665"/>
      <c r="D448" s="666"/>
    </row>
    <row r="449" spans="3:4" ht="19.5" customHeight="1" x14ac:dyDescent="0.35">
      <c r="C449" s="665"/>
      <c r="D449" s="666"/>
    </row>
    <row r="450" spans="3:4" ht="19.5" customHeight="1" x14ac:dyDescent="0.35">
      <c r="C450" s="665"/>
      <c r="D450" s="666"/>
    </row>
    <row r="451" spans="3:4" ht="19.5" customHeight="1" x14ac:dyDescent="0.35">
      <c r="C451" s="665"/>
      <c r="D451" s="666"/>
    </row>
    <row r="452" spans="3:4" ht="19.5" customHeight="1" x14ac:dyDescent="0.35">
      <c r="C452" s="665"/>
      <c r="D452" s="666"/>
    </row>
    <row r="453" spans="3:4" ht="19.5" customHeight="1" x14ac:dyDescent="0.35">
      <c r="C453" s="665"/>
      <c r="D453" s="666"/>
    </row>
    <row r="454" spans="3:4" ht="19.5" customHeight="1" x14ac:dyDescent="0.35">
      <c r="C454" s="665"/>
      <c r="D454" s="666"/>
    </row>
    <row r="455" spans="3:4" ht="19.5" customHeight="1" x14ac:dyDescent="0.35">
      <c r="C455" s="665"/>
      <c r="D455" s="666"/>
    </row>
    <row r="456" spans="3:4" ht="19.5" customHeight="1" x14ac:dyDescent="0.35">
      <c r="C456" s="665"/>
      <c r="D456" s="666"/>
    </row>
    <row r="457" spans="3:4" ht="19.5" customHeight="1" x14ac:dyDescent="0.35">
      <c r="C457" s="665"/>
      <c r="D457" s="666"/>
    </row>
    <row r="458" spans="3:4" ht="19.5" customHeight="1" x14ac:dyDescent="0.35">
      <c r="C458" s="665"/>
      <c r="D458" s="666"/>
    </row>
    <row r="459" spans="3:4" ht="19.5" customHeight="1" x14ac:dyDescent="0.35">
      <c r="C459" s="665"/>
      <c r="D459" s="666"/>
    </row>
    <row r="460" spans="3:4" ht="19.5" customHeight="1" x14ac:dyDescent="0.35">
      <c r="C460" s="665"/>
      <c r="D460" s="666"/>
    </row>
    <row r="461" spans="3:4" ht="19.5" customHeight="1" x14ac:dyDescent="0.35">
      <c r="C461" s="665"/>
      <c r="D461" s="666"/>
    </row>
    <row r="462" spans="3:4" ht="19.5" customHeight="1" x14ac:dyDescent="0.35">
      <c r="C462" s="665"/>
      <c r="D462" s="666"/>
    </row>
    <row r="463" spans="3:4" ht="19.5" customHeight="1" x14ac:dyDescent="0.35">
      <c r="C463" s="665"/>
      <c r="D463" s="666"/>
    </row>
    <row r="464" spans="3:4" ht="19.5" customHeight="1" x14ac:dyDescent="0.35">
      <c r="C464" s="665"/>
      <c r="D464" s="666"/>
    </row>
    <row r="465" spans="3:4" ht="19.5" customHeight="1" x14ac:dyDescent="0.35">
      <c r="C465" s="665"/>
      <c r="D465" s="666"/>
    </row>
    <row r="466" spans="3:4" ht="19.5" customHeight="1" x14ac:dyDescent="0.35">
      <c r="C466" s="665"/>
      <c r="D466" s="666"/>
    </row>
    <row r="467" spans="3:4" ht="19.5" customHeight="1" x14ac:dyDescent="0.35">
      <c r="C467" s="665"/>
      <c r="D467" s="666"/>
    </row>
    <row r="468" spans="3:4" ht="19.5" customHeight="1" x14ac:dyDescent="0.35">
      <c r="C468" s="665"/>
      <c r="D468" s="666"/>
    </row>
    <row r="469" spans="3:4" ht="19.5" customHeight="1" x14ac:dyDescent="0.35">
      <c r="C469" s="665"/>
      <c r="D469" s="666"/>
    </row>
    <row r="470" spans="3:4" ht="19.5" customHeight="1" x14ac:dyDescent="0.35">
      <c r="C470" s="665"/>
      <c r="D470" s="666"/>
    </row>
    <row r="471" spans="3:4" ht="19.5" customHeight="1" x14ac:dyDescent="0.35">
      <c r="C471" s="665"/>
      <c r="D471" s="666"/>
    </row>
    <row r="472" spans="3:4" ht="19.5" customHeight="1" x14ac:dyDescent="0.35">
      <c r="C472" s="665"/>
      <c r="D472" s="666"/>
    </row>
    <row r="473" spans="3:4" ht="19.5" customHeight="1" x14ac:dyDescent="0.35">
      <c r="C473" s="665"/>
      <c r="D473" s="666"/>
    </row>
    <row r="474" spans="3:4" ht="19.5" customHeight="1" x14ac:dyDescent="0.35">
      <c r="C474" s="665"/>
      <c r="D474" s="666"/>
    </row>
    <row r="475" spans="3:4" ht="19.5" customHeight="1" x14ac:dyDescent="0.35">
      <c r="C475" s="665"/>
      <c r="D475" s="666"/>
    </row>
    <row r="476" spans="3:4" ht="19.5" customHeight="1" x14ac:dyDescent="0.35">
      <c r="C476" s="665"/>
      <c r="D476" s="666"/>
    </row>
    <row r="477" spans="3:4" ht="19.5" customHeight="1" x14ac:dyDescent="0.35">
      <c r="C477" s="665"/>
      <c r="D477" s="666"/>
    </row>
    <row r="478" spans="3:4" ht="19.5" customHeight="1" x14ac:dyDescent="0.35">
      <c r="C478" s="665"/>
      <c r="D478" s="666"/>
    </row>
    <row r="479" spans="3:4" ht="19.5" customHeight="1" x14ac:dyDescent="0.35">
      <c r="C479" s="665"/>
      <c r="D479" s="666"/>
    </row>
    <row r="480" spans="3:4" ht="19.5" customHeight="1" x14ac:dyDescent="0.35">
      <c r="C480" s="665"/>
      <c r="D480" s="666"/>
    </row>
    <row r="481" spans="3:4" ht="19.5" customHeight="1" x14ac:dyDescent="0.35">
      <c r="C481" s="665"/>
      <c r="D481" s="666"/>
    </row>
    <row r="482" spans="3:4" ht="19.5" customHeight="1" x14ac:dyDescent="0.35">
      <c r="C482" s="665"/>
      <c r="D482" s="666"/>
    </row>
    <row r="483" spans="3:4" ht="19.5" customHeight="1" x14ac:dyDescent="0.35">
      <c r="C483" s="665"/>
      <c r="D483" s="666"/>
    </row>
    <row r="484" spans="3:4" ht="19.5" customHeight="1" x14ac:dyDescent="0.35">
      <c r="C484" s="665"/>
      <c r="D484" s="666"/>
    </row>
    <row r="485" spans="3:4" ht="19.5" customHeight="1" x14ac:dyDescent="0.35">
      <c r="C485" s="665"/>
      <c r="D485" s="666"/>
    </row>
    <row r="486" spans="3:4" ht="19.5" customHeight="1" x14ac:dyDescent="0.35">
      <c r="C486" s="665"/>
      <c r="D486" s="666"/>
    </row>
    <row r="487" spans="3:4" ht="19.5" customHeight="1" x14ac:dyDescent="0.35">
      <c r="C487" s="665"/>
      <c r="D487" s="666"/>
    </row>
    <row r="488" spans="3:4" ht="19.5" customHeight="1" x14ac:dyDescent="0.35">
      <c r="C488" s="665"/>
      <c r="D488" s="666"/>
    </row>
    <row r="489" spans="3:4" ht="19.5" customHeight="1" x14ac:dyDescent="0.35">
      <c r="C489" s="665"/>
      <c r="D489" s="666"/>
    </row>
    <row r="490" spans="3:4" ht="19.5" customHeight="1" x14ac:dyDescent="0.35">
      <c r="C490" s="665"/>
      <c r="D490" s="666"/>
    </row>
    <row r="491" spans="3:4" ht="19.5" customHeight="1" x14ac:dyDescent="0.35">
      <c r="C491" s="665"/>
      <c r="D491" s="666"/>
    </row>
    <row r="492" spans="3:4" ht="19.5" customHeight="1" x14ac:dyDescent="0.35">
      <c r="C492" s="665"/>
      <c r="D492" s="666"/>
    </row>
    <row r="493" spans="3:4" ht="19.5" customHeight="1" x14ac:dyDescent="0.35">
      <c r="C493" s="665"/>
      <c r="D493" s="666"/>
    </row>
    <row r="494" spans="3:4" ht="19.5" customHeight="1" x14ac:dyDescent="0.35">
      <c r="C494" s="665"/>
      <c r="D494" s="666"/>
    </row>
    <row r="495" spans="3:4" ht="19.5" customHeight="1" x14ac:dyDescent="0.35">
      <c r="C495" s="665"/>
      <c r="D495" s="666"/>
    </row>
    <row r="496" spans="3:4" ht="19.5" customHeight="1" x14ac:dyDescent="0.35">
      <c r="C496" s="665"/>
      <c r="D496" s="666"/>
    </row>
    <row r="497" spans="3:4" ht="19.5" customHeight="1" x14ac:dyDescent="0.35">
      <c r="C497" s="665"/>
      <c r="D497" s="666"/>
    </row>
    <row r="498" spans="3:4" ht="19.5" customHeight="1" x14ac:dyDescent="0.35">
      <c r="C498" s="665"/>
      <c r="D498" s="666"/>
    </row>
    <row r="499" spans="3:4" ht="19.5" customHeight="1" x14ac:dyDescent="0.35">
      <c r="C499" s="665"/>
      <c r="D499" s="666"/>
    </row>
    <row r="500" spans="3:4" ht="19.5" customHeight="1" x14ac:dyDescent="0.35">
      <c r="C500" s="665"/>
      <c r="D500" s="666"/>
    </row>
    <row r="501" spans="3:4" ht="19.5" customHeight="1" x14ac:dyDescent="0.35">
      <c r="C501" s="665"/>
      <c r="D501" s="666"/>
    </row>
    <row r="502" spans="3:4" ht="19.5" customHeight="1" x14ac:dyDescent="0.35">
      <c r="C502" s="665"/>
      <c r="D502" s="666"/>
    </row>
    <row r="503" spans="3:4" ht="19.5" customHeight="1" x14ac:dyDescent="0.35">
      <c r="C503" s="665"/>
      <c r="D503" s="666"/>
    </row>
    <row r="504" spans="3:4" ht="19.5" customHeight="1" x14ac:dyDescent="0.35">
      <c r="C504" s="665"/>
      <c r="D504" s="666"/>
    </row>
    <row r="505" spans="3:4" ht="19.5" customHeight="1" x14ac:dyDescent="0.35">
      <c r="C505" s="665"/>
      <c r="D505" s="666"/>
    </row>
    <row r="506" spans="3:4" ht="19.5" customHeight="1" x14ac:dyDescent="0.35">
      <c r="C506" s="665"/>
      <c r="D506" s="666"/>
    </row>
    <row r="507" spans="3:4" ht="19.5" customHeight="1" x14ac:dyDescent="0.35">
      <c r="C507" s="665"/>
      <c r="D507" s="666"/>
    </row>
    <row r="508" spans="3:4" ht="19.5" customHeight="1" x14ac:dyDescent="0.35">
      <c r="C508" s="665"/>
      <c r="D508" s="666"/>
    </row>
    <row r="509" spans="3:4" ht="19.5" customHeight="1" x14ac:dyDescent="0.35">
      <c r="C509" s="665"/>
      <c r="D509" s="666"/>
    </row>
    <row r="510" spans="3:4" ht="19.5" customHeight="1" x14ac:dyDescent="0.35">
      <c r="C510" s="665"/>
      <c r="D510" s="666"/>
    </row>
    <row r="511" spans="3:4" ht="19.5" customHeight="1" x14ac:dyDescent="0.35">
      <c r="C511" s="665"/>
      <c r="D511" s="666"/>
    </row>
    <row r="512" spans="3:4" ht="19.5" customHeight="1" x14ac:dyDescent="0.35">
      <c r="C512" s="665"/>
      <c r="D512" s="666"/>
    </row>
    <row r="513" spans="3:4" ht="19.5" customHeight="1" x14ac:dyDescent="0.35">
      <c r="C513" s="665"/>
      <c r="D513" s="666"/>
    </row>
    <row r="514" spans="3:4" ht="19.5" customHeight="1" x14ac:dyDescent="0.35">
      <c r="C514" s="665"/>
      <c r="D514" s="666"/>
    </row>
    <row r="515" spans="3:4" ht="19.5" customHeight="1" x14ac:dyDescent="0.35">
      <c r="C515" s="665"/>
      <c r="D515" s="666"/>
    </row>
    <row r="516" spans="3:4" ht="19.5" customHeight="1" x14ac:dyDescent="0.35">
      <c r="C516" s="665"/>
      <c r="D516" s="666"/>
    </row>
    <row r="517" spans="3:4" ht="19.5" customHeight="1" x14ac:dyDescent="0.35">
      <c r="C517" s="665"/>
      <c r="D517" s="666"/>
    </row>
    <row r="518" spans="3:4" ht="19.5" customHeight="1" x14ac:dyDescent="0.35">
      <c r="C518" s="665"/>
      <c r="D518" s="666"/>
    </row>
    <row r="519" spans="3:4" ht="19.5" customHeight="1" x14ac:dyDescent="0.35">
      <c r="C519" s="665"/>
      <c r="D519" s="666"/>
    </row>
    <row r="520" spans="3:4" ht="19.5" customHeight="1" x14ac:dyDescent="0.35">
      <c r="C520" s="665"/>
      <c r="D520" s="666"/>
    </row>
    <row r="521" spans="3:4" ht="19.5" customHeight="1" x14ac:dyDescent="0.35">
      <c r="C521" s="665"/>
      <c r="D521" s="666"/>
    </row>
    <row r="522" spans="3:4" ht="19.5" customHeight="1" x14ac:dyDescent="0.35">
      <c r="C522" s="665"/>
      <c r="D522" s="666"/>
    </row>
    <row r="523" spans="3:4" ht="19.5" customHeight="1" x14ac:dyDescent="0.35">
      <c r="C523" s="665"/>
      <c r="D523" s="666"/>
    </row>
    <row r="524" spans="3:4" ht="19.5" customHeight="1" x14ac:dyDescent="0.35">
      <c r="C524" s="665"/>
      <c r="D524" s="666"/>
    </row>
    <row r="525" spans="3:4" ht="19.5" customHeight="1" x14ac:dyDescent="0.35">
      <c r="C525" s="665"/>
      <c r="D525" s="666"/>
    </row>
    <row r="526" spans="3:4" ht="19.5" customHeight="1" x14ac:dyDescent="0.35">
      <c r="C526" s="665"/>
      <c r="D526" s="666"/>
    </row>
    <row r="527" spans="3:4" ht="19.5" customHeight="1" x14ac:dyDescent="0.35">
      <c r="C527" s="665"/>
      <c r="D527" s="666"/>
    </row>
    <row r="528" spans="3:4" ht="19.5" customHeight="1" x14ac:dyDescent="0.35">
      <c r="C528" s="665"/>
      <c r="D528" s="666"/>
    </row>
    <row r="529" spans="3:4" ht="19.5" customHeight="1" x14ac:dyDescent="0.35">
      <c r="C529" s="665"/>
      <c r="D529" s="666"/>
    </row>
    <row r="530" spans="3:4" ht="19.5" customHeight="1" x14ac:dyDescent="0.35">
      <c r="C530" s="665"/>
      <c r="D530" s="666"/>
    </row>
    <row r="531" spans="3:4" ht="19.5" customHeight="1" x14ac:dyDescent="0.35">
      <c r="C531" s="665"/>
      <c r="D531" s="666"/>
    </row>
    <row r="532" spans="3:4" ht="19.5" customHeight="1" x14ac:dyDescent="0.35">
      <c r="C532" s="665"/>
      <c r="D532" s="666"/>
    </row>
    <row r="533" spans="3:4" ht="19.5" customHeight="1" x14ac:dyDescent="0.35">
      <c r="C533" s="665"/>
      <c r="D533" s="666"/>
    </row>
    <row r="534" spans="3:4" ht="19.5" customHeight="1" x14ac:dyDescent="0.35">
      <c r="C534" s="665"/>
      <c r="D534" s="666"/>
    </row>
    <row r="535" spans="3:4" ht="19.5" customHeight="1" x14ac:dyDescent="0.35">
      <c r="C535" s="665"/>
      <c r="D535" s="666"/>
    </row>
    <row r="536" spans="3:4" ht="19.5" customHeight="1" x14ac:dyDescent="0.35">
      <c r="C536" s="665"/>
      <c r="D536" s="666"/>
    </row>
    <row r="537" spans="3:4" ht="19.5" customHeight="1" x14ac:dyDescent="0.35">
      <c r="C537" s="665"/>
      <c r="D537" s="666"/>
    </row>
    <row r="538" spans="3:4" ht="19.5" customHeight="1" x14ac:dyDescent="0.35">
      <c r="C538" s="665"/>
      <c r="D538" s="666"/>
    </row>
    <row r="539" spans="3:4" ht="19.5" customHeight="1" x14ac:dyDescent="0.35">
      <c r="C539" s="665"/>
      <c r="D539" s="666"/>
    </row>
    <row r="540" spans="3:4" ht="19.5" customHeight="1" x14ac:dyDescent="0.35">
      <c r="C540" s="665"/>
      <c r="D540" s="666"/>
    </row>
    <row r="541" spans="3:4" ht="19.5" customHeight="1" x14ac:dyDescent="0.35">
      <c r="C541" s="665"/>
      <c r="D541" s="666"/>
    </row>
    <row r="542" spans="3:4" ht="19.5" customHeight="1" x14ac:dyDescent="0.35">
      <c r="C542" s="665"/>
      <c r="D542" s="666"/>
    </row>
    <row r="543" spans="3:4" ht="19.5" customHeight="1" x14ac:dyDescent="0.35">
      <c r="C543" s="665"/>
      <c r="D543" s="666"/>
    </row>
    <row r="544" spans="3:4" ht="19.5" customHeight="1" x14ac:dyDescent="0.35">
      <c r="C544" s="665"/>
      <c r="D544" s="666"/>
    </row>
    <row r="545" spans="3:4" ht="19.5" customHeight="1" x14ac:dyDescent="0.35">
      <c r="C545" s="665"/>
      <c r="D545" s="666"/>
    </row>
    <row r="546" spans="3:4" ht="19.5" customHeight="1" x14ac:dyDescent="0.35">
      <c r="C546" s="665"/>
      <c r="D546" s="666"/>
    </row>
    <row r="547" spans="3:4" ht="19.5" customHeight="1" x14ac:dyDescent="0.35">
      <c r="C547" s="665"/>
      <c r="D547" s="666"/>
    </row>
    <row r="548" spans="3:4" ht="19.5" customHeight="1" x14ac:dyDescent="0.35">
      <c r="C548" s="665"/>
      <c r="D548" s="666"/>
    </row>
    <row r="549" spans="3:4" ht="19.5" customHeight="1" x14ac:dyDescent="0.35">
      <c r="C549" s="665"/>
      <c r="D549" s="666"/>
    </row>
    <row r="550" spans="3:4" ht="19.5" customHeight="1" x14ac:dyDescent="0.35">
      <c r="C550" s="665"/>
      <c r="D550" s="666"/>
    </row>
    <row r="551" spans="3:4" ht="19.5" customHeight="1" x14ac:dyDescent="0.35">
      <c r="C551" s="665"/>
      <c r="D551" s="666"/>
    </row>
    <row r="552" spans="3:4" ht="19.5" customHeight="1" x14ac:dyDescent="0.35">
      <c r="C552" s="665"/>
      <c r="D552" s="666"/>
    </row>
    <row r="553" spans="3:4" ht="19.5" customHeight="1" x14ac:dyDescent="0.35">
      <c r="C553" s="665"/>
      <c r="D553" s="666"/>
    </row>
    <row r="554" spans="3:4" ht="19.5" customHeight="1" x14ac:dyDescent="0.35">
      <c r="C554" s="665"/>
      <c r="D554" s="666"/>
    </row>
    <row r="555" spans="3:4" ht="19.5" customHeight="1" x14ac:dyDescent="0.35">
      <c r="C555" s="665"/>
      <c r="D555" s="666"/>
    </row>
    <row r="556" spans="3:4" ht="19.5" customHeight="1" x14ac:dyDescent="0.35">
      <c r="C556" s="665"/>
      <c r="D556" s="666"/>
    </row>
    <row r="557" spans="3:4" ht="19.5" customHeight="1" x14ac:dyDescent="0.35">
      <c r="C557" s="665"/>
      <c r="D557" s="666"/>
    </row>
    <row r="558" spans="3:4" ht="19.5" customHeight="1" x14ac:dyDescent="0.35">
      <c r="C558" s="665"/>
      <c r="D558" s="666"/>
    </row>
    <row r="559" spans="3:4" ht="19.5" customHeight="1" x14ac:dyDescent="0.35">
      <c r="C559" s="665"/>
      <c r="D559" s="666"/>
    </row>
    <row r="560" spans="3:4" ht="19.5" customHeight="1" x14ac:dyDescent="0.35">
      <c r="C560" s="665"/>
      <c r="D560" s="666"/>
    </row>
    <row r="561" spans="3:4" ht="19.5" customHeight="1" x14ac:dyDescent="0.35">
      <c r="C561" s="665"/>
      <c r="D561" s="666"/>
    </row>
    <row r="562" spans="3:4" ht="19.5" customHeight="1" x14ac:dyDescent="0.35">
      <c r="C562" s="665"/>
      <c r="D562" s="666"/>
    </row>
    <row r="563" spans="3:4" ht="19.5" customHeight="1" x14ac:dyDescent="0.35">
      <c r="C563" s="665"/>
      <c r="D563" s="666"/>
    </row>
    <row r="564" spans="3:4" ht="19.5" customHeight="1" x14ac:dyDescent="0.35">
      <c r="C564" s="665"/>
      <c r="D564" s="666"/>
    </row>
    <row r="565" spans="3:4" ht="19.5" customHeight="1" x14ac:dyDescent="0.35">
      <c r="C565" s="665"/>
      <c r="D565" s="666"/>
    </row>
    <row r="566" spans="3:4" ht="19.5" customHeight="1" x14ac:dyDescent="0.35">
      <c r="C566" s="665"/>
      <c r="D566" s="666"/>
    </row>
    <row r="567" spans="3:4" ht="19.5" customHeight="1" x14ac:dyDescent="0.35">
      <c r="C567" s="665"/>
      <c r="D567" s="666"/>
    </row>
    <row r="568" spans="3:4" ht="19.5" customHeight="1" x14ac:dyDescent="0.35">
      <c r="C568" s="665"/>
      <c r="D568" s="666"/>
    </row>
    <row r="569" spans="3:4" ht="19.5" customHeight="1" x14ac:dyDescent="0.35">
      <c r="C569" s="665"/>
      <c r="D569" s="666"/>
    </row>
    <row r="570" spans="3:4" ht="19.5" customHeight="1" x14ac:dyDescent="0.35">
      <c r="C570" s="665"/>
      <c r="D570" s="666"/>
    </row>
    <row r="571" spans="3:4" ht="19.5" customHeight="1" x14ac:dyDescent="0.35">
      <c r="C571" s="665"/>
      <c r="D571" s="666"/>
    </row>
    <row r="572" spans="3:4" ht="19.5" customHeight="1" x14ac:dyDescent="0.35">
      <c r="C572" s="665"/>
      <c r="D572" s="666"/>
    </row>
    <row r="573" spans="3:4" ht="19.5" customHeight="1" x14ac:dyDescent="0.35">
      <c r="C573" s="665"/>
      <c r="D573" s="666"/>
    </row>
    <row r="574" spans="3:4" ht="19.5" customHeight="1" x14ac:dyDescent="0.35">
      <c r="C574" s="665"/>
      <c r="D574" s="666"/>
    </row>
    <row r="575" spans="3:4" ht="19.5" customHeight="1" x14ac:dyDescent="0.35">
      <c r="C575" s="665"/>
      <c r="D575" s="666"/>
    </row>
    <row r="576" spans="3:4" ht="19.5" customHeight="1" x14ac:dyDescent="0.35">
      <c r="C576" s="665"/>
      <c r="D576" s="666"/>
    </row>
    <row r="577" spans="3:4" ht="19.5" customHeight="1" x14ac:dyDescent="0.35">
      <c r="C577" s="665"/>
      <c r="D577" s="666"/>
    </row>
    <row r="578" spans="3:4" ht="19.5" customHeight="1" x14ac:dyDescent="0.35">
      <c r="C578" s="665"/>
      <c r="D578" s="666"/>
    </row>
    <row r="579" spans="3:4" ht="19.5" customHeight="1" x14ac:dyDescent="0.35">
      <c r="C579" s="665"/>
      <c r="D579" s="666"/>
    </row>
    <row r="580" spans="3:4" ht="19.5" customHeight="1" x14ac:dyDescent="0.35">
      <c r="C580" s="665"/>
      <c r="D580" s="666"/>
    </row>
    <row r="581" spans="3:4" ht="19.5" customHeight="1" x14ac:dyDescent="0.35">
      <c r="C581" s="665"/>
      <c r="D581" s="666"/>
    </row>
    <row r="582" spans="3:4" ht="19.5" customHeight="1" x14ac:dyDescent="0.35">
      <c r="C582" s="665"/>
      <c r="D582" s="666"/>
    </row>
    <row r="583" spans="3:4" ht="19.5" customHeight="1" x14ac:dyDescent="0.35">
      <c r="C583" s="665"/>
      <c r="D583" s="666"/>
    </row>
    <row r="584" spans="3:4" ht="19.5" customHeight="1" x14ac:dyDescent="0.35">
      <c r="C584" s="665"/>
      <c r="D584" s="666"/>
    </row>
    <row r="585" spans="3:4" ht="19.5" customHeight="1" x14ac:dyDescent="0.35">
      <c r="C585" s="665"/>
      <c r="D585" s="666"/>
    </row>
    <row r="586" spans="3:4" ht="19.5" customHeight="1" x14ac:dyDescent="0.35">
      <c r="C586" s="665"/>
      <c r="D586" s="666"/>
    </row>
    <row r="587" spans="3:4" ht="19.5" customHeight="1" x14ac:dyDescent="0.35">
      <c r="C587" s="665"/>
      <c r="D587" s="666"/>
    </row>
    <row r="588" spans="3:4" ht="19.5" customHeight="1" x14ac:dyDescent="0.35">
      <c r="C588" s="665"/>
      <c r="D588" s="666"/>
    </row>
    <row r="589" spans="3:4" ht="19.5" customHeight="1" x14ac:dyDescent="0.35">
      <c r="C589" s="665"/>
      <c r="D589" s="666"/>
    </row>
    <row r="590" spans="3:4" ht="19.5" customHeight="1" x14ac:dyDescent="0.35">
      <c r="C590" s="665"/>
      <c r="D590" s="666"/>
    </row>
    <row r="591" spans="3:4" ht="19.5" customHeight="1" x14ac:dyDescent="0.35">
      <c r="C591" s="665"/>
      <c r="D591" s="666"/>
    </row>
    <row r="592" spans="3:4" ht="19.5" customHeight="1" x14ac:dyDescent="0.35">
      <c r="C592" s="665"/>
      <c r="D592" s="666"/>
    </row>
    <row r="593" spans="3:4" ht="19.5" customHeight="1" x14ac:dyDescent="0.35">
      <c r="C593" s="665"/>
      <c r="D593" s="666"/>
    </row>
    <row r="594" spans="3:4" ht="19.5" customHeight="1" x14ac:dyDescent="0.35">
      <c r="C594" s="665"/>
      <c r="D594" s="666"/>
    </row>
    <row r="595" spans="3:4" ht="19.5" customHeight="1" x14ac:dyDescent="0.35">
      <c r="C595" s="665"/>
      <c r="D595" s="666"/>
    </row>
    <row r="596" spans="3:4" ht="19.5" customHeight="1" x14ac:dyDescent="0.35">
      <c r="C596" s="665"/>
      <c r="D596" s="666"/>
    </row>
    <row r="597" spans="3:4" ht="19.5" customHeight="1" x14ac:dyDescent="0.35">
      <c r="C597" s="665"/>
      <c r="D597" s="666"/>
    </row>
    <row r="598" spans="3:4" ht="19.5" customHeight="1" x14ac:dyDescent="0.35">
      <c r="C598" s="665"/>
      <c r="D598" s="666"/>
    </row>
    <row r="599" spans="3:4" ht="19.5" customHeight="1" x14ac:dyDescent="0.35">
      <c r="C599" s="665"/>
      <c r="D599" s="666"/>
    </row>
    <row r="600" spans="3:4" ht="19.5" customHeight="1" x14ac:dyDescent="0.35">
      <c r="C600" s="665"/>
      <c r="D600" s="666"/>
    </row>
    <row r="601" spans="3:4" ht="19.5" customHeight="1" x14ac:dyDescent="0.35">
      <c r="C601" s="665"/>
      <c r="D601" s="666"/>
    </row>
    <row r="602" spans="3:4" ht="19.5" customHeight="1" x14ac:dyDescent="0.35">
      <c r="C602" s="665"/>
      <c r="D602" s="666"/>
    </row>
    <row r="603" spans="3:4" ht="19.5" customHeight="1" x14ac:dyDescent="0.35">
      <c r="C603" s="665"/>
      <c r="D603" s="666"/>
    </row>
    <row r="604" spans="3:4" ht="19.5" customHeight="1" x14ac:dyDescent="0.35">
      <c r="C604" s="665"/>
      <c r="D604" s="666"/>
    </row>
    <row r="605" spans="3:4" ht="19.5" customHeight="1" x14ac:dyDescent="0.35">
      <c r="C605" s="665"/>
      <c r="D605" s="666"/>
    </row>
    <row r="606" spans="3:4" ht="19.5" customHeight="1" x14ac:dyDescent="0.35">
      <c r="C606" s="665"/>
      <c r="D606" s="666"/>
    </row>
    <row r="607" spans="3:4" ht="19.5" customHeight="1" x14ac:dyDescent="0.35">
      <c r="C607" s="665"/>
      <c r="D607" s="666"/>
    </row>
    <row r="608" spans="3:4" ht="19.5" customHeight="1" x14ac:dyDescent="0.35">
      <c r="C608" s="665"/>
      <c r="D608" s="666"/>
    </row>
    <row r="609" spans="3:4" ht="19.5" customHeight="1" x14ac:dyDescent="0.35">
      <c r="C609" s="665"/>
      <c r="D609" s="666"/>
    </row>
    <row r="610" spans="3:4" ht="19.5" customHeight="1" x14ac:dyDescent="0.35">
      <c r="C610" s="665"/>
      <c r="D610" s="666"/>
    </row>
    <row r="611" spans="3:4" ht="19.5" customHeight="1" x14ac:dyDescent="0.35">
      <c r="C611" s="665"/>
      <c r="D611" s="666"/>
    </row>
    <row r="612" spans="3:4" ht="19.5" customHeight="1" x14ac:dyDescent="0.35">
      <c r="C612" s="665"/>
      <c r="D612" s="666"/>
    </row>
    <row r="613" spans="3:4" ht="19.5" customHeight="1" x14ac:dyDescent="0.35">
      <c r="C613" s="665"/>
      <c r="D613" s="666"/>
    </row>
    <row r="614" spans="3:4" ht="19.5" customHeight="1" x14ac:dyDescent="0.35">
      <c r="C614" s="665"/>
      <c r="D614" s="666"/>
    </row>
    <row r="615" spans="3:4" ht="19.5" customHeight="1" x14ac:dyDescent="0.35">
      <c r="C615" s="665"/>
      <c r="D615" s="666"/>
    </row>
    <row r="616" spans="3:4" ht="19.5" customHeight="1" x14ac:dyDescent="0.35">
      <c r="C616" s="665"/>
      <c r="D616" s="666"/>
    </row>
    <row r="617" spans="3:4" ht="19.5" customHeight="1" x14ac:dyDescent="0.35">
      <c r="C617" s="665"/>
      <c r="D617" s="666"/>
    </row>
    <row r="618" spans="3:4" ht="19.5" customHeight="1" x14ac:dyDescent="0.35">
      <c r="C618" s="665"/>
      <c r="D618" s="666"/>
    </row>
    <row r="619" spans="3:4" ht="19.5" customHeight="1" x14ac:dyDescent="0.35">
      <c r="C619" s="665"/>
      <c r="D619" s="666"/>
    </row>
    <row r="620" spans="3:4" ht="19.5" customHeight="1" x14ac:dyDescent="0.35">
      <c r="C620" s="665"/>
      <c r="D620" s="666"/>
    </row>
    <row r="621" spans="3:4" ht="19.5" customHeight="1" x14ac:dyDescent="0.35">
      <c r="C621" s="665"/>
      <c r="D621" s="666"/>
    </row>
    <row r="622" spans="3:4" ht="19.5" customHeight="1" x14ac:dyDescent="0.35">
      <c r="C622" s="665"/>
      <c r="D622" s="666"/>
    </row>
    <row r="623" spans="3:4" ht="19.5" customHeight="1" x14ac:dyDescent="0.35">
      <c r="C623" s="665"/>
      <c r="D623" s="666"/>
    </row>
    <row r="624" spans="3:4" ht="19.5" customHeight="1" x14ac:dyDescent="0.35">
      <c r="C624" s="665"/>
      <c r="D624" s="666"/>
    </row>
    <row r="625" spans="3:4" ht="19.5" customHeight="1" x14ac:dyDescent="0.35">
      <c r="C625" s="665"/>
      <c r="D625" s="666"/>
    </row>
    <row r="626" spans="3:4" ht="19.5" customHeight="1" x14ac:dyDescent="0.35">
      <c r="C626" s="665"/>
      <c r="D626" s="666"/>
    </row>
    <row r="627" spans="3:4" ht="19.5" customHeight="1" x14ac:dyDescent="0.35">
      <c r="C627" s="665"/>
      <c r="D627" s="666"/>
    </row>
    <row r="628" spans="3:4" ht="19.5" customHeight="1" x14ac:dyDescent="0.35">
      <c r="C628" s="665"/>
      <c r="D628" s="666"/>
    </row>
    <row r="629" spans="3:4" ht="19.5" customHeight="1" x14ac:dyDescent="0.35">
      <c r="C629" s="665"/>
      <c r="D629" s="666"/>
    </row>
    <row r="630" spans="3:4" ht="19.5" customHeight="1" x14ac:dyDescent="0.35">
      <c r="C630" s="665"/>
      <c r="D630" s="666"/>
    </row>
    <row r="631" spans="3:4" ht="19.5" customHeight="1" x14ac:dyDescent="0.35">
      <c r="C631" s="665"/>
      <c r="D631" s="666"/>
    </row>
    <row r="632" spans="3:4" ht="19.5" customHeight="1" x14ac:dyDescent="0.35">
      <c r="C632" s="665"/>
      <c r="D632" s="666"/>
    </row>
    <row r="633" spans="3:4" ht="19.5" customHeight="1" x14ac:dyDescent="0.35">
      <c r="C633" s="665"/>
      <c r="D633" s="666"/>
    </row>
    <row r="634" spans="3:4" ht="19.5" customHeight="1" x14ac:dyDescent="0.35">
      <c r="C634" s="665"/>
      <c r="D634" s="666"/>
    </row>
    <row r="635" spans="3:4" ht="19.5" customHeight="1" x14ac:dyDescent="0.35">
      <c r="C635" s="665"/>
      <c r="D635" s="666"/>
    </row>
    <row r="636" spans="3:4" ht="19.5" customHeight="1" x14ac:dyDescent="0.35">
      <c r="C636" s="665"/>
      <c r="D636" s="666"/>
    </row>
    <row r="637" spans="3:4" ht="19.5" customHeight="1" x14ac:dyDescent="0.35">
      <c r="C637" s="665"/>
      <c r="D637" s="666"/>
    </row>
    <row r="638" spans="3:4" ht="19.5" customHeight="1" x14ac:dyDescent="0.35">
      <c r="C638" s="665"/>
      <c r="D638" s="666"/>
    </row>
    <row r="639" spans="3:4" ht="19.5" customHeight="1" x14ac:dyDescent="0.35">
      <c r="C639" s="665"/>
      <c r="D639" s="666"/>
    </row>
    <row r="640" spans="3:4" ht="19.5" customHeight="1" x14ac:dyDescent="0.35">
      <c r="C640" s="665"/>
      <c r="D640" s="666"/>
    </row>
    <row r="641" spans="3:4" ht="19.5" customHeight="1" x14ac:dyDescent="0.35">
      <c r="C641" s="665"/>
      <c r="D641" s="666"/>
    </row>
    <row r="642" spans="3:4" ht="19.5" customHeight="1" x14ac:dyDescent="0.35">
      <c r="C642" s="665"/>
      <c r="D642" s="666"/>
    </row>
    <row r="643" spans="3:4" ht="19.5" customHeight="1" x14ac:dyDescent="0.35">
      <c r="C643" s="665"/>
      <c r="D643" s="666"/>
    </row>
    <row r="644" spans="3:4" ht="19.5" customHeight="1" x14ac:dyDescent="0.35">
      <c r="C644" s="665"/>
      <c r="D644" s="666"/>
    </row>
    <row r="645" spans="3:4" ht="19.5" customHeight="1" x14ac:dyDescent="0.35">
      <c r="C645" s="665"/>
      <c r="D645" s="666"/>
    </row>
    <row r="646" spans="3:4" ht="19.5" customHeight="1" x14ac:dyDescent="0.35">
      <c r="C646" s="665"/>
      <c r="D646" s="666"/>
    </row>
    <row r="647" spans="3:4" ht="19.5" customHeight="1" x14ac:dyDescent="0.35">
      <c r="C647" s="665"/>
      <c r="D647" s="666"/>
    </row>
    <row r="648" spans="3:4" ht="19.5" customHeight="1" x14ac:dyDescent="0.35">
      <c r="C648" s="665"/>
      <c r="D648" s="666"/>
    </row>
    <row r="649" spans="3:4" ht="19.5" customHeight="1" x14ac:dyDescent="0.35">
      <c r="C649" s="665"/>
      <c r="D649" s="666"/>
    </row>
    <row r="650" spans="3:4" ht="19.5" customHeight="1" x14ac:dyDescent="0.35">
      <c r="C650" s="665"/>
      <c r="D650" s="666"/>
    </row>
    <row r="651" spans="3:4" ht="19.5" customHeight="1" x14ac:dyDescent="0.35">
      <c r="C651" s="665"/>
      <c r="D651" s="666"/>
    </row>
    <row r="652" spans="3:4" ht="19.5" customHeight="1" x14ac:dyDescent="0.35">
      <c r="C652" s="665"/>
      <c r="D652" s="666"/>
    </row>
    <row r="653" spans="3:4" ht="19.5" customHeight="1" x14ac:dyDescent="0.35">
      <c r="C653" s="665"/>
      <c r="D653" s="666"/>
    </row>
    <row r="654" spans="3:4" ht="19.5" customHeight="1" x14ac:dyDescent="0.35">
      <c r="C654" s="665"/>
      <c r="D654" s="666"/>
    </row>
    <row r="655" spans="3:4" ht="19.5" customHeight="1" x14ac:dyDescent="0.35">
      <c r="C655" s="665"/>
      <c r="D655" s="666"/>
    </row>
    <row r="656" spans="3:4" ht="19.5" customHeight="1" x14ac:dyDescent="0.35">
      <c r="C656" s="665"/>
      <c r="D656" s="666"/>
    </row>
    <row r="657" spans="3:4" ht="19.5" customHeight="1" x14ac:dyDescent="0.35">
      <c r="C657" s="665"/>
      <c r="D657" s="666"/>
    </row>
    <row r="658" spans="3:4" ht="19.5" customHeight="1" x14ac:dyDescent="0.35">
      <c r="C658" s="665"/>
      <c r="D658" s="666"/>
    </row>
    <row r="659" spans="3:4" ht="19.5" customHeight="1" x14ac:dyDescent="0.35">
      <c r="C659" s="665"/>
      <c r="D659" s="666"/>
    </row>
    <row r="660" spans="3:4" ht="19.5" customHeight="1" x14ac:dyDescent="0.35">
      <c r="C660" s="665"/>
      <c r="D660" s="666"/>
    </row>
    <row r="661" spans="3:4" ht="19.5" customHeight="1" x14ac:dyDescent="0.35">
      <c r="C661" s="665"/>
      <c r="D661" s="666"/>
    </row>
    <row r="662" spans="3:4" ht="19.5" customHeight="1" x14ac:dyDescent="0.35">
      <c r="C662" s="665"/>
      <c r="D662" s="666"/>
    </row>
    <row r="663" spans="3:4" ht="19.5" customHeight="1" x14ac:dyDescent="0.35">
      <c r="C663" s="665"/>
      <c r="D663" s="666"/>
    </row>
    <row r="664" spans="3:4" ht="19.5" customHeight="1" x14ac:dyDescent="0.35">
      <c r="C664" s="665"/>
      <c r="D664" s="666"/>
    </row>
    <row r="665" spans="3:4" ht="19.5" customHeight="1" x14ac:dyDescent="0.35">
      <c r="C665" s="665"/>
      <c r="D665" s="666"/>
    </row>
    <row r="666" spans="3:4" ht="19.5" customHeight="1" x14ac:dyDescent="0.35">
      <c r="C666" s="665"/>
      <c r="D666" s="666"/>
    </row>
    <row r="667" spans="3:4" ht="19.5" customHeight="1" x14ac:dyDescent="0.35">
      <c r="C667" s="665"/>
      <c r="D667" s="666"/>
    </row>
    <row r="668" spans="3:4" ht="19.5" customHeight="1" x14ac:dyDescent="0.35">
      <c r="C668" s="665"/>
      <c r="D668" s="666"/>
    </row>
    <row r="669" spans="3:4" ht="19.5" customHeight="1" x14ac:dyDescent="0.35">
      <c r="C669" s="665"/>
      <c r="D669" s="666"/>
    </row>
    <row r="670" spans="3:4" ht="19.5" customHeight="1" x14ac:dyDescent="0.35">
      <c r="C670" s="665"/>
      <c r="D670" s="666"/>
    </row>
    <row r="671" spans="3:4" ht="19.5" customHeight="1" x14ac:dyDescent="0.35">
      <c r="C671" s="665"/>
      <c r="D671" s="666"/>
    </row>
    <row r="672" spans="3:4" ht="19.5" customHeight="1" x14ac:dyDescent="0.35">
      <c r="C672" s="665"/>
      <c r="D672" s="666"/>
    </row>
    <row r="673" spans="3:4" ht="19.5" customHeight="1" x14ac:dyDescent="0.35">
      <c r="C673" s="665"/>
      <c r="D673" s="666"/>
    </row>
    <row r="674" spans="3:4" ht="19.5" customHeight="1" x14ac:dyDescent="0.35">
      <c r="C674" s="665"/>
      <c r="D674" s="666"/>
    </row>
    <row r="675" spans="3:4" ht="19.5" customHeight="1" x14ac:dyDescent="0.35">
      <c r="C675" s="665"/>
      <c r="D675" s="666"/>
    </row>
    <row r="676" spans="3:4" ht="19.5" customHeight="1" x14ac:dyDescent="0.35">
      <c r="C676" s="665"/>
      <c r="D676" s="666"/>
    </row>
    <row r="677" spans="3:4" ht="19.5" customHeight="1" x14ac:dyDescent="0.35">
      <c r="C677" s="665"/>
      <c r="D677" s="666"/>
    </row>
    <row r="678" spans="3:4" ht="19.5" customHeight="1" x14ac:dyDescent="0.35">
      <c r="C678" s="665"/>
      <c r="D678" s="666"/>
    </row>
    <row r="679" spans="3:4" ht="19.5" customHeight="1" x14ac:dyDescent="0.35">
      <c r="C679" s="665"/>
      <c r="D679" s="666"/>
    </row>
    <row r="680" spans="3:4" ht="19.5" customHeight="1" x14ac:dyDescent="0.35">
      <c r="C680" s="665"/>
      <c r="D680" s="666"/>
    </row>
    <row r="681" spans="3:4" ht="19.5" customHeight="1" x14ac:dyDescent="0.35">
      <c r="C681" s="665"/>
      <c r="D681" s="666"/>
    </row>
    <row r="682" spans="3:4" ht="19.5" customHeight="1" x14ac:dyDescent="0.35">
      <c r="C682" s="665"/>
      <c r="D682" s="666"/>
    </row>
    <row r="683" spans="3:4" ht="19.5" customHeight="1" x14ac:dyDescent="0.35">
      <c r="C683" s="665"/>
      <c r="D683" s="666"/>
    </row>
    <row r="684" spans="3:4" ht="19.5" customHeight="1" x14ac:dyDescent="0.35">
      <c r="C684" s="665"/>
      <c r="D684" s="666"/>
    </row>
    <row r="685" spans="3:4" ht="19.5" customHeight="1" x14ac:dyDescent="0.35">
      <c r="C685" s="665"/>
      <c r="D685" s="666"/>
    </row>
    <row r="686" spans="3:4" ht="19.5" customHeight="1" x14ac:dyDescent="0.35">
      <c r="C686" s="665"/>
      <c r="D686" s="666"/>
    </row>
    <row r="687" spans="3:4" ht="19.5" customHeight="1" x14ac:dyDescent="0.35">
      <c r="C687" s="665"/>
      <c r="D687" s="666"/>
    </row>
    <row r="688" spans="3:4" ht="19.5" customHeight="1" x14ac:dyDescent="0.35">
      <c r="C688" s="665"/>
      <c r="D688" s="666"/>
    </row>
    <row r="689" spans="3:4" ht="19.5" customHeight="1" x14ac:dyDescent="0.35">
      <c r="C689" s="665"/>
      <c r="D689" s="666"/>
    </row>
    <row r="690" spans="3:4" ht="19.5" customHeight="1" x14ac:dyDescent="0.35">
      <c r="C690" s="665"/>
      <c r="D690" s="666"/>
    </row>
    <row r="691" spans="3:4" ht="19.5" customHeight="1" x14ac:dyDescent="0.35">
      <c r="C691" s="665"/>
      <c r="D691" s="666"/>
    </row>
    <row r="692" spans="3:4" ht="19.5" customHeight="1" x14ac:dyDescent="0.35">
      <c r="C692" s="665"/>
      <c r="D692" s="666"/>
    </row>
    <row r="693" spans="3:4" ht="19.5" customHeight="1" x14ac:dyDescent="0.35">
      <c r="C693" s="665"/>
      <c r="D693" s="666"/>
    </row>
    <row r="694" spans="3:4" ht="19.5" customHeight="1" x14ac:dyDescent="0.35">
      <c r="C694" s="665"/>
      <c r="D694" s="666"/>
    </row>
    <row r="695" spans="3:4" ht="19.5" customHeight="1" x14ac:dyDescent="0.35">
      <c r="C695" s="665"/>
      <c r="D695" s="666"/>
    </row>
    <row r="696" spans="3:4" ht="19.5" customHeight="1" x14ac:dyDescent="0.35">
      <c r="C696" s="665"/>
      <c r="D696" s="666"/>
    </row>
    <row r="697" spans="3:4" ht="19.5" customHeight="1" x14ac:dyDescent="0.35">
      <c r="C697" s="665"/>
      <c r="D697" s="666"/>
    </row>
    <row r="698" spans="3:4" ht="19.5" customHeight="1" x14ac:dyDescent="0.35">
      <c r="C698" s="665"/>
      <c r="D698" s="666"/>
    </row>
    <row r="699" spans="3:4" ht="19.5" customHeight="1" x14ac:dyDescent="0.35">
      <c r="C699" s="665"/>
      <c r="D699" s="666"/>
    </row>
    <row r="700" spans="3:4" ht="19.5" customHeight="1" x14ac:dyDescent="0.35">
      <c r="C700" s="665"/>
      <c r="D700" s="666"/>
    </row>
    <row r="701" spans="3:4" ht="19.5" customHeight="1" x14ac:dyDescent="0.35">
      <c r="C701" s="665"/>
      <c r="D701" s="666"/>
    </row>
    <row r="702" spans="3:4" ht="19.5" customHeight="1" x14ac:dyDescent="0.35">
      <c r="C702" s="665"/>
      <c r="D702" s="666"/>
    </row>
    <row r="703" spans="3:4" ht="19.5" customHeight="1" x14ac:dyDescent="0.35">
      <c r="C703" s="665"/>
      <c r="D703" s="666"/>
    </row>
    <row r="704" spans="3:4" ht="19.5" customHeight="1" x14ac:dyDescent="0.35">
      <c r="C704" s="665"/>
      <c r="D704" s="666"/>
    </row>
    <row r="705" spans="3:4" ht="19.5" customHeight="1" x14ac:dyDescent="0.35">
      <c r="C705" s="665"/>
      <c r="D705" s="666"/>
    </row>
    <row r="706" spans="3:4" ht="19.5" customHeight="1" x14ac:dyDescent="0.35">
      <c r="C706" s="665"/>
      <c r="D706" s="666"/>
    </row>
    <row r="707" spans="3:4" ht="19.5" customHeight="1" x14ac:dyDescent="0.35">
      <c r="C707" s="665"/>
      <c r="D707" s="666"/>
    </row>
    <row r="708" spans="3:4" ht="19.5" customHeight="1" x14ac:dyDescent="0.35">
      <c r="C708" s="665"/>
      <c r="D708" s="666"/>
    </row>
    <row r="709" spans="3:4" ht="19.5" customHeight="1" x14ac:dyDescent="0.35">
      <c r="C709" s="665"/>
      <c r="D709" s="666"/>
    </row>
    <row r="710" spans="3:4" ht="19.5" customHeight="1" x14ac:dyDescent="0.35">
      <c r="C710" s="665"/>
      <c r="D710" s="666"/>
    </row>
    <row r="711" spans="3:4" ht="19.5" customHeight="1" x14ac:dyDescent="0.35">
      <c r="C711" s="665"/>
      <c r="D711" s="666"/>
    </row>
    <row r="712" spans="3:4" ht="19.5" customHeight="1" x14ac:dyDescent="0.35">
      <c r="C712" s="665"/>
      <c r="D712" s="666"/>
    </row>
    <row r="713" spans="3:4" ht="19.5" customHeight="1" x14ac:dyDescent="0.35">
      <c r="C713" s="665"/>
      <c r="D713" s="666"/>
    </row>
    <row r="714" spans="3:4" ht="19.5" customHeight="1" x14ac:dyDescent="0.35">
      <c r="C714" s="665"/>
      <c r="D714" s="666"/>
    </row>
    <row r="715" spans="3:4" ht="19.5" customHeight="1" x14ac:dyDescent="0.35">
      <c r="C715" s="665"/>
      <c r="D715" s="666"/>
    </row>
    <row r="716" spans="3:4" ht="19.5" customHeight="1" x14ac:dyDescent="0.35">
      <c r="C716" s="665"/>
      <c r="D716" s="666"/>
    </row>
    <row r="717" spans="3:4" ht="19.5" customHeight="1" x14ac:dyDescent="0.35">
      <c r="C717" s="665"/>
      <c r="D717" s="666"/>
    </row>
    <row r="718" spans="3:4" ht="19.5" customHeight="1" x14ac:dyDescent="0.35">
      <c r="C718" s="665"/>
      <c r="D718" s="666"/>
    </row>
    <row r="719" spans="3:4" ht="19.5" customHeight="1" x14ac:dyDescent="0.35">
      <c r="C719" s="665"/>
      <c r="D719" s="666"/>
    </row>
    <row r="720" spans="3:4" ht="19.5" customHeight="1" x14ac:dyDescent="0.35">
      <c r="C720" s="665"/>
      <c r="D720" s="666"/>
    </row>
    <row r="721" spans="3:4" ht="19.5" customHeight="1" x14ac:dyDescent="0.35">
      <c r="C721" s="665"/>
      <c r="D721" s="666"/>
    </row>
    <row r="722" spans="3:4" ht="19.5" customHeight="1" x14ac:dyDescent="0.35">
      <c r="C722" s="665"/>
      <c r="D722" s="666"/>
    </row>
    <row r="723" spans="3:4" ht="19.5" customHeight="1" x14ac:dyDescent="0.35">
      <c r="C723" s="665"/>
      <c r="D723" s="666"/>
    </row>
    <row r="724" spans="3:4" ht="19.5" customHeight="1" x14ac:dyDescent="0.35">
      <c r="C724" s="665"/>
      <c r="D724" s="666"/>
    </row>
    <row r="725" spans="3:4" ht="19.5" customHeight="1" x14ac:dyDescent="0.35">
      <c r="C725" s="665"/>
      <c r="D725" s="666"/>
    </row>
    <row r="726" spans="3:4" ht="19.5" customHeight="1" x14ac:dyDescent="0.35">
      <c r="C726" s="665"/>
      <c r="D726" s="666"/>
    </row>
    <row r="727" spans="3:4" ht="19.5" customHeight="1" x14ac:dyDescent="0.35">
      <c r="C727" s="665"/>
      <c r="D727" s="666"/>
    </row>
    <row r="728" spans="3:4" ht="19.5" customHeight="1" x14ac:dyDescent="0.35">
      <c r="C728" s="665"/>
      <c r="D728" s="666"/>
    </row>
    <row r="729" spans="3:4" ht="19.5" customHeight="1" x14ac:dyDescent="0.35">
      <c r="C729" s="665"/>
      <c r="D729" s="666"/>
    </row>
    <row r="730" spans="3:4" ht="19.5" customHeight="1" x14ac:dyDescent="0.35">
      <c r="C730" s="665"/>
      <c r="D730" s="666"/>
    </row>
    <row r="731" spans="3:4" ht="19.5" customHeight="1" x14ac:dyDescent="0.35">
      <c r="C731" s="665"/>
      <c r="D731" s="666"/>
    </row>
    <row r="732" spans="3:4" ht="19.5" customHeight="1" x14ac:dyDescent="0.35">
      <c r="C732" s="665"/>
      <c r="D732" s="666"/>
    </row>
    <row r="733" spans="3:4" ht="19.5" customHeight="1" x14ac:dyDescent="0.35">
      <c r="C733" s="665"/>
      <c r="D733" s="666"/>
    </row>
    <row r="734" spans="3:4" ht="19.5" customHeight="1" x14ac:dyDescent="0.35">
      <c r="C734" s="665"/>
      <c r="D734" s="666"/>
    </row>
    <row r="735" spans="3:4" ht="19.5" customHeight="1" x14ac:dyDescent="0.35">
      <c r="C735" s="665"/>
      <c r="D735" s="666"/>
    </row>
    <row r="736" spans="3:4" ht="19.5" customHeight="1" x14ac:dyDescent="0.35">
      <c r="C736" s="665"/>
      <c r="D736" s="666"/>
    </row>
    <row r="737" spans="3:4" ht="19.5" customHeight="1" x14ac:dyDescent="0.35">
      <c r="C737" s="665"/>
      <c r="D737" s="666"/>
    </row>
    <row r="738" spans="3:4" ht="19.5" customHeight="1" x14ac:dyDescent="0.35">
      <c r="C738" s="665"/>
      <c r="D738" s="666"/>
    </row>
    <row r="739" spans="3:4" ht="19.5" customHeight="1" x14ac:dyDescent="0.35">
      <c r="C739" s="665"/>
      <c r="D739" s="666"/>
    </row>
    <row r="740" spans="3:4" ht="19.5" customHeight="1" x14ac:dyDescent="0.35">
      <c r="C740" s="665"/>
      <c r="D740" s="666"/>
    </row>
    <row r="741" spans="3:4" ht="19.5" customHeight="1" x14ac:dyDescent="0.35">
      <c r="C741" s="665"/>
      <c r="D741" s="666"/>
    </row>
    <row r="742" spans="3:4" ht="19.5" customHeight="1" x14ac:dyDescent="0.35">
      <c r="C742" s="665"/>
      <c r="D742" s="666"/>
    </row>
    <row r="743" spans="3:4" ht="19.5" customHeight="1" x14ac:dyDescent="0.35">
      <c r="C743" s="665"/>
      <c r="D743" s="666"/>
    </row>
    <row r="744" spans="3:4" ht="19.5" customHeight="1" x14ac:dyDescent="0.35">
      <c r="C744" s="665"/>
      <c r="D744" s="666"/>
    </row>
    <row r="745" spans="3:4" ht="19.5" customHeight="1" x14ac:dyDescent="0.35">
      <c r="C745" s="665"/>
      <c r="D745" s="666"/>
    </row>
    <row r="746" spans="3:4" ht="19.5" customHeight="1" x14ac:dyDescent="0.35">
      <c r="C746" s="665"/>
      <c r="D746" s="666"/>
    </row>
    <row r="747" spans="3:4" ht="19.5" customHeight="1" x14ac:dyDescent="0.35">
      <c r="C747" s="665"/>
      <c r="D747" s="666"/>
    </row>
    <row r="748" spans="3:4" ht="19.5" customHeight="1" x14ac:dyDescent="0.35">
      <c r="C748" s="665"/>
      <c r="D748" s="666"/>
    </row>
    <row r="749" spans="3:4" ht="19.5" customHeight="1" x14ac:dyDescent="0.35">
      <c r="C749" s="665"/>
      <c r="D749" s="666"/>
    </row>
    <row r="750" spans="3:4" ht="19.5" customHeight="1" x14ac:dyDescent="0.35">
      <c r="C750" s="665"/>
      <c r="D750" s="666"/>
    </row>
    <row r="751" spans="3:4" ht="19.5" customHeight="1" x14ac:dyDescent="0.35">
      <c r="C751" s="665"/>
      <c r="D751" s="666"/>
    </row>
    <row r="752" spans="3:4" ht="19.5" customHeight="1" x14ac:dyDescent="0.35">
      <c r="C752" s="665"/>
      <c r="D752" s="666"/>
    </row>
    <row r="753" spans="3:4" ht="19.5" customHeight="1" x14ac:dyDescent="0.35">
      <c r="C753" s="665"/>
      <c r="D753" s="666"/>
    </row>
    <row r="754" spans="3:4" ht="19.5" customHeight="1" x14ac:dyDescent="0.35">
      <c r="C754" s="665"/>
      <c r="D754" s="666"/>
    </row>
    <row r="755" spans="3:4" ht="19.5" customHeight="1" x14ac:dyDescent="0.35">
      <c r="C755" s="665"/>
      <c r="D755" s="666"/>
    </row>
    <row r="756" spans="3:4" ht="19.5" customHeight="1" x14ac:dyDescent="0.35">
      <c r="C756" s="665"/>
      <c r="D756" s="666"/>
    </row>
    <row r="757" spans="3:4" ht="19.5" customHeight="1" x14ac:dyDescent="0.35">
      <c r="C757" s="665"/>
      <c r="D757" s="666"/>
    </row>
    <row r="758" spans="3:4" ht="19.5" customHeight="1" x14ac:dyDescent="0.35">
      <c r="C758" s="665"/>
      <c r="D758" s="666"/>
    </row>
    <row r="759" spans="3:4" ht="19.5" customHeight="1" x14ac:dyDescent="0.35">
      <c r="C759" s="665"/>
      <c r="D759" s="666"/>
    </row>
    <row r="760" spans="3:4" ht="19.5" customHeight="1" x14ac:dyDescent="0.35">
      <c r="C760" s="665"/>
      <c r="D760" s="666"/>
    </row>
    <row r="761" spans="3:4" ht="19.5" customHeight="1" x14ac:dyDescent="0.35">
      <c r="C761" s="665"/>
      <c r="D761" s="666"/>
    </row>
    <row r="762" spans="3:4" ht="19.5" customHeight="1" x14ac:dyDescent="0.35">
      <c r="C762" s="665"/>
      <c r="D762" s="666"/>
    </row>
    <row r="763" spans="3:4" ht="19.5" customHeight="1" x14ac:dyDescent="0.35">
      <c r="C763" s="665"/>
      <c r="D763" s="666"/>
    </row>
    <row r="764" spans="3:4" ht="19.5" customHeight="1" x14ac:dyDescent="0.35">
      <c r="C764" s="665"/>
      <c r="D764" s="666"/>
    </row>
    <row r="765" spans="3:4" ht="19.5" customHeight="1" x14ac:dyDescent="0.35">
      <c r="C765" s="665"/>
      <c r="D765" s="666"/>
    </row>
    <row r="766" spans="3:4" ht="19.5" customHeight="1" x14ac:dyDescent="0.35">
      <c r="C766" s="665"/>
      <c r="D766" s="666"/>
    </row>
    <row r="767" spans="3:4" ht="19.5" customHeight="1" x14ac:dyDescent="0.35">
      <c r="C767" s="665"/>
      <c r="D767" s="666"/>
    </row>
    <row r="768" spans="3:4" ht="19.5" customHeight="1" x14ac:dyDescent="0.35">
      <c r="C768" s="665"/>
      <c r="D768" s="666"/>
    </row>
    <row r="769" spans="3:4" ht="19.5" customHeight="1" x14ac:dyDescent="0.35">
      <c r="C769" s="665"/>
      <c r="D769" s="666"/>
    </row>
    <row r="770" spans="3:4" ht="19.5" customHeight="1" x14ac:dyDescent="0.35">
      <c r="C770" s="665"/>
      <c r="D770" s="666"/>
    </row>
    <row r="771" spans="3:4" ht="19.5" customHeight="1" x14ac:dyDescent="0.35">
      <c r="C771" s="665"/>
      <c r="D771" s="666"/>
    </row>
    <row r="772" spans="3:4" ht="19.5" customHeight="1" x14ac:dyDescent="0.35">
      <c r="C772" s="665"/>
      <c r="D772" s="666"/>
    </row>
    <row r="773" spans="3:4" ht="19.5" customHeight="1" x14ac:dyDescent="0.35">
      <c r="C773" s="665"/>
      <c r="D773" s="666"/>
    </row>
    <row r="774" spans="3:4" ht="19.5" customHeight="1" x14ac:dyDescent="0.35">
      <c r="C774" s="665"/>
      <c r="D774" s="666"/>
    </row>
    <row r="775" spans="3:4" ht="19.5" customHeight="1" x14ac:dyDescent="0.35">
      <c r="C775" s="665"/>
      <c r="D775" s="666"/>
    </row>
    <row r="776" spans="3:4" ht="19.5" customHeight="1" x14ac:dyDescent="0.35">
      <c r="C776" s="665"/>
      <c r="D776" s="666"/>
    </row>
    <row r="777" spans="3:4" ht="19.5" customHeight="1" x14ac:dyDescent="0.35">
      <c r="C777" s="665"/>
      <c r="D777" s="666"/>
    </row>
    <row r="778" spans="3:4" ht="19.5" customHeight="1" x14ac:dyDescent="0.35">
      <c r="C778" s="665"/>
      <c r="D778" s="666"/>
    </row>
    <row r="779" spans="3:4" ht="19.5" customHeight="1" x14ac:dyDescent="0.35">
      <c r="C779" s="665"/>
      <c r="D779" s="666"/>
    </row>
    <row r="780" spans="3:4" ht="19.5" customHeight="1" x14ac:dyDescent="0.35">
      <c r="C780" s="665"/>
      <c r="D780" s="666"/>
    </row>
    <row r="781" spans="3:4" ht="19.5" customHeight="1" x14ac:dyDescent="0.35">
      <c r="C781" s="665"/>
      <c r="D781" s="666"/>
    </row>
    <row r="782" spans="3:4" ht="19.5" customHeight="1" x14ac:dyDescent="0.35">
      <c r="C782" s="665"/>
      <c r="D782" s="666"/>
    </row>
    <row r="783" spans="3:4" ht="19.5" customHeight="1" x14ac:dyDescent="0.35">
      <c r="C783" s="665"/>
      <c r="D783" s="666"/>
    </row>
    <row r="784" spans="3:4" ht="19.5" customHeight="1" x14ac:dyDescent="0.35">
      <c r="C784" s="665"/>
      <c r="D784" s="666"/>
    </row>
    <row r="785" spans="3:4" ht="19.5" customHeight="1" x14ac:dyDescent="0.35">
      <c r="C785" s="665"/>
      <c r="D785" s="666"/>
    </row>
    <row r="786" spans="3:4" ht="19.5" customHeight="1" x14ac:dyDescent="0.35">
      <c r="C786" s="665"/>
      <c r="D786" s="666"/>
    </row>
    <row r="787" spans="3:4" ht="19.5" customHeight="1" x14ac:dyDescent="0.35">
      <c r="C787" s="665"/>
      <c r="D787" s="666"/>
    </row>
    <row r="788" spans="3:4" ht="19.5" customHeight="1" x14ac:dyDescent="0.35">
      <c r="C788" s="665"/>
      <c r="D788" s="666"/>
    </row>
    <row r="789" spans="3:4" ht="19.5" customHeight="1" x14ac:dyDescent="0.35">
      <c r="C789" s="665"/>
      <c r="D789" s="666"/>
    </row>
    <row r="790" spans="3:4" ht="19.5" customHeight="1" x14ac:dyDescent="0.35">
      <c r="C790" s="665"/>
      <c r="D790" s="666"/>
    </row>
    <row r="791" spans="3:4" ht="19.5" customHeight="1" x14ac:dyDescent="0.35">
      <c r="C791" s="665"/>
      <c r="D791" s="666"/>
    </row>
    <row r="792" spans="3:4" ht="19.5" customHeight="1" x14ac:dyDescent="0.35">
      <c r="C792" s="665"/>
      <c r="D792" s="666"/>
    </row>
    <row r="793" spans="3:4" ht="19.5" customHeight="1" x14ac:dyDescent="0.35">
      <c r="C793" s="665"/>
      <c r="D793" s="666"/>
    </row>
    <row r="794" spans="3:4" ht="19.5" customHeight="1" x14ac:dyDescent="0.35">
      <c r="C794" s="665"/>
      <c r="D794" s="666"/>
    </row>
    <row r="795" spans="3:4" ht="19.5" customHeight="1" x14ac:dyDescent="0.35">
      <c r="C795" s="665"/>
      <c r="D795" s="666"/>
    </row>
    <row r="796" spans="3:4" ht="19.5" customHeight="1" x14ac:dyDescent="0.35">
      <c r="C796" s="665"/>
      <c r="D796" s="666"/>
    </row>
    <row r="797" spans="3:4" ht="19.5" customHeight="1" x14ac:dyDescent="0.35">
      <c r="C797" s="665"/>
      <c r="D797" s="666"/>
    </row>
    <row r="798" spans="3:4" ht="19.5" customHeight="1" x14ac:dyDescent="0.35">
      <c r="C798" s="665"/>
      <c r="D798" s="666"/>
    </row>
    <row r="799" spans="3:4" ht="19.5" customHeight="1" x14ac:dyDescent="0.35">
      <c r="C799" s="665"/>
      <c r="D799" s="666"/>
    </row>
    <row r="800" spans="3:4" ht="19.5" customHeight="1" x14ac:dyDescent="0.35">
      <c r="C800" s="665"/>
      <c r="D800" s="666"/>
    </row>
    <row r="801" spans="3:4" ht="19.5" customHeight="1" x14ac:dyDescent="0.35">
      <c r="C801" s="665"/>
      <c r="D801" s="666"/>
    </row>
    <row r="802" spans="3:4" ht="19.5" customHeight="1" x14ac:dyDescent="0.35">
      <c r="C802" s="665"/>
      <c r="D802" s="666"/>
    </row>
    <row r="803" spans="3:4" ht="19.5" customHeight="1" x14ac:dyDescent="0.35">
      <c r="C803" s="665"/>
      <c r="D803" s="666"/>
    </row>
    <row r="804" spans="3:4" ht="19.5" customHeight="1" x14ac:dyDescent="0.35">
      <c r="C804" s="665"/>
      <c r="D804" s="666"/>
    </row>
    <row r="805" spans="3:4" ht="19.5" customHeight="1" x14ac:dyDescent="0.35">
      <c r="C805" s="665"/>
      <c r="D805" s="666"/>
    </row>
    <row r="806" spans="3:4" ht="19.5" customHeight="1" x14ac:dyDescent="0.35">
      <c r="C806" s="665"/>
      <c r="D806" s="666"/>
    </row>
    <row r="807" spans="3:4" ht="19.5" customHeight="1" x14ac:dyDescent="0.35">
      <c r="C807" s="665"/>
      <c r="D807" s="666"/>
    </row>
    <row r="808" spans="3:4" ht="19.5" customHeight="1" x14ac:dyDescent="0.35">
      <c r="C808" s="665"/>
      <c r="D808" s="666"/>
    </row>
    <row r="809" spans="3:4" ht="19.5" customHeight="1" x14ac:dyDescent="0.35">
      <c r="C809" s="665"/>
      <c r="D809" s="666"/>
    </row>
    <row r="810" spans="3:4" ht="19.5" customHeight="1" x14ac:dyDescent="0.35">
      <c r="C810" s="665"/>
      <c r="D810" s="666"/>
    </row>
    <row r="811" spans="3:4" ht="19.5" customHeight="1" x14ac:dyDescent="0.35">
      <c r="C811" s="665"/>
      <c r="D811" s="666"/>
    </row>
    <row r="812" spans="3:4" ht="19.5" customHeight="1" x14ac:dyDescent="0.35">
      <c r="C812" s="665"/>
      <c r="D812" s="666"/>
    </row>
    <row r="813" spans="3:4" ht="19.5" customHeight="1" x14ac:dyDescent="0.35">
      <c r="C813" s="665"/>
      <c r="D813" s="666"/>
    </row>
    <row r="814" spans="3:4" ht="19.5" customHeight="1" x14ac:dyDescent="0.35">
      <c r="C814" s="665"/>
      <c r="D814" s="666"/>
    </row>
    <row r="815" spans="3:4" ht="19.5" customHeight="1" x14ac:dyDescent="0.35">
      <c r="C815" s="665"/>
      <c r="D815" s="666"/>
    </row>
    <row r="816" spans="3:4" ht="19.5" customHeight="1" x14ac:dyDescent="0.35">
      <c r="C816" s="665"/>
      <c r="D816" s="666"/>
    </row>
    <row r="817" spans="3:4" ht="19.5" customHeight="1" x14ac:dyDescent="0.35">
      <c r="C817" s="665"/>
      <c r="D817" s="666"/>
    </row>
    <row r="818" spans="3:4" ht="19.5" customHeight="1" x14ac:dyDescent="0.35">
      <c r="C818" s="665"/>
      <c r="D818" s="666"/>
    </row>
    <row r="819" spans="3:4" ht="19.5" customHeight="1" x14ac:dyDescent="0.35">
      <c r="C819" s="665"/>
      <c r="D819" s="666"/>
    </row>
    <row r="820" spans="3:4" ht="19.5" customHeight="1" x14ac:dyDescent="0.35">
      <c r="C820" s="665"/>
      <c r="D820" s="666"/>
    </row>
    <row r="821" spans="3:4" ht="19.5" customHeight="1" x14ac:dyDescent="0.35">
      <c r="C821" s="665"/>
      <c r="D821" s="666"/>
    </row>
    <row r="822" spans="3:4" ht="19.5" customHeight="1" x14ac:dyDescent="0.35">
      <c r="C822" s="665"/>
      <c r="D822" s="666"/>
    </row>
    <row r="823" spans="3:4" ht="19.5" customHeight="1" x14ac:dyDescent="0.35">
      <c r="C823" s="665"/>
      <c r="D823" s="666"/>
    </row>
    <row r="824" spans="3:4" ht="19.5" customHeight="1" x14ac:dyDescent="0.35">
      <c r="C824" s="665"/>
      <c r="D824" s="666"/>
    </row>
    <row r="825" spans="3:4" ht="19.5" customHeight="1" x14ac:dyDescent="0.35">
      <c r="C825" s="665"/>
      <c r="D825" s="666"/>
    </row>
    <row r="826" spans="3:4" ht="19.5" customHeight="1" x14ac:dyDescent="0.35">
      <c r="C826" s="665"/>
      <c r="D826" s="666"/>
    </row>
    <row r="827" spans="3:4" ht="19.5" customHeight="1" x14ac:dyDescent="0.35">
      <c r="C827" s="665"/>
      <c r="D827" s="666"/>
    </row>
    <row r="828" spans="3:4" ht="19.5" customHeight="1" x14ac:dyDescent="0.35">
      <c r="C828" s="665"/>
      <c r="D828" s="666"/>
    </row>
    <row r="829" spans="3:4" ht="19.5" customHeight="1" x14ac:dyDescent="0.35">
      <c r="C829" s="665"/>
      <c r="D829" s="666"/>
    </row>
    <row r="830" spans="3:4" ht="19.5" customHeight="1" x14ac:dyDescent="0.35">
      <c r="C830" s="665"/>
      <c r="D830" s="666"/>
    </row>
    <row r="831" spans="3:4" ht="19.5" customHeight="1" x14ac:dyDescent="0.35">
      <c r="C831" s="665"/>
      <c r="D831" s="666"/>
    </row>
    <row r="832" spans="3:4" ht="19.5" customHeight="1" x14ac:dyDescent="0.35">
      <c r="C832" s="665"/>
      <c r="D832" s="666"/>
    </row>
    <row r="833" spans="3:4" ht="19.5" customHeight="1" x14ac:dyDescent="0.35">
      <c r="C833" s="665"/>
      <c r="D833" s="666"/>
    </row>
    <row r="834" spans="3:4" ht="19.5" customHeight="1" x14ac:dyDescent="0.35">
      <c r="C834" s="665"/>
      <c r="D834" s="666"/>
    </row>
    <row r="835" spans="3:4" ht="19.5" customHeight="1" x14ac:dyDescent="0.35">
      <c r="C835" s="665"/>
      <c r="D835" s="666"/>
    </row>
    <row r="836" spans="3:4" ht="19.5" customHeight="1" x14ac:dyDescent="0.35">
      <c r="C836" s="665"/>
      <c r="D836" s="666"/>
    </row>
    <row r="837" spans="3:4" ht="19.5" customHeight="1" x14ac:dyDescent="0.35">
      <c r="C837" s="665"/>
      <c r="D837" s="666"/>
    </row>
    <row r="838" spans="3:4" ht="19.5" customHeight="1" x14ac:dyDescent="0.35">
      <c r="C838" s="665"/>
      <c r="D838" s="666"/>
    </row>
    <row r="839" spans="3:4" ht="19.5" customHeight="1" x14ac:dyDescent="0.35">
      <c r="C839" s="665"/>
      <c r="D839" s="666"/>
    </row>
    <row r="840" spans="3:4" ht="19.5" customHeight="1" x14ac:dyDescent="0.35">
      <c r="C840" s="665"/>
      <c r="D840" s="666"/>
    </row>
    <row r="841" spans="3:4" ht="19.5" customHeight="1" x14ac:dyDescent="0.35">
      <c r="C841" s="665"/>
      <c r="D841" s="666"/>
    </row>
    <row r="842" spans="3:4" ht="19.5" customHeight="1" x14ac:dyDescent="0.35">
      <c r="C842" s="665"/>
      <c r="D842" s="666"/>
    </row>
    <row r="843" spans="3:4" ht="19.5" customHeight="1" x14ac:dyDescent="0.35">
      <c r="C843" s="665"/>
      <c r="D843" s="666"/>
    </row>
    <row r="844" spans="3:4" ht="19.5" customHeight="1" x14ac:dyDescent="0.35">
      <c r="C844" s="665"/>
      <c r="D844" s="666"/>
    </row>
    <row r="845" spans="3:4" ht="19.5" customHeight="1" x14ac:dyDescent="0.35">
      <c r="C845" s="665"/>
      <c r="D845" s="666"/>
    </row>
    <row r="846" spans="3:4" ht="19.5" customHeight="1" x14ac:dyDescent="0.35">
      <c r="C846" s="665"/>
      <c r="D846" s="666"/>
    </row>
    <row r="847" spans="3:4" ht="19.5" customHeight="1" x14ac:dyDescent="0.35">
      <c r="C847" s="665"/>
      <c r="D847" s="666"/>
    </row>
    <row r="848" spans="3:4" ht="19.5" customHeight="1" x14ac:dyDescent="0.35">
      <c r="C848" s="665"/>
      <c r="D848" s="666"/>
    </row>
    <row r="849" spans="3:4" ht="19.5" customHeight="1" x14ac:dyDescent="0.35">
      <c r="C849" s="665"/>
      <c r="D849" s="666"/>
    </row>
    <row r="850" spans="3:4" ht="19.5" customHeight="1" x14ac:dyDescent="0.35">
      <c r="C850" s="665"/>
      <c r="D850" s="666"/>
    </row>
    <row r="851" spans="3:4" ht="19.5" customHeight="1" x14ac:dyDescent="0.35">
      <c r="C851" s="665"/>
      <c r="D851" s="666"/>
    </row>
    <row r="852" spans="3:4" ht="19.5" customHeight="1" x14ac:dyDescent="0.35">
      <c r="C852" s="665"/>
      <c r="D852" s="666"/>
    </row>
    <row r="853" spans="3:4" ht="19.5" customHeight="1" x14ac:dyDescent="0.35">
      <c r="C853" s="665"/>
      <c r="D853" s="666"/>
    </row>
    <row r="854" spans="3:4" ht="19.5" customHeight="1" x14ac:dyDescent="0.35">
      <c r="C854" s="665"/>
      <c r="D854" s="666"/>
    </row>
    <row r="855" spans="3:4" ht="19.5" customHeight="1" x14ac:dyDescent="0.35">
      <c r="C855" s="665"/>
      <c r="D855" s="666"/>
    </row>
    <row r="856" spans="3:4" ht="19.5" customHeight="1" x14ac:dyDescent="0.35">
      <c r="C856" s="665"/>
      <c r="D856" s="666"/>
    </row>
    <row r="857" spans="3:4" ht="19.5" customHeight="1" x14ac:dyDescent="0.35">
      <c r="C857" s="665"/>
      <c r="D857" s="666"/>
    </row>
    <row r="858" spans="3:4" ht="19.5" customHeight="1" x14ac:dyDescent="0.35">
      <c r="C858" s="665"/>
      <c r="D858" s="666"/>
    </row>
    <row r="859" spans="3:4" ht="19.5" customHeight="1" x14ac:dyDescent="0.35">
      <c r="C859" s="665"/>
      <c r="D859" s="666"/>
    </row>
    <row r="860" spans="3:4" ht="19.5" customHeight="1" x14ac:dyDescent="0.35">
      <c r="C860" s="665"/>
      <c r="D860" s="666"/>
    </row>
    <row r="861" spans="3:4" ht="19.5" customHeight="1" x14ac:dyDescent="0.35">
      <c r="C861" s="665"/>
      <c r="D861" s="666"/>
    </row>
    <row r="862" spans="3:4" ht="19.5" customHeight="1" x14ac:dyDescent="0.35">
      <c r="C862" s="665"/>
      <c r="D862" s="666"/>
    </row>
    <row r="863" spans="3:4" ht="19.5" customHeight="1" x14ac:dyDescent="0.35">
      <c r="C863" s="665"/>
      <c r="D863" s="666"/>
    </row>
    <row r="864" spans="3:4" ht="19.5" customHeight="1" x14ac:dyDescent="0.35">
      <c r="C864" s="665"/>
      <c r="D864" s="666"/>
    </row>
    <row r="865" spans="3:4" ht="19.5" customHeight="1" x14ac:dyDescent="0.35">
      <c r="C865" s="665"/>
      <c r="D865" s="666"/>
    </row>
    <row r="866" spans="3:4" ht="19.5" customHeight="1" x14ac:dyDescent="0.35">
      <c r="C866" s="665"/>
      <c r="D866" s="666"/>
    </row>
    <row r="867" spans="3:4" ht="19.5" customHeight="1" x14ac:dyDescent="0.35">
      <c r="C867" s="665"/>
      <c r="D867" s="666"/>
    </row>
    <row r="868" spans="3:4" ht="19.5" customHeight="1" x14ac:dyDescent="0.35">
      <c r="C868" s="665"/>
      <c r="D868" s="666"/>
    </row>
    <row r="869" spans="3:4" ht="19.5" customHeight="1" x14ac:dyDescent="0.35">
      <c r="C869" s="665"/>
      <c r="D869" s="666"/>
    </row>
    <row r="870" spans="3:4" ht="19.5" customHeight="1" x14ac:dyDescent="0.35">
      <c r="C870" s="665"/>
      <c r="D870" s="666"/>
    </row>
    <row r="871" spans="3:4" ht="19.5" customHeight="1" x14ac:dyDescent="0.35">
      <c r="C871" s="665"/>
      <c r="D871" s="666"/>
    </row>
    <row r="872" spans="3:4" ht="19.5" customHeight="1" x14ac:dyDescent="0.35">
      <c r="C872" s="665"/>
      <c r="D872" s="666"/>
    </row>
    <row r="873" spans="3:4" ht="19.5" customHeight="1" x14ac:dyDescent="0.35">
      <c r="C873" s="665"/>
      <c r="D873" s="666"/>
    </row>
    <row r="874" spans="3:4" ht="19.5" customHeight="1" x14ac:dyDescent="0.35">
      <c r="C874" s="665"/>
      <c r="D874" s="666"/>
    </row>
    <row r="875" spans="3:4" ht="19.5" customHeight="1" x14ac:dyDescent="0.35">
      <c r="C875" s="665"/>
      <c r="D875" s="666"/>
    </row>
    <row r="876" spans="3:4" ht="19.5" customHeight="1" x14ac:dyDescent="0.35">
      <c r="C876" s="665"/>
      <c r="D876" s="666"/>
    </row>
    <row r="877" spans="3:4" ht="19.5" customHeight="1" x14ac:dyDescent="0.35">
      <c r="C877" s="665"/>
      <c r="D877" s="666"/>
    </row>
    <row r="878" spans="3:4" ht="19.5" customHeight="1" x14ac:dyDescent="0.35">
      <c r="C878" s="665"/>
      <c r="D878" s="666"/>
    </row>
    <row r="879" spans="3:4" ht="19.5" customHeight="1" x14ac:dyDescent="0.35">
      <c r="C879" s="665"/>
      <c r="D879" s="666"/>
    </row>
    <row r="880" spans="3:4" ht="19.5" customHeight="1" x14ac:dyDescent="0.35">
      <c r="C880" s="665"/>
      <c r="D880" s="666"/>
    </row>
    <row r="881" spans="3:4" ht="19.5" customHeight="1" x14ac:dyDescent="0.35">
      <c r="C881" s="665"/>
      <c r="D881" s="666"/>
    </row>
    <row r="882" spans="3:4" ht="19.5" customHeight="1" x14ac:dyDescent="0.35">
      <c r="C882" s="665"/>
      <c r="D882" s="666"/>
    </row>
    <row r="883" spans="3:4" ht="19.5" customHeight="1" x14ac:dyDescent="0.35">
      <c r="C883" s="665"/>
      <c r="D883" s="666"/>
    </row>
    <row r="884" spans="3:4" ht="19.5" customHeight="1" x14ac:dyDescent="0.35">
      <c r="C884" s="665"/>
      <c r="D884" s="666"/>
    </row>
    <row r="885" spans="3:4" ht="19.5" customHeight="1" x14ac:dyDescent="0.35">
      <c r="C885" s="665"/>
      <c r="D885" s="666"/>
    </row>
    <row r="886" spans="3:4" ht="19.5" customHeight="1" x14ac:dyDescent="0.35">
      <c r="C886" s="665"/>
      <c r="D886" s="666"/>
    </row>
    <row r="887" spans="3:4" ht="19.5" customHeight="1" x14ac:dyDescent="0.35">
      <c r="C887" s="665"/>
      <c r="D887" s="666"/>
    </row>
    <row r="888" spans="3:4" ht="19.5" customHeight="1" x14ac:dyDescent="0.35">
      <c r="C888" s="665"/>
      <c r="D888" s="666"/>
    </row>
    <row r="889" spans="3:4" ht="19.5" customHeight="1" x14ac:dyDescent="0.35">
      <c r="C889" s="665"/>
      <c r="D889" s="666"/>
    </row>
    <row r="890" spans="3:4" ht="19.5" customHeight="1" x14ac:dyDescent="0.35">
      <c r="C890" s="665"/>
      <c r="D890" s="666"/>
    </row>
    <row r="891" spans="3:4" ht="19.5" customHeight="1" x14ac:dyDescent="0.35">
      <c r="C891" s="665"/>
      <c r="D891" s="666"/>
    </row>
    <row r="892" spans="3:4" ht="19.5" customHeight="1" x14ac:dyDescent="0.35">
      <c r="C892" s="665"/>
      <c r="D892" s="666"/>
    </row>
    <row r="893" spans="3:4" ht="19.5" customHeight="1" x14ac:dyDescent="0.35">
      <c r="C893" s="665"/>
      <c r="D893" s="666"/>
    </row>
    <row r="894" spans="3:4" ht="19.5" customHeight="1" x14ac:dyDescent="0.35">
      <c r="C894" s="665"/>
      <c r="D894" s="666"/>
    </row>
    <row r="895" spans="3:4" ht="19.5" customHeight="1" x14ac:dyDescent="0.35">
      <c r="C895" s="665"/>
      <c r="D895" s="666"/>
    </row>
    <row r="896" spans="3:4" ht="19.5" customHeight="1" x14ac:dyDescent="0.35">
      <c r="C896" s="665"/>
      <c r="D896" s="666"/>
    </row>
    <row r="897" spans="3:4" ht="19.5" customHeight="1" x14ac:dyDescent="0.35">
      <c r="C897" s="665"/>
      <c r="D897" s="666"/>
    </row>
    <row r="898" spans="3:4" ht="19.5" customHeight="1" x14ac:dyDescent="0.35">
      <c r="C898" s="665"/>
      <c r="D898" s="666"/>
    </row>
    <row r="899" spans="3:4" ht="19.5" customHeight="1" x14ac:dyDescent="0.35">
      <c r="C899" s="665"/>
      <c r="D899" s="666"/>
    </row>
    <row r="900" spans="3:4" ht="19.5" customHeight="1" x14ac:dyDescent="0.35">
      <c r="C900" s="665"/>
      <c r="D900" s="666"/>
    </row>
    <row r="901" spans="3:4" ht="19.5" customHeight="1" x14ac:dyDescent="0.35">
      <c r="C901" s="665"/>
      <c r="D901" s="666"/>
    </row>
    <row r="902" spans="3:4" ht="19.5" customHeight="1" x14ac:dyDescent="0.35">
      <c r="C902" s="665"/>
      <c r="D902" s="666"/>
    </row>
    <row r="903" spans="3:4" ht="19.5" customHeight="1" x14ac:dyDescent="0.35">
      <c r="C903" s="665"/>
      <c r="D903" s="666"/>
    </row>
    <row r="904" spans="3:4" ht="19.5" customHeight="1" x14ac:dyDescent="0.35">
      <c r="C904" s="665"/>
      <c r="D904" s="666"/>
    </row>
    <row r="905" spans="3:4" ht="19.5" customHeight="1" x14ac:dyDescent="0.35">
      <c r="C905" s="665"/>
      <c r="D905" s="666"/>
    </row>
    <row r="906" spans="3:4" ht="19.5" customHeight="1" x14ac:dyDescent="0.35">
      <c r="C906" s="665"/>
      <c r="D906" s="666"/>
    </row>
    <row r="907" spans="3:4" ht="19.5" customHeight="1" x14ac:dyDescent="0.35">
      <c r="C907" s="665"/>
      <c r="D907" s="666"/>
    </row>
    <row r="908" spans="3:4" ht="19.5" customHeight="1" x14ac:dyDescent="0.35">
      <c r="C908" s="665"/>
      <c r="D908" s="666"/>
    </row>
    <row r="909" spans="3:4" ht="19.5" customHeight="1" x14ac:dyDescent="0.35">
      <c r="C909" s="665"/>
      <c r="D909" s="666"/>
    </row>
    <row r="910" spans="3:4" ht="19.5" customHeight="1" x14ac:dyDescent="0.35">
      <c r="C910" s="665"/>
      <c r="D910" s="666"/>
    </row>
    <row r="911" spans="3:4" ht="19.5" customHeight="1" x14ac:dyDescent="0.35">
      <c r="C911" s="665"/>
      <c r="D911" s="666"/>
    </row>
    <row r="912" spans="3:4" ht="19.5" customHeight="1" x14ac:dyDescent="0.35">
      <c r="C912" s="665"/>
      <c r="D912" s="666"/>
    </row>
    <row r="913" spans="3:4" ht="19.5" customHeight="1" x14ac:dyDescent="0.35">
      <c r="C913" s="665"/>
      <c r="D913" s="666"/>
    </row>
    <row r="914" spans="3:4" ht="19.5" customHeight="1" x14ac:dyDescent="0.35">
      <c r="C914" s="665"/>
      <c r="D914" s="666"/>
    </row>
    <row r="915" spans="3:4" ht="19.5" customHeight="1" x14ac:dyDescent="0.35">
      <c r="C915" s="665"/>
      <c r="D915" s="666"/>
    </row>
    <row r="916" spans="3:4" ht="19.5" customHeight="1" x14ac:dyDescent="0.35">
      <c r="C916" s="665"/>
      <c r="D916" s="666"/>
    </row>
    <row r="917" spans="3:4" ht="19.5" customHeight="1" x14ac:dyDescent="0.35">
      <c r="C917" s="665"/>
      <c r="D917" s="666"/>
    </row>
    <row r="918" spans="3:4" ht="19.5" customHeight="1" x14ac:dyDescent="0.35">
      <c r="C918" s="665"/>
      <c r="D918" s="666"/>
    </row>
    <row r="919" spans="3:4" ht="19.5" customHeight="1" x14ac:dyDescent="0.35">
      <c r="C919" s="665"/>
      <c r="D919" s="666"/>
    </row>
    <row r="920" spans="3:4" ht="19.5" customHeight="1" x14ac:dyDescent="0.35">
      <c r="C920" s="665"/>
      <c r="D920" s="666"/>
    </row>
    <row r="921" spans="3:4" ht="19.5" customHeight="1" x14ac:dyDescent="0.35">
      <c r="C921" s="665"/>
      <c r="D921" s="666"/>
    </row>
    <row r="922" spans="3:4" ht="19.5" customHeight="1" x14ac:dyDescent="0.35">
      <c r="C922" s="665"/>
      <c r="D922" s="666"/>
    </row>
    <row r="923" spans="3:4" ht="19.5" customHeight="1" x14ac:dyDescent="0.35">
      <c r="C923" s="665"/>
      <c r="D923" s="666"/>
    </row>
    <row r="924" spans="3:4" ht="19.5" customHeight="1" x14ac:dyDescent="0.35">
      <c r="C924" s="665"/>
      <c r="D924" s="666"/>
    </row>
    <row r="925" spans="3:4" ht="19.5" customHeight="1" x14ac:dyDescent="0.35">
      <c r="C925" s="665"/>
      <c r="D925" s="666"/>
    </row>
    <row r="926" spans="3:4" ht="19.5" customHeight="1" x14ac:dyDescent="0.35">
      <c r="C926" s="665"/>
      <c r="D926" s="666"/>
    </row>
    <row r="927" spans="3:4" ht="19.5" customHeight="1" x14ac:dyDescent="0.35">
      <c r="C927" s="665"/>
      <c r="D927" s="666"/>
    </row>
    <row r="928" spans="3:4" ht="19.5" customHeight="1" x14ac:dyDescent="0.35">
      <c r="C928" s="665"/>
      <c r="D928" s="666"/>
    </row>
    <row r="929" spans="3:4" ht="19.5" customHeight="1" x14ac:dyDescent="0.35">
      <c r="C929" s="665"/>
      <c r="D929" s="666"/>
    </row>
    <row r="930" spans="3:4" ht="19.5" customHeight="1" x14ac:dyDescent="0.35">
      <c r="C930" s="665"/>
      <c r="D930" s="666"/>
    </row>
    <row r="931" spans="3:4" ht="19.5" customHeight="1" x14ac:dyDescent="0.35">
      <c r="C931" s="665"/>
      <c r="D931" s="666"/>
    </row>
    <row r="932" spans="3:4" ht="19.5" customHeight="1" x14ac:dyDescent="0.35">
      <c r="C932" s="665"/>
      <c r="D932" s="666"/>
    </row>
    <row r="933" spans="3:4" ht="19.5" customHeight="1" x14ac:dyDescent="0.35">
      <c r="C933" s="665"/>
      <c r="D933" s="666"/>
    </row>
    <row r="934" spans="3:4" ht="19.5" customHeight="1" x14ac:dyDescent="0.35">
      <c r="C934" s="665"/>
      <c r="D934" s="666"/>
    </row>
    <row r="935" spans="3:4" ht="19.5" customHeight="1" x14ac:dyDescent="0.35">
      <c r="C935" s="665"/>
      <c r="D935" s="666"/>
    </row>
    <row r="936" spans="3:4" ht="19.5" customHeight="1" x14ac:dyDescent="0.35">
      <c r="C936" s="665"/>
      <c r="D936" s="666"/>
    </row>
    <row r="937" spans="3:4" ht="19.5" customHeight="1" x14ac:dyDescent="0.35">
      <c r="C937" s="665"/>
      <c r="D937" s="666"/>
    </row>
    <row r="938" spans="3:4" ht="19.5" customHeight="1" x14ac:dyDescent="0.35">
      <c r="C938" s="665"/>
      <c r="D938" s="666"/>
    </row>
    <row r="939" spans="3:4" ht="19.5" customHeight="1" x14ac:dyDescent="0.35">
      <c r="C939" s="665"/>
      <c r="D939" s="666"/>
    </row>
    <row r="940" spans="3:4" ht="19.5" customHeight="1" x14ac:dyDescent="0.35">
      <c r="C940" s="665"/>
      <c r="D940" s="666"/>
    </row>
    <row r="941" spans="3:4" ht="19.5" customHeight="1" x14ac:dyDescent="0.35">
      <c r="C941" s="665"/>
      <c r="D941" s="666"/>
    </row>
    <row r="942" spans="3:4" ht="19.5" customHeight="1" x14ac:dyDescent="0.35">
      <c r="C942" s="665"/>
      <c r="D942" s="666"/>
    </row>
    <row r="943" spans="3:4" ht="19.5" customHeight="1" x14ac:dyDescent="0.35">
      <c r="C943" s="665"/>
      <c r="D943" s="666"/>
    </row>
    <row r="944" spans="3:4" ht="19.5" customHeight="1" x14ac:dyDescent="0.35">
      <c r="C944" s="665"/>
      <c r="D944" s="666"/>
    </row>
    <row r="945" spans="3:4" ht="19.5" customHeight="1" x14ac:dyDescent="0.35">
      <c r="C945" s="665"/>
      <c r="D945" s="666"/>
    </row>
    <row r="946" spans="3:4" ht="19.5" customHeight="1" x14ac:dyDescent="0.35">
      <c r="C946" s="665"/>
      <c r="D946" s="666"/>
    </row>
    <row r="947" spans="3:4" ht="19.5" customHeight="1" x14ac:dyDescent="0.35">
      <c r="C947" s="665"/>
      <c r="D947" s="666"/>
    </row>
    <row r="948" spans="3:4" ht="19.5" customHeight="1" x14ac:dyDescent="0.35">
      <c r="C948" s="665"/>
      <c r="D948" s="666"/>
    </row>
    <row r="949" spans="3:4" ht="19.5" customHeight="1" x14ac:dyDescent="0.35">
      <c r="C949" s="665"/>
      <c r="D949" s="666"/>
    </row>
    <row r="950" spans="3:4" ht="19.5" customHeight="1" x14ac:dyDescent="0.35">
      <c r="C950" s="665"/>
      <c r="D950" s="666"/>
    </row>
    <row r="951" spans="3:4" ht="19.5" customHeight="1" x14ac:dyDescent="0.35">
      <c r="C951" s="665"/>
      <c r="D951" s="666"/>
    </row>
    <row r="952" spans="3:4" ht="19.5" customHeight="1" x14ac:dyDescent="0.35">
      <c r="C952" s="665"/>
      <c r="D952" s="666"/>
    </row>
    <row r="953" spans="3:4" ht="19.5" customHeight="1" x14ac:dyDescent="0.35">
      <c r="C953" s="665"/>
      <c r="D953" s="666"/>
    </row>
    <row r="954" spans="3:4" ht="19.5" customHeight="1" x14ac:dyDescent="0.35">
      <c r="C954" s="665"/>
      <c r="D954" s="666"/>
    </row>
    <row r="955" spans="3:4" ht="19.5" customHeight="1" x14ac:dyDescent="0.35">
      <c r="C955" s="665"/>
      <c r="D955" s="666"/>
    </row>
    <row r="956" spans="3:4" ht="19.5" customHeight="1" x14ac:dyDescent="0.35">
      <c r="C956" s="665"/>
      <c r="D956" s="666"/>
    </row>
    <row r="957" spans="3:4" ht="19.5" customHeight="1" x14ac:dyDescent="0.35">
      <c r="C957" s="665"/>
      <c r="D957" s="666"/>
    </row>
    <row r="958" spans="3:4" ht="19.5" customHeight="1" x14ac:dyDescent="0.35">
      <c r="C958" s="665"/>
      <c r="D958" s="666"/>
    </row>
    <row r="959" spans="3:4" ht="19.5" customHeight="1" x14ac:dyDescent="0.35">
      <c r="C959" s="665"/>
      <c r="D959" s="666"/>
    </row>
    <row r="960" spans="3:4" ht="19.5" customHeight="1" x14ac:dyDescent="0.35">
      <c r="C960" s="665"/>
      <c r="D960" s="666"/>
    </row>
    <row r="961" spans="3:4" ht="19.5" customHeight="1" x14ac:dyDescent="0.35">
      <c r="C961" s="665"/>
      <c r="D961" s="666"/>
    </row>
    <row r="962" spans="3:4" ht="19.5" customHeight="1" x14ac:dyDescent="0.35">
      <c r="C962" s="665"/>
      <c r="D962" s="666"/>
    </row>
    <row r="963" spans="3:4" ht="19.5" customHeight="1" x14ac:dyDescent="0.35">
      <c r="C963" s="665"/>
      <c r="D963" s="666"/>
    </row>
    <row r="964" spans="3:4" ht="19.5" customHeight="1" x14ac:dyDescent="0.35">
      <c r="C964" s="665"/>
      <c r="D964" s="666"/>
    </row>
    <row r="965" spans="3:4" ht="19.5" customHeight="1" x14ac:dyDescent="0.35">
      <c r="C965" s="665"/>
      <c r="D965" s="666"/>
    </row>
    <row r="966" spans="3:4" ht="19.5" customHeight="1" x14ac:dyDescent="0.35">
      <c r="C966" s="665"/>
      <c r="D966" s="666"/>
    </row>
    <row r="967" spans="3:4" ht="19.5" customHeight="1" x14ac:dyDescent="0.35">
      <c r="C967" s="665"/>
      <c r="D967" s="666"/>
    </row>
    <row r="968" spans="3:4" ht="19.5" customHeight="1" x14ac:dyDescent="0.35">
      <c r="C968" s="665"/>
      <c r="D968" s="666"/>
    </row>
    <row r="969" spans="3:4" ht="19.5" customHeight="1" x14ac:dyDescent="0.35">
      <c r="C969" s="665"/>
      <c r="D969" s="666"/>
    </row>
    <row r="970" spans="3:4" ht="19.5" customHeight="1" x14ac:dyDescent="0.35">
      <c r="C970" s="665"/>
      <c r="D970" s="666"/>
    </row>
    <row r="971" spans="3:4" ht="19.5" customHeight="1" x14ac:dyDescent="0.35">
      <c r="C971" s="665"/>
      <c r="D971" s="666"/>
    </row>
    <row r="972" spans="3:4" ht="19.5" customHeight="1" x14ac:dyDescent="0.35">
      <c r="C972" s="665"/>
      <c r="D972" s="666"/>
    </row>
    <row r="973" spans="3:4" ht="19.5" customHeight="1" x14ac:dyDescent="0.35">
      <c r="C973" s="665"/>
      <c r="D973" s="666"/>
    </row>
    <row r="974" spans="3:4" ht="19.5" customHeight="1" x14ac:dyDescent="0.35">
      <c r="C974" s="665"/>
      <c r="D974" s="666"/>
    </row>
    <row r="975" spans="3:4" ht="19.5" customHeight="1" x14ac:dyDescent="0.35">
      <c r="C975" s="665"/>
      <c r="D975" s="666"/>
    </row>
    <row r="976" spans="3:4" ht="19.5" customHeight="1" x14ac:dyDescent="0.35">
      <c r="C976" s="665"/>
      <c r="D976" s="666"/>
    </row>
    <row r="977" spans="3:4" ht="19.5" customHeight="1" x14ac:dyDescent="0.35">
      <c r="C977" s="665"/>
      <c r="D977" s="666"/>
    </row>
    <row r="978" spans="3:4" ht="19.5" customHeight="1" x14ac:dyDescent="0.35">
      <c r="C978" s="665"/>
      <c r="D978" s="666"/>
    </row>
    <row r="979" spans="3:4" ht="19.5" customHeight="1" x14ac:dyDescent="0.35">
      <c r="C979" s="665"/>
      <c r="D979" s="666"/>
    </row>
    <row r="980" spans="3:4" ht="19.5" customHeight="1" x14ac:dyDescent="0.35">
      <c r="C980" s="665"/>
      <c r="D980" s="666"/>
    </row>
    <row r="981" spans="3:4" ht="19.5" customHeight="1" x14ac:dyDescent="0.35">
      <c r="C981" s="665"/>
      <c r="D981" s="666"/>
    </row>
    <row r="982" spans="3:4" ht="19.5" customHeight="1" x14ac:dyDescent="0.35">
      <c r="C982" s="665"/>
      <c r="D982" s="666"/>
    </row>
    <row r="983" spans="3:4" ht="19.5" customHeight="1" x14ac:dyDescent="0.35">
      <c r="C983" s="665"/>
      <c r="D983" s="666"/>
    </row>
    <row r="984" spans="3:4" ht="19.5" customHeight="1" x14ac:dyDescent="0.35">
      <c r="C984" s="665"/>
      <c r="D984" s="666"/>
    </row>
    <row r="985" spans="3:4" ht="19.5" customHeight="1" x14ac:dyDescent="0.35">
      <c r="C985" s="665"/>
      <c r="D985" s="666"/>
    </row>
    <row r="986" spans="3:4" ht="19.5" customHeight="1" x14ac:dyDescent="0.35">
      <c r="C986" s="665"/>
      <c r="D986" s="666"/>
    </row>
    <row r="987" spans="3:4" ht="19.5" customHeight="1" x14ac:dyDescent="0.35">
      <c r="C987" s="665"/>
      <c r="D987" s="666"/>
    </row>
    <row r="988" spans="3:4" ht="19.5" customHeight="1" x14ac:dyDescent="0.35">
      <c r="C988" s="665"/>
      <c r="D988" s="666"/>
    </row>
    <row r="989" spans="3:4" ht="19.5" customHeight="1" x14ac:dyDescent="0.35">
      <c r="C989" s="665"/>
      <c r="D989" s="666"/>
    </row>
    <row r="990" spans="3:4" ht="19.5" customHeight="1" x14ac:dyDescent="0.35">
      <c r="C990" s="665"/>
      <c r="D990" s="666"/>
    </row>
    <row r="991" spans="3:4" ht="19.5" customHeight="1" x14ac:dyDescent="0.35">
      <c r="C991" s="665"/>
      <c r="D991" s="666"/>
    </row>
    <row r="992" spans="3:4" ht="19.5" customHeight="1" x14ac:dyDescent="0.35">
      <c r="C992" s="665"/>
      <c r="D992" s="666"/>
    </row>
    <row r="993" spans="3:4" ht="19.5" customHeight="1" x14ac:dyDescent="0.35">
      <c r="C993" s="665"/>
      <c r="D993" s="666"/>
    </row>
    <row r="994" spans="3:4" ht="19.5" customHeight="1" x14ac:dyDescent="0.35">
      <c r="C994" s="665"/>
      <c r="D994" s="666"/>
    </row>
    <row r="995" spans="3:4" ht="19.5" customHeight="1" x14ac:dyDescent="0.35">
      <c r="C995" s="665"/>
      <c r="D995" s="666"/>
    </row>
    <row r="996" spans="3:4" ht="19.5" customHeight="1" x14ac:dyDescent="0.35">
      <c r="C996" s="665"/>
      <c r="D996" s="666"/>
    </row>
    <row r="997" spans="3:4" ht="19.5" customHeight="1" x14ac:dyDescent="0.35">
      <c r="C997" s="665"/>
      <c r="D997" s="666"/>
    </row>
    <row r="998" spans="3:4" ht="19.5" customHeight="1" x14ac:dyDescent="0.35">
      <c r="C998" s="665"/>
      <c r="D998" s="666"/>
    </row>
    <row r="999" spans="3:4" ht="19.5" customHeight="1" x14ac:dyDescent="0.35">
      <c r="C999" s="665"/>
      <c r="D999" s="666"/>
    </row>
    <row r="1000" spans="3:4" ht="19.5" customHeight="1" x14ac:dyDescent="0.35">
      <c r="C1000" s="665"/>
      <c r="D1000" s="666"/>
    </row>
  </sheetData>
  <mergeCells count="3">
    <mergeCell ref="A1:E1"/>
    <mergeCell ref="A2:E2"/>
    <mergeCell ref="A3:E3"/>
  </mergeCells>
  <dataValidations count="1">
    <dataValidation type="decimal" operator="greaterThanOrEqual" allowBlank="1" showInputMessage="1" showErrorMessage="1" prompt="กรุณาระบุเฉพาะตัวเลขเท่านั้น" sqref="D34:E34 E8" xr:uid="{00000000-0002-0000-0D00-000000000000}">
      <formula1>0</formula1>
    </dataValidation>
  </dataValidations>
  <printOptions horizontalCentered="1"/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P84"/>
  <sheetViews>
    <sheetView topLeftCell="A17" workbookViewId="0">
      <selection activeCell="A9" sqref="A9:XFD10"/>
    </sheetView>
  </sheetViews>
  <sheetFormatPr defaultRowHeight="14.25" x14ac:dyDescent="0.2"/>
  <cols>
    <col min="1" max="1" width="6.85546875" style="436" customWidth="1"/>
    <col min="2" max="2" width="38.42578125" style="436" bestFit="1" customWidth="1"/>
    <col min="3" max="3" width="14" style="436" customWidth="1"/>
    <col min="4" max="4" width="9.140625" style="436"/>
    <col min="5" max="5" width="11" style="436" bestFit="1" customWidth="1"/>
    <col min="6" max="6" width="13.42578125" style="436" customWidth="1"/>
    <col min="7" max="8" width="4.42578125" style="436" customWidth="1"/>
    <col min="9" max="9" width="5" style="436" customWidth="1"/>
    <col min="10" max="10" width="4.7109375" style="436" customWidth="1"/>
    <col min="11" max="11" width="6.85546875" style="436" customWidth="1"/>
    <col min="12" max="12" width="5.7109375" style="436" customWidth="1"/>
    <col min="13" max="13" width="15.5703125" style="436" customWidth="1"/>
    <col min="14" max="15" width="11.85546875" style="436" bestFit="1" customWidth="1"/>
    <col min="16" max="16384" width="9.140625" style="436"/>
  </cols>
  <sheetData>
    <row r="1" spans="1:16" ht="18.75" x14ac:dyDescent="0.3">
      <c r="A1" s="874" t="s">
        <v>4520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</row>
    <row r="2" spans="1:16" ht="17.25" customHeight="1" x14ac:dyDescent="0.3">
      <c r="A2" s="874" t="s">
        <v>4521</v>
      </c>
      <c r="B2" s="874"/>
      <c r="C2" s="874"/>
      <c r="D2" s="874"/>
      <c r="E2" s="874"/>
      <c r="F2" s="874"/>
      <c r="G2" s="874"/>
      <c r="H2" s="874"/>
      <c r="I2" s="874"/>
      <c r="J2" s="874"/>
      <c r="K2" s="874"/>
      <c r="L2" s="874"/>
      <c r="M2" s="874"/>
    </row>
    <row r="3" spans="1:16" ht="18.75" x14ac:dyDescent="0.2">
      <c r="A3" s="875" t="s">
        <v>0</v>
      </c>
      <c r="B3" s="878" t="s">
        <v>1</v>
      </c>
      <c r="C3" s="878" t="s">
        <v>188</v>
      </c>
      <c r="D3" s="883" t="s">
        <v>189</v>
      </c>
      <c r="E3" s="886" t="s">
        <v>2</v>
      </c>
      <c r="F3" s="889" t="s">
        <v>4</v>
      </c>
      <c r="G3" s="892" t="s">
        <v>190</v>
      </c>
      <c r="H3" s="893"/>
      <c r="I3" s="893"/>
      <c r="J3" s="893"/>
      <c r="K3" s="893"/>
      <c r="L3" s="894"/>
      <c r="M3" s="878" t="s">
        <v>3</v>
      </c>
    </row>
    <row r="4" spans="1:16" ht="14.25" customHeight="1" x14ac:dyDescent="0.2">
      <c r="A4" s="876"/>
      <c r="B4" s="879"/>
      <c r="C4" s="881"/>
      <c r="D4" s="884"/>
      <c r="E4" s="887"/>
      <c r="F4" s="890"/>
      <c r="G4" s="878" t="s">
        <v>191</v>
      </c>
      <c r="H4" s="878" t="s">
        <v>192</v>
      </c>
      <c r="I4" s="875" t="s">
        <v>4368</v>
      </c>
      <c r="J4" s="875" t="s">
        <v>194</v>
      </c>
      <c r="K4" s="875" t="s">
        <v>195</v>
      </c>
      <c r="L4" s="897" t="s">
        <v>196</v>
      </c>
      <c r="M4" s="895"/>
    </row>
    <row r="5" spans="1:16" ht="14.25" customHeight="1" x14ac:dyDescent="0.2">
      <c r="A5" s="876"/>
      <c r="B5" s="879"/>
      <c r="C5" s="881"/>
      <c r="D5" s="884"/>
      <c r="E5" s="887"/>
      <c r="F5" s="890"/>
      <c r="G5" s="895"/>
      <c r="H5" s="895"/>
      <c r="I5" s="876"/>
      <c r="J5" s="876"/>
      <c r="K5" s="876"/>
      <c r="L5" s="898"/>
      <c r="M5" s="895"/>
    </row>
    <row r="6" spans="1:16" x14ac:dyDescent="0.2">
      <c r="A6" s="877"/>
      <c r="B6" s="880"/>
      <c r="C6" s="882"/>
      <c r="D6" s="885"/>
      <c r="E6" s="888"/>
      <c r="F6" s="891"/>
      <c r="G6" s="896"/>
      <c r="H6" s="896"/>
      <c r="I6" s="877"/>
      <c r="J6" s="877"/>
      <c r="K6" s="877"/>
      <c r="L6" s="899"/>
      <c r="M6" s="896"/>
    </row>
    <row r="7" spans="1:16" ht="18.75" x14ac:dyDescent="0.3">
      <c r="A7" s="32">
        <f>ROW()-ROW($A$7)+1</f>
        <v>1</v>
      </c>
      <c r="B7" s="444" t="s">
        <v>4376</v>
      </c>
      <c r="C7" s="438" t="s">
        <v>4377</v>
      </c>
      <c r="D7" s="445">
        <v>20142</v>
      </c>
      <c r="E7" s="736">
        <v>3200</v>
      </c>
      <c r="F7" s="440" t="s">
        <v>4378</v>
      </c>
      <c r="G7" s="477" t="s">
        <v>4256</v>
      </c>
      <c r="H7" s="438"/>
      <c r="I7" s="438"/>
      <c r="J7" s="438"/>
      <c r="K7" s="438"/>
      <c r="L7" s="438"/>
      <c r="M7" s="446" t="s">
        <v>4379</v>
      </c>
      <c r="N7" s="743">
        <f>SUM(E7:E36)</f>
        <v>84311.305418719217</v>
      </c>
      <c r="O7" s="447"/>
      <c r="P7" s="447"/>
    </row>
    <row r="8" spans="1:16" ht="18.75" x14ac:dyDescent="0.3">
      <c r="A8" s="32">
        <f t="shared" ref="A8:A71" si="0">ROW()-ROW($A$7)+1</f>
        <v>2</v>
      </c>
      <c r="B8" s="444" t="s">
        <v>4380</v>
      </c>
      <c r="C8" s="438" t="s">
        <v>4381</v>
      </c>
      <c r="D8" s="445">
        <v>20142</v>
      </c>
      <c r="E8" s="736">
        <v>4990</v>
      </c>
      <c r="F8" s="440" t="s">
        <v>4378</v>
      </c>
      <c r="G8" s="477" t="s">
        <v>4256</v>
      </c>
      <c r="H8" s="438"/>
      <c r="I8" s="438"/>
      <c r="J8" s="438"/>
      <c r="K8" s="438"/>
      <c r="L8" s="438"/>
      <c r="M8" s="446" t="s">
        <v>4379</v>
      </c>
      <c r="O8" s="448"/>
      <c r="P8" s="448"/>
    </row>
    <row r="9" spans="1:16" s="455" customFormat="1" ht="18.75" x14ac:dyDescent="0.3">
      <c r="A9" s="32">
        <f t="shared" si="0"/>
        <v>3</v>
      </c>
      <c r="B9" s="444" t="s">
        <v>4420</v>
      </c>
      <c r="C9" s="452" t="s">
        <v>4421</v>
      </c>
      <c r="D9" s="445">
        <v>20225</v>
      </c>
      <c r="E9" s="737">
        <v>3200</v>
      </c>
      <c r="F9" s="440" t="s">
        <v>367</v>
      </c>
      <c r="G9" s="438"/>
      <c r="H9" s="477" t="s">
        <v>4256</v>
      </c>
      <c r="I9" s="438"/>
      <c r="J9" s="438"/>
      <c r="K9" s="438"/>
      <c r="L9" s="438"/>
      <c r="M9" s="441" t="s">
        <v>499</v>
      </c>
    </row>
    <row r="10" spans="1:16" s="455" customFormat="1" ht="18.75" x14ac:dyDescent="0.3">
      <c r="A10" s="32">
        <f t="shared" si="0"/>
        <v>4</v>
      </c>
      <c r="B10" s="444" t="s">
        <v>4403</v>
      </c>
      <c r="C10" s="452" t="s">
        <v>4422</v>
      </c>
      <c r="D10" s="445">
        <v>20225</v>
      </c>
      <c r="E10" s="737">
        <v>3200</v>
      </c>
      <c r="F10" s="440" t="s">
        <v>367</v>
      </c>
      <c r="G10" s="438"/>
      <c r="H10" s="477" t="s">
        <v>4256</v>
      </c>
      <c r="I10" s="438"/>
      <c r="J10" s="438"/>
      <c r="K10" s="438"/>
      <c r="L10" s="438"/>
      <c r="M10" s="456" t="s">
        <v>232</v>
      </c>
    </row>
    <row r="11" spans="1:16" ht="18.75" x14ac:dyDescent="0.3">
      <c r="A11" s="32">
        <f t="shared" si="0"/>
        <v>5</v>
      </c>
      <c r="B11" s="444" t="s">
        <v>4403</v>
      </c>
      <c r="C11" s="452" t="s">
        <v>4404</v>
      </c>
      <c r="D11" s="443">
        <v>20163</v>
      </c>
      <c r="E11" s="737">
        <v>3200</v>
      </c>
      <c r="F11" s="440" t="s">
        <v>4378</v>
      </c>
      <c r="G11" s="477" t="s">
        <v>4256</v>
      </c>
      <c r="H11" s="438"/>
      <c r="I11" s="438"/>
      <c r="J11" s="438"/>
      <c r="K11" s="438"/>
      <c r="L11" s="438"/>
      <c r="M11" s="441" t="s">
        <v>4320</v>
      </c>
      <c r="P11" s="447"/>
    </row>
    <row r="12" spans="1:16" s="455" customFormat="1" ht="18.75" x14ac:dyDescent="0.3">
      <c r="A12" s="32">
        <f t="shared" si="0"/>
        <v>6</v>
      </c>
      <c r="B12" s="457" t="s">
        <v>4423</v>
      </c>
      <c r="C12" s="438" t="s">
        <v>4424</v>
      </c>
      <c r="D12" s="458" t="s">
        <v>4425</v>
      </c>
      <c r="E12" s="738">
        <v>3200</v>
      </c>
      <c r="F12" s="440" t="s">
        <v>356</v>
      </c>
      <c r="G12" s="477" t="s">
        <v>4256</v>
      </c>
      <c r="H12" s="438"/>
      <c r="I12" s="438"/>
      <c r="J12" s="438"/>
      <c r="K12" s="438"/>
      <c r="L12" s="438"/>
      <c r="M12" s="441" t="s">
        <v>1492</v>
      </c>
      <c r="N12" s="459" t="s">
        <v>4426</v>
      </c>
      <c r="O12" s="455" t="s">
        <v>4427</v>
      </c>
    </row>
    <row r="13" spans="1:16" s="455" customFormat="1" ht="18.75" x14ac:dyDescent="0.3">
      <c r="A13" s="32">
        <f t="shared" si="0"/>
        <v>7</v>
      </c>
      <c r="B13" s="457" t="s">
        <v>4423</v>
      </c>
      <c r="C13" s="438" t="s">
        <v>4428</v>
      </c>
      <c r="D13" s="458" t="s">
        <v>4425</v>
      </c>
      <c r="E13" s="738">
        <v>3200</v>
      </c>
      <c r="F13" s="440" t="s">
        <v>356</v>
      </c>
      <c r="G13" s="477"/>
      <c r="H13" s="477" t="s">
        <v>4256</v>
      </c>
      <c r="I13" s="438"/>
      <c r="J13" s="438"/>
      <c r="K13" s="438"/>
      <c r="L13" s="438"/>
      <c r="M13" s="454" t="s">
        <v>279</v>
      </c>
      <c r="N13" s="459"/>
    </row>
    <row r="14" spans="1:16" ht="18.75" x14ac:dyDescent="0.3">
      <c r="A14" s="32">
        <f t="shared" si="0"/>
        <v>8</v>
      </c>
      <c r="B14" s="457" t="s">
        <v>4423</v>
      </c>
      <c r="C14" s="438" t="s">
        <v>4429</v>
      </c>
      <c r="D14" s="458" t="s">
        <v>4425</v>
      </c>
      <c r="E14" s="738">
        <v>3200</v>
      </c>
      <c r="F14" s="440" t="s">
        <v>367</v>
      </c>
      <c r="G14" s="477" t="s">
        <v>4256</v>
      </c>
      <c r="H14" s="438"/>
      <c r="I14" s="438"/>
      <c r="J14" s="438"/>
      <c r="K14" s="438"/>
      <c r="L14" s="438"/>
      <c r="M14" s="441" t="s">
        <v>291</v>
      </c>
    </row>
    <row r="15" spans="1:16" ht="18.75" x14ac:dyDescent="0.3">
      <c r="A15" s="32">
        <f t="shared" si="0"/>
        <v>9</v>
      </c>
      <c r="B15" s="457" t="s">
        <v>4423</v>
      </c>
      <c r="C15" s="438" t="s">
        <v>4430</v>
      </c>
      <c r="D15" s="458" t="s">
        <v>4425</v>
      </c>
      <c r="E15" s="738">
        <v>3200</v>
      </c>
      <c r="F15" s="440" t="s">
        <v>367</v>
      </c>
      <c r="G15" s="477" t="s">
        <v>4256</v>
      </c>
      <c r="H15" s="438"/>
      <c r="I15" s="438"/>
      <c r="J15" s="438"/>
      <c r="K15" s="438"/>
      <c r="L15" s="438"/>
      <c r="M15" s="441" t="s">
        <v>484</v>
      </c>
    </row>
    <row r="16" spans="1:16" ht="18.75" x14ac:dyDescent="0.3">
      <c r="A16" s="32">
        <f t="shared" si="0"/>
        <v>10</v>
      </c>
      <c r="B16" s="457" t="s">
        <v>4431</v>
      </c>
      <c r="C16" s="438" t="s">
        <v>4432</v>
      </c>
      <c r="D16" s="458" t="s">
        <v>4425</v>
      </c>
      <c r="E16" s="738">
        <v>1500</v>
      </c>
      <c r="F16" s="440" t="s">
        <v>367</v>
      </c>
      <c r="G16" s="477" t="s">
        <v>4256</v>
      </c>
      <c r="H16" s="438"/>
      <c r="I16" s="438"/>
      <c r="J16" s="438"/>
      <c r="K16" s="438"/>
      <c r="L16" s="438"/>
      <c r="M16" s="441" t="s">
        <v>4319</v>
      </c>
    </row>
    <row r="17" spans="1:13" ht="18.75" x14ac:dyDescent="0.3">
      <c r="A17" s="32">
        <f t="shared" si="0"/>
        <v>11</v>
      </c>
      <c r="B17" s="457" t="s">
        <v>4433</v>
      </c>
      <c r="C17" s="438" t="s">
        <v>4434</v>
      </c>
      <c r="D17" s="458" t="s">
        <v>4425</v>
      </c>
      <c r="E17" s="738">
        <v>1500</v>
      </c>
      <c r="F17" s="440" t="s">
        <v>356</v>
      </c>
      <c r="G17" s="477" t="s">
        <v>4256</v>
      </c>
      <c r="H17" s="438"/>
      <c r="I17" s="438"/>
      <c r="J17" s="438"/>
      <c r="K17" s="438"/>
      <c r="L17" s="438"/>
      <c r="M17" s="456" t="s">
        <v>223</v>
      </c>
    </row>
    <row r="18" spans="1:13" ht="18.75" x14ac:dyDescent="0.3">
      <c r="A18" s="32">
        <f t="shared" si="0"/>
        <v>12</v>
      </c>
      <c r="B18" s="467" t="s">
        <v>4462</v>
      </c>
      <c r="C18" s="438" t="s">
        <v>4463</v>
      </c>
      <c r="D18" s="458" t="s">
        <v>4464</v>
      </c>
      <c r="E18" s="738">
        <v>5000</v>
      </c>
      <c r="F18" s="468" t="s">
        <v>4465</v>
      </c>
      <c r="G18" s="477" t="s">
        <v>4256</v>
      </c>
      <c r="H18" s="438"/>
      <c r="I18" s="438"/>
      <c r="J18" s="438"/>
      <c r="K18" s="438"/>
      <c r="L18" s="438"/>
      <c r="M18" s="469" t="s">
        <v>4465</v>
      </c>
    </row>
    <row r="19" spans="1:13" ht="18.75" x14ac:dyDescent="0.3">
      <c r="A19" s="32">
        <f t="shared" si="0"/>
        <v>13</v>
      </c>
      <c r="B19" s="467" t="s">
        <v>4466</v>
      </c>
      <c r="C19" s="438" t="s">
        <v>4467</v>
      </c>
      <c r="D19" s="458" t="s">
        <v>4464</v>
      </c>
      <c r="E19" s="738">
        <v>2000</v>
      </c>
      <c r="F19" s="468" t="s">
        <v>4465</v>
      </c>
      <c r="G19" s="477" t="s">
        <v>4256</v>
      </c>
      <c r="H19" s="438"/>
      <c r="I19" s="438"/>
      <c r="J19" s="438"/>
      <c r="K19" s="438"/>
      <c r="L19" s="438"/>
      <c r="M19" s="469" t="s">
        <v>4465</v>
      </c>
    </row>
    <row r="20" spans="1:13" ht="18.75" x14ac:dyDescent="0.3">
      <c r="A20" s="32">
        <f t="shared" si="0"/>
        <v>14</v>
      </c>
      <c r="B20" s="467" t="s">
        <v>4468</v>
      </c>
      <c r="C20" s="438" t="s">
        <v>4469</v>
      </c>
      <c r="D20" s="458" t="s">
        <v>4464</v>
      </c>
      <c r="E20" s="738">
        <v>2000</v>
      </c>
      <c r="F20" s="468" t="s">
        <v>4465</v>
      </c>
      <c r="G20" s="477" t="s">
        <v>4256</v>
      </c>
      <c r="H20" s="438"/>
      <c r="I20" s="438"/>
      <c r="J20" s="438"/>
      <c r="K20" s="438"/>
      <c r="L20" s="438"/>
      <c r="M20" s="469" t="s">
        <v>4465</v>
      </c>
    </row>
    <row r="21" spans="1:13" ht="18.75" x14ac:dyDescent="0.3">
      <c r="A21" s="32">
        <f t="shared" si="0"/>
        <v>15</v>
      </c>
      <c r="B21" s="467" t="s">
        <v>4470</v>
      </c>
      <c r="C21" s="438" t="s">
        <v>4471</v>
      </c>
      <c r="D21" s="458" t="s">
        <v>4464</v>
      </c>
      <c r="E21" s="738">
        <v>3500</v>
      </c>
      <c r="F21" s="468" t="s">
        <v>4465</v>
      </c>
      <c r="G21" s="477" t="s">
        <v>4256</v>
      </c>
      <c r="H21" s="438"/>
      <c r="I21" s="438"/>
      <c r="J21" s="438"/>
      <c r="K21" s="438"/>
      <c r="L21" s="438"/>
      <c r="M21" s="469" t="s">
        <v>4465</v>
      </c>
    </row>
    <row r="22" spans="1:13" ht="19.5" x14ac:dyDescent="0.3">
      <c r="A22" s="32">
        <f t="shared" si="0"/>
        <v>16</v>
      </c>
      <c r="B22" s="457" t="s">
        <v>4433</v>
      </c>
      <c r="C22" s="438" t="s">
        <v>4493</v>
      </c>
      <c r="D22" s="474" t="s">
        <v>4494</v>
      </c>
      <c r="E22" s="738">
        <v>1800</v>
      </c>
      <c r="F22" s="440" t="s">
        <v>367</v>
      </c>
      <c r="G22" s="477" t="s">
        <v>4256</v>
      </c>
      <c r="H22" s="438"/>
      <c r="I22" s="438"/>
      <c r="J22" s="438"/>
      <c r="K22" s="438"/>
      <c r="L22" s="438"/>
      <c r="M22" s="471" t="s">
        <v>4334</v>
      </c>
    </row>
    <row r="23" spans="1:13" ht="18.75" x14ac:dyDescent="0.3">
      <c r="A23" s="32">
        <f t="shared" si="0"/>
        <v>17</v>
      </c>
      <c r="B23" s="457" t="s">
        <v>4433</v>
      </c>
      <c r="C23" s="438" t="s">
        <v>4495</v>
      </c>
      <c r="D23" s="474" t="s">
        <v>4494</v>
      </c>
      <c r="E23" s="738">
        <v>1800</v>
      </c>
      <c r="F23" s="440" t="s">
        <v>367</v>
      </c>
      <c r="G23" s="477" t="s">
        <v>4256</v>
      </c>
      <c r="H23" s="438"/>
      <c r="I23" s="438"/>
      <c r="J23" s="438"/>
      <c r="K23" s="438"/>
      <c r="L23" s="438"/>
      <c r="M23" s="441" t="s">
        <v>499</v>
      </c>
    </row>
    <row r="24" spans="1:13" ht="18.75" x14ac:dyDescent="0.3">
      <c r="A24" s="32">
        <f t="shared" si="0"/>
        <v>18</v>
      </c>
      <c r="B24" s="457" t="s">
        <v>4433</v>
      </c>
      <c r="C24" s="438" t="s">
        <v>4496</v>
      </c>
      <c r="D24" s="474" t="s">
        <v>4494</v>
      </c>
      <c r="E24" s="738">
        <v>1800</v>
      </c>
      <c r="F24" s="440" t="s">
        <v>367</v>
      </c>
      <c r="G24" s="477" t="s">
        <v>4256</v>
      </c>
      <c r="H24" s="438"/>
      <c r="I24" s="438"/>
      <c r="J24" s="438"/>
      <c r="K24" s="438"/>
      <c r="L24" s="438"/>
      <c r="M24" s="441" t="s">
        <v>4940</v>
      </c>
    </row>
    <row r="25" spans="1:13" ht="18.75" x14ac:dyDescent="0.3">
      <c r="A25" s="32">
        <f t="shared" si="0"/>
        <v>19</v>
      </c>
      <c r="B25" s="457" t="s">
        <v>4433</v>
      </c>
      <c r="C25" s="438" t="s">
        <v>4497</v>
      </c>
      <c r="D25" s="474" t="s">
        <v>4494</v>
      </c>
      <c r="E25" s="738">
        <v>1800</v>
      </c>
      <c r="F25" s="440" t="s">
        <v>356</v>
      </c>
      <c r="G25" s="477" t="s">
        <v>4256</v>
      </c>
      <c r="H25" s="438"/>
      <c r="I25" s="438"/>
      <c r="J25" s="438"/>
      <c r="K25" s="438"/>
      <c r="L25" s="438"/>
      <c r="M25" s="441" t="s">
        <v>523</v>
      </c>
    </row>
    <row r="26" spans="1:13" ht="18.75" x14ac:dyDescent="0.3">
      <c r="A26" s="32">
        <f t="shared" si="0"/>
        <v>20</v>
      </c>
      <c r="B26" s="457" t="s">
        <v>4498</v>
      </c>
      <c r="C26" s="438" t="s">
        <v>4499</v>
      </c>
      <c r="D26" s="458" t="s">
        <v>4500</v>
      </c>
      <c r="E26" s="740">
        <v>2700</v>
      </c>
      <c r="F26" s="468" t="s">
        <v>356</v>
      </c>
      <c r="G26" s="477" t="s">
        <v>4256</v>
      </c>
      <c r="H26" s="438"/>
      <c r="I26" s="438"/>
      <c r="J26" s="438"/>
      <c r="K26" s="438"/>
      <c r="L26" s="438"/>
      <c r="M26" s="469" t="s">
        <v>4501</v>
      </c>
    </row>
    <row r="27" spans="1:13" ht="18.75" x14ac:dyDescent="0.3">
      <c r="A27" s="32">
        <f t="shared" si="0"/>
        <v>21</v>
      </c>
      <c r="B27" s="457" t="s">
        <v>4498</v>
      </c>
      <c r="C27" s="438" t="s">
        <v>4502</v>
      </c>
      <c r="D27" s="458" t="s">
        <v>4500</v>
      </c>
      <c r="E27" s="740">
        <v>2700</v>
      </c>
      <c r="F27" s="468" t="s">
        <v>356</v>
      </c>
      <c r="G27" s="477" t="s">
        <v>4256</v>
      </c>
      <c r="H27" s="438"/>
      <c r="I27" s="438"/>
      <c r="J27" s="438"/>
      <c r="K27" s="438"/>
      <c r="L27" s="438"/>
      <c r="M27" s="469" t="s">
        <v>4501</v>
      </c>
    </row>
    <row r="28" spans="1:13" ht="18.75" x14ac:dyDescent="0.3">
      <c r="A28" s="32">
        <f t="shared" si="0"/>
        <v>22</v>
      </c>
      <c r="B28" s="457" t="s">
        <v>4503</v>
      </c>
      <c r="C28" s="438" t="s">
        <v>4504</v>
      </c>
      <c r="D28" s="458" t="s">
        <v>4505</v>
      </c>
      <c r="E28" s="740">
        <v>2900</v>
      </c>
      <c r="F28" s="468" t="s">
        <v>356</v>
      </c>
      <c r="G28" s="477" t="s">
        <v>4256</v>
      </c>
      <c r="H28" s="438"/>
      <c r="I28" s="438"/>
      <c r="J28" s="438"/>
      <c r="K28" s="438"/>
      <c r="L28" s="438"/>
      <c r="M28" s="469" t="s">
        <v>4501</v>
      </c>
    </row>
    <row r="29" spans="1:13" ht="18.75" x14ac:dyDescent="0.3">
      <c r="A29" s="32">
        <f t="shared" si="0"/>
        <v>23</v>
      </c>
      <c r="B29" s="457" t="s">
        <v>4503</v>
      </c>
      <c r="C29" s="438" t="s">
        <v>4506</v>
      </c>
      <c r="D29" s="458" t="s">
        <v>4505</v>
      </c>
      <c r="E29" s="740">
        <v>2900</v>
      </c>
      <c r="F29" s="468" t="s">
        <v>356</v>
      </c>
      <c r="G29" s="477" t="s">
        <v>4256</v>
      </c>
      <c r="H29" s="438"/>
      <c r="I29" s="438"/>
      <c r="J29" s="438"/>
      <c r="K29" s="438"/>
      <c r="L29" s="438"/>
      <c r="M29" s="469" t="s">
        <v>4333</v>
      </c>
    </row>
    <row r="30" spans="1:13" ht="18.75" x14ac:dyDescent="0.3">
      <c r="A30" s="32">
        <f t="shared" si="0"/>
        <v>24</v>
      </c>
      <c r="B30" s="457" t="s">
        <v>4503</v>
      </c>
      <c r="C30" s="438" t="s">
        <v>4507</v>
      </c>
      <c r="D30" s="458" t="s">
        <v>4505</v>
      </c>
      <c r="E30" s="740">
        <v>2900</v>
      </c>
      <c r="F30" s="468" t="s">
        <v>356</v>
      </c>
      <c r="G30" s="477" t="s">
        <v>4256</v>
      </c>
      <c r="H30" s="438"/>
      <c r="I30" s="438"/>
      <c r="J30" s="438"/>
      <c r="K30" s="438"/>
      <c r="L30" s="438"/>
      <c r="M30" s="469" t="s">
        <v>4508</v>
      </c>
    </row>
    <row r="31" spans="1:13" ht="18.75" x14ac:dyDescent="0.3">
      <c r="A31" s="32">
        <f t="shared" si="0"/>
        <v>25</v>
      </c>
      <c r="B31" s="457" t="s">
        <v>4503</v>
      </c>
      <c r="C31" s="438" t="s">
        <v>4509</v>
      </c>
      <c r="D31" s="458" t="s">
        <v>4505</v>
      </c>
      <c r="E31" s="740">
        <v>2900</v>
      </c>
      <c r="F31" s="468" t="s">
        <v>356</v>
      </c>
      <c r="G31" s="477" t="s">
        <v>4256</v>
      </c>
      <c r="H31" s="438"/>
      <c r="I31" s="438"/>
      <c r="J31" s="438"/>
      <c r="K31" s="438"/>
      <c r="L31" s="438"/>
      <c r="M31" s="469" t="s">
        <v>4501</v>
      </c>
    </row>
    <row r="32" spans="1:13" ht="18.75" x14ac:dyDescent="0.3">
      <c r="A32" s="32">
        <f t="shared" si="0"/>
        <v>26</v>
      </c>
      <c r="B32" s="457" t="s">
        <v>4503</v>
      </c>
      <c r="C32" s="438" t="s">
        <v>4510</v>
      </c>
      <c r="D32" s="458" t="s">
        <v>4505</v>
      </c>
      <c r="E32" s="740">
        <v>2900</v>
      </c>
      <c r="F32" s="468" t="s">
        <v>356</v>
      </c>
      <c r="G32" s="477" t="s">
        <v>4256</v>
      </c>
      <c r="H32" s="438"/>
      <c r="I32" s="438"/>
      <c r="J32" s="438"/>
      <c r="K32" s="438"/>
      <c r="L32" s="438"/>
      <c r="M32" s="469" t="s">
        <v>4501</v>
      </c>
    </row>
    <row r="33" spans="1:16" ht="18.75" x14ac:dyDescent="0.3">
      <c r="A33" s="32">
        <f t="shared" si="0"/>
        <v>27</v>
      </c>
      <c r="B33" s="457" t="s">
        <v>4503</v>
      </c>
      <c r="C33" s="438" t="s">
        <v>4511</v>
      </c>
      <c r="D33" s="458" t="s">
        <v>4505</v>
      </c>
      <c r="E33" s="740">
        <v>2900</v>
      </c>
      <c r="F33" s="468" t="s">
        <v>356</v>
      </c>
      <c r="G33" s="477" t="s">
        <v>4256</v>
      </c>
      <c r="H33" s="438"/>
      <c r="I33" s="438"/>
      <c r="J33" s="438"/>
      <c r="K33" s="438"/>
      <c r="L33" s="438"/>
      <c r="M33" s="469" t="s">
        <v>423</v>
      </c>
    </row>
    <row r="34" spans="1:16" ht="18.75" x14ac:dyDescent="0.3">
      <c r="A34" s="32">
        <f t="shared" si="0"/>
        <v>28</v>
      </c>
      <c r="B34" s="457" t="s">
        <v>4503</v>
      </c>
      <c r="C34" s="438" t="s">
        <v>4512</v>
      </c>
      <c r="D34" s="458" t="s">
        <v>4513</v>
      </c>
      <c r="E34" s="740">
        <v>2900</v>
      </c>
      <c r="F34" s="468" t="s">
        <v>356</v>
      </c>
      <c r="G34" s="477" t="s">
        <v>4256</v>
      </c>
      <c r="H34" s="438"/>
      <c r="I34" s="438"/>
      <c r="J34" s="438"/>
      <c r="K34" s="438"/>
      <c r="L34" s="438"/>
      <c r="M34" s="469" t="s">
        <v>4501</v>
      </c>
      <c r="N34" s="900"/>
      <c r="O34" s="901"/>
      <c r="P34" s="902"/>
    </row>
    <row r="35" spans="1:16" ht="18.75" x14ac:dyDescent="0.3">
      <c r="A35" s="32">
        <f t="shared" si="0"/>
        <v>29</v>
      </c>
      <c r="B35" s="457" t="s">
        <v>4503</v>
      </c>
      <c r="C35" s="438" t="s">
        <v>4514</v>
      </c>
      <c r="D35" s="458" t="s">
        <v>4513</v>
      </c>
      <c r="E35" s="740">
        <v>2900</v>
      </c>
      <c r="F35" s="468" t="s">
        <v>356</v>
      </c>
      <c r="G35" s="477" t="s">
        <v>4256</v>
      </c>
      <c r="H35" s="438"/>
      <c r="I35" s="438"/>
      <c r="J35" s="438"/>
      <c r="K35" s="438"/>
      <c r="L35" s="438"/>
      <c r="M35" s="469" t="s">
        <v>4332</v>
      </c>
      <c r="N35" s="903"/>
      <c r="O35" s="904"/>
      <c r="P35" s="905"/>
    </row>
    <row r="36" spans="1:16" ht="18.75" x14ac:dyDescent="0.3">
      <c r="A36" s="32">
        <f t="shared" si="0"/>
        <v>30</v>
      </c>
      <c r="B36" s="437" t="s">
        <v>4534</v>
      </c>
      <c r="C36" s="438" t="s">
        <v>4941</v>
      </c>
      <c r="D36" s="445">
        <v>240470</v>
      </c>
      <c r="E36" s="736">
        <v>2421.3054187192101</v>
      </c>
      <c r="F36" s="440" t="s">
        <v>367</v>
      </c>
      <c r="G36" s="326" t="s">
        <v>4256</v>
      </c>
      <c r="H36" s="438"/>
      <c r="I36" s="438"/>
      <c r="J36" s="438"/>
      <c r="K36" s="438"/>
      <c r="L36" s="441"/>
      <c r="M36" s="441" t="s">
        <v>275</v>
      </c>
      <c r="N36" s="447"/>
      <c r="O36" s="447"/>
      <c r="P36" s="447"/>
    </row>
    <row r="37" spans="1:16" ht="18.75" x14ac:dyDescent="0.3">
      <c r="A37" s="32">
        <f t="shared" si="0"/>
        <v>31</v>
      </c>
      <c r="B37" s="437" t="s">
        <v>4405</v>
      </c>
      <c r="C37" s="438" t="s">
        <v>4406</v>
      </c>
      <c r="D37" s="439" t="s">
        <v>4407</v>
      </c>
      <c r="E37" s="735">
        <v>2000</v>
      </c>
      <c r="F37" s="440" t="s">
        <v>367</v>
      </c>
      <c r="G37" s="477" t="s">
        <v>4256</v>
      </c>
      <c r="H37" s="438"/>
      <c r="I37" s="438"/>
      <c r="J37" s="438"/>
      <c r="K37" s="438"/>
      <c r="L37" s="438"/>
      <c r="M37" s="441" t="s">
        <v>499</v>
      </c>
      <c r="N37" s="449" t="s">
        <v>4408</v>
      </c>
      <c r="O37" s="743">
        <f>SUM(E37:E45)</f>
        <v>24900</v>
      </c>
    </row>
    <row r="38" spans="1:16" ht="18.75" x14ac:dyDescent="0.3">
      <c r="A38" s="32">
        <f t="shared" si="0"/>
        <v>32</v>
      </c>
      <c r="B38" s="437" t="s">
        <v>4398</v>
      </c>
      <c r="C38" s="438" t="s">
        <v>4399</v>
      </c>
      <c r="D38" s="439" t="s">
        <v>4400</v>
      </c>
      <c r="E38" s="735">
        <v>4500</v>
      </c>
      <c r="F38" s="440" t="s">
        <v>367</v>
      </c>
      <c r="G38" s="477" t="s">
        <v>4256</v>
      </c>
      <c r="H38" s="438"/>
      <c r="I38" s="438"/>
      <c r="J38" s="438"/>
      <c r="K38" s="438"/>
      <c r="L38" s="438"/>
      <c r="M38" s="451" t="s">
        <v>4401</v>
      </c>
      <c r="N38" s="450"/>
      <c r="O38" s="450"/>
    </row>
    <row r="39" spans="1:16" ht="18.75" x14ac:dyDescent="0.3">
      <c r="A39" s="32">
        <f t="shared" si="0"/>
        <v>33</v>
      </c>
      <c r="B39" s="437" t="s">
        <v>4405</v>
      </c>
      <c r="C39" s="438" t="s">
        <v>4438</v>
      </c>
      <c r="D39" s="439" t="s">
        <v>4436</v>
      </c>
      <c r="E39" s="735">
        <v>2000</v>
      </c>
      <c r="F39" s="440" t="s">
        <v>367</v>
      </c>
      <c r="G39" s="477" t="s">
        <v>4256</v>
      </c>
      <c r="H39" s="438"/>
      <c r="I39" s="438"/>
      <c r="J39" s="438"/>
      <c r="K39" s="438"/>
      <c r="L39" s="438"/>
      <c r="M39" s="441" t="s">
        <v>288</v>
      </c>
      <c r="N39" s="906" t="s">
        <v>4437</v>
      </c>
      <c r="O39" s="907"/>
      <c r="P39" s="907"/>
    </row>
    <row r="40" spans="1:16" ht="18.75" x14ac:dyDescent="0.3">
      <c r="A40" s="32">
        <f t="shared" si="0"/>
        <v>34</v>
      </c>
      <c r="B40" s="437" t="s">
        <v>4439</v>
      </c>
      <c r="C40" s="438" t="s">
        <v>4440</v>
      </c>
      <c r="D40" s="439" t="s">
        <v>4436</v>
      </c>
      <c r="E40" s="735">
        <v>200</v>
      </c>
      <c r="F40" s="440" t="s">
        <v>356</v>
      </c>
      <c r="G40" s="477" t="s">
        <v>4256</v>
      </c>
      <c r="H40" s="438"/>
      <c r="I40" s="438"/>
      <c r="J40" s="438"/>
      <c r="K40" s="438"/>
      <c r="L40" s="438"/>
      <c r="M40" s="441" t="s">
        <v>4441</v>
      </c>
    </row>
    <row r="41" spans="1:16" ht="18.75" x14ac:dyDescent="0.3">
      <c r="A41" s="32">
        <f t="shared" si="0"/>
        <v>35</v>
      </c>
      <c r="B41" s="437" t="s">
        <v>4439</v>
      </c>
      <c r="C41" s="438" t="s">
        <v>4442</v>
      </c>
      <c r="D41" s="439" t="s">
        <v>4436</v>
      </c>
      <c r="E41" s="735">
        <v>200</v>
      </c>
      <c r="F41" s="440" t="s">
        <v>356</v>
      </c>
      <c r="G41" s="477" t="s">
        <v>4256</v>
      </c>
      <c r="H41" s="438"/>
      <c r="I41" s="438"/>
      <c r="J41" s="438"/>
      <c r="K41" s="438"/>
      <c r="L41" s="438"/>
      <c r="M41" s="441" t="s">
        <v>4441</v>
      </c>
    </row>
    <row r="42" spans="1:16" ht="18.75" x14ac:dyDescent="0.3">
      <c r="A42" s="32">
        <f t="shared" si="0"/>
        <v>36</v>
      </c>
      <c r="B42" s="437" t="s">
        <v>4405</v>
      </c>
      <c r="C42" s="438" t="s">
        <v>4435</v>
      </c>
      <c r="D42" s="439" t="s">
        <v>4436</v>
      </c>
      <c r="E42" s="735">
        <v>2000</v>
      </c>
      <c r="F42" s="440" t="s">
        <v>367</v>
      </c>
      <c r="G42" s="477" t="s">
        <v>4256</v>
      </c>
      <c r="H42" s="438"/>
      <c r="I42" s="438"/>
      <c r="J42" s="438"/>
      <c r="K42" s="438"/>
      <c r="L42" s="438"/>
      <c r="M42" s="456" t="s">
        <v>4332</v>
      </c>
      <c r="N42" s="906" t="s">
        <v>4437</v>
      </c>
      <c r="O42" s="907"/>
      <c r="P42" s="907"/>
    </row>
    <row r="43" spans="1:16" ht="18.75" x14ac:dyDescent="0.3">
      <c r="A43" s="32">
        <f t="shared" si="0"/>
        <v>37</v>
      </c>
      <c r="B43" s="437" t="s">
        <v>4472</v>
      </c>
      <c r="C43" s="438" t="s">
        <v>4473</v>
      </c>
      <c r="D43" s="439" t="s">
        <v>4474</v>
      </c>
      <c r="E43" s="735">
        <v>4500</v>
      </c>
      <c r="F43" s="440" t="s">
        <v>4475</v>
      </c>
      <c r="G43" s="477" t="s">
        <v>4256</v>
      </c>
      <c r="H43" s="438"/>
      <c r="I43" s="438"/>
      <c r="J43" s="438"/>
      <c r="K43" s="438"/>
      <c r="L43" s="438"/>
      <c r="M43" s="441" t="s">
        <v>4475</v>
      </c>
    </row>
    <row r="44" spans="1:16" ht="18.75" x14ac:dyDescent="0.3">
      <c r="A44" s="32">
        <f t="shared" si="0"/>
        <v>38</v>
      </c>
      <c r="B44" s="437" t="s">
        <v>4472</v>
      </c>
      <c r="C44" s="438" t="s">
        <v>4476</v>
      </c>
      <c r="D44" s="439" t="s">
        <v>4474</v>
      </c>
      <c r="E44" s="735">
        <v>4500</v>
      </c>
      <c r="F44" s="440" t="s">
        <v>4475</v>
      </c>
      <c r="G44" s="477" t="s">
        <v>4256</v>
      </c>
      <c r="H44" s="438"/>
      <c r="I44" s="438"/>
      <c r="J44" s="438"/>
      <c r="K44" s="438"/>
      <c r="L44" s="438"/>
      <c r="M44" s="441" t="s">
        <v>4475</v>
      </c>
    </row>
    <row r="45" spans="1:16" ht="18.75" x14ac:dyDescent="0.3">
      <c r="A45" s="32">
        <f t="shared" si="0"/>
        <v>39</v>
      </c>
      <c r="B45" s="437" t="s">
        <v>4477</v>
      </c>
      <c r="C45" s="438" t="s">
        <v>4478</v>
      </c>
      <c r="D45" s="439" t="s">
        <v>4474</v>
      </c>
      <c r="E45" s="735">
        <v>5000</v>
      </c>
      <c r="F45" s="440" t="s">
        <v>4475</v>
      </c>
      <c r="G45" s="477" t="s">
        <v>4256</v>
      </c>
      <c r="H45" s="438"/>
      <c r="I45" s="438"/>
      <c r="J45" s="438"/>
      <c r="K45" s="438"/>
      <c r="L45" s="438"/>
      <c r="M45" s="441" t="s">
        <v>4475</v>
      </c>
    </row>
    <row r="46" spans="1:16" ht="18.75" x14ac:dyDescent="0.3">
      <c r="A46" s="32">
        <f t="shared" si="0"/>
        <v>40</v>
      </c>
      <c r="B46" s="437" t="s">
        <v>4369</v>
      </c>
      <c r="C46" s="438" t="s">
        <v>4370</v>
      </c>
      <c r="D46" s="439" t="s">
        <v>4371</v>
      </c>
      <c r="E46" s="735">
        <v>4500</v>
      </c>
      <c r="F46" s="440" t="s">
        <v>356</v>
      </c>
      <c r="G46" s="477" t="s">
        <v>4256</v>
      </c>
      <c r="H46" s="438"/>
      <c r="I46" s="438"/>
      <c r="J46" s="438"/>
      <c r="K46" s="438"/>
      <c r="L46" s="438"/>
      <c r="M46" s="441" t="s">
        <v>4372</v>
      </c>
      <c r="N46" s="442" t="s">
        <v>3951</v>
      </c>
    </row>
    <row r="47" spans="1:16" ht="18.75" x14ac:dyDescent="0.3">
      <c r="A47" s="32">
        <f t="shared" si="0"/>
        <v>41</v>
      </c>
      <c r="B47" s="437" t="s">
        <v>4443</v>
      </c>
      <c r="C47" s="438" t="s">
        <v>4444</v>
      </c>
      <c r="D47" s="439" t="s">
        <v>4436</v>
      </c>
      <c r="E47" s="735">
        <v>350</v>
      </c>
      <c r="F47" s="440" t="s">
        <v>367</v>
      </c>
      <c r="G47" s="477" t="s">
        <v>4256</v>
      </c>
      <c r="H47" s="438"/>
      <c r="I47" s="438"/>
      <c r="J47" s="438"/>
      <c r="K47" s="438"/>
      <c r="L47" s="438"/>
      <c r="M47" s="441" t="s">
        <v>4445</v>
      </c>
      <c r="N47" s="743">
        <f>SUM(E47:E54)</f>
        <v>2800</v>
      </c>
    </row>
    <row r="48" spans="1:16" ht="18.75" x14ac:dyDescent="0.3">
      <c r="A48" s="32">
        <f t="shared" si="0"/>
        <v>42</v>
      </c>
      <c r="B48" s="437" t="s">
        <v>4443</v>
      </c>
      <c r="C48" s="438" t="s">
        <v>4446</v>
      </c>
      <c r="D48" s="439" t="s">
        <v>4436</v>
      </c>
      <c r="E48" s="735">
        <v>350</v>
      </c>
      <c r="F48" s="440" t="s">
        <v>356</v>
      </c>
      <c r="G48" s="477" t="s">
        <v>4256</v>
      </c>
      <c r="H48" s="438"/>
      <c r="I48" s="438"/>
      <c r="J48" s="438"/>
      <c r="K48" s="438"/>
      <c r="L48" s="438"/>
      <c r="M48" s="441" t="s">
        <v>4445</v>
      </c>
    </row>
    <row r="49" spans="1:16" ht="18.75" x14ac:dyDescent="0.3">
      <c r="A49" s="32">
        <f t="shared" si="0"/>
        <v>43</v>
      </c>
      <c r="B49" s="437" t="s">
        <v>4443</v>
      </c>
      <c r="C49" s="438" t="s">
        <v>4447</v>
      </c>
      <c r="D49" s="439" t="s">
        <v>4436</v>
      </c>
      <c r="E49" s="735">
        <v>350</v>
      </c>
      <c r="F49" s="440" t="s">
        <v>367</v>
      </c>
      <c r="G49" s="477" t="s">
        <v>4256</v>
      </c>
      <c r="H49" s="438"/>
      <c r="I49" s="438"/>
      <c r="J49" s="438"/>
      <c r="K49" s="438"/>
      <c r="L49" s="438"/>
      <c r="M49" s="441" t="s">
        <v>4445</v>
      </c>
    </row>
    <row r="50" spans="1:16" ht="18.75" x14ac:dyDescent="0.3">
      <c r="A50" s="32">
        <f t="shared" si="0"/>
        <v>44</v>
      </c>
      <c r="B50" s="437" t="s">
        <v>4443</v>
      </c>
      <c r="C50" s="438" t="s">
        <v>4448</v>
      </c>
      <c r="D50" s="439" t="s">
        <v>4436</v>
      </c>
      <c r="E50" s="735">
        <v>350</v>
      </c>
      <c r="F50" s="440" t="s">
        <v>367</v>
      </c>
      <c r="G50" s="477" t="s">
        <v>4256</v>
      </c>
      <c r="H50" s="438"/>
      <c r="I50" s="438"/>
      <c r="J50" s="438"/>
      <c r="K50" s="438"/>
      <c r="L50" s="438"/>
      <c r="M50" s="441" t="s">
        <v>4445</v>
      </c>
    </row>
    <row r="51" spans="1:16" ht="18.75" x14ac:dyDescent="0.3">
      <c r="A51" s="32">
        <f t="shared" si="0"/>
        <v>45</v>
      </c>
      <c r="B51" s="437" t="s">
        <v>4443</v>
      </c>
      <c r="C51" s="438" t="s">
        <v>4449</v>
      </c>
      <c r="D51" s="439" t="s">
        <v>4436</v>
      </c>
      <c r="E51" s="735">
        <v>350</v>
      </c>
      <c r="F51" s="440" t="s">
        <v>367</v>
      </c>
      <c r="G51" s="477" t="s">
        <v>4256</v>
      </c>
      <c r="H51" s="437"/>
      <c r="I51" s="437"/>
      <c r="J51" s="437"/>
      <c r="K51" s="460"/>
      <c r="L51" s="461"/>
      <c r="M51" s="441" t="s">
        <v>4445</v>
      </c>
    </row>
    <row r="52" spans="1:16" ht="18.75" x14ac:dyDescent="0.3">
      <c r="A52" s="32">
        <f t="shared" si="0"/>
        <v>46</v>
      </c>
      <c r="B52" s="437" t="s">
        <v>4443</v>
      </c>
      <c r="C52" s="438" t="s">
        <v>4450</v>
      </c>
      <c r="D52" s="439" t="s">
        <v>4436</v>
      </c>
      <c r="E52" s="735">
        <v>350</v>
      </c>
      <c r="F52" s="440" t="s">
        <v>367</v>
      </c>
      <c r="G52" s="477" t="s">
        <v>4256</v>
      </c>
      <c r="H52" s="437"/>
      <c r="I52" s="437"/>
      <c r="J52" s="437"/>
      <c r="K52" s="460"/>
      <c r="L52" s="461"/>
      <c r="M52" s="441" t="s">
        <v>4445</v>
      </c>
    </row>
    <row r="53" spans="1:16" ht="18.75" x14ac:dyDescent="0.3">
      <c r="A53" s="32">
        <f t="shared" si="0"/>
        <v>47</v>
      </c>
      <c r="B53" s="437" t="s">
        <v>4443</v>
      </c>
      <c r="C53" s="438" t="s">
        <v>4451</v>
      </c>
      <c r="D53" s="439" t="s">
        <v>4436</v>
      </c>
      <c r="E53" s="735">
        <v>350</v>
      </c>
      <c r="F53" s="440" t="s">
        <v>367</v>
      </c>
      <c r="G53" s="477" t="s">
        <v>4256</v>
      </c>
      <c r="H53" s="437"/>
      <c r="I53" s="437"/>
      <c r="J53" s="437"/>
      <c r="K53" s="460"/>
      <c r="L53" s="461"/>
      <c r="M53" s="441" t="s">
        <v>279</v>
      </c>
    </row>
    <row r="54" spans="1:16" ht="18.75" x14ac:dyDescent="0.3">
      <c r="A54" s="32">
        <f t="shared" si="0"/>
        <v>48</v>
      </c>
      <c r="B54" s="437" t="s">
        <v>4443</v>
      </c>
      <c r="C54" s="438" t="s">
        <v>4452</v>
      </c>
      <c r="D54" s="439" t="s">
        <v>4436</v>
      </c>
      <c r="E54" s="735">
        <v>350</v>
      </c>
      <c r="F54" s="440" t="s">
        <v>356</v>
      </c>
      <c r="G54" s="477" t="s">
        <v>4256</v>
      </c>
      <c r="H54" s="438"/>
      <c r="I54" s="438"/>
      <c r="J54" s="438"/>
      <c r="K54" s="438"/>
      <c r="L54" s="438"/>
      <c r="M54" s="441" t="s">
        <v>4332</v>
      </c>
    </row>
    <row r="55" spans="1:16" ht="18.75" x14ac:dyDescent="0.3">
      <c r="A55" s="32">
        <f t="shared" si="0"/>
        <v>49</v>
      </c>
      <c r="B55" s="437" t="s">
        <v>4382</v>
      </c>
      <c r="C55" s="438" t="s">
        <v>4383</v>
      </c>
      <c r="D55" s="439" t="s">
        <v>3894</v>
      </c>
      <c r="E55" s="735">
        <v>3800</v>
      </c>
      <c r="F55" s="440" t="s">
        <v>367</v>
      </c>
      <c r="G55" s="477" t="s">
        <v>4256</v>
      </c>
      <c r="H55" s="438"/>
      <c r="I55" s="438"/>
      <c r="J55" s="438"/>
      <c r="K55" s="438"/>
      <c r="L55" s="438"/>
      <c r="M55" s="441" t="s">
        <v>4379</v>
      </c>
      <c r="N55" s="744">
        <f>SUM(E55:E67)</f>
        <v>46000</v>
      </c>
      <c r="O55" s="447"/>
      <c r="P55" s="447"/>
    </row>
    <row r="56" spans="1:16" ht="18.75" x14ac:dyDescent="0.3">
      <c r="A56" s="32">
        <f t="shared" si="0"/>
        <v>50</v>
      </c>
      <c r="B56" s="437" t="s">
        <v>4384</v>
      </c>
      <c r="C56" s="438" t="s">
        <v>4385</v>
      </c>
      <c r="D56" s="439" t="s">
        <v>3894</v>
      </c>
      <c r="E56" s="735">
        <v>3800</v>
      </c>
      <c r="F56" s="440" t="s">
        <v>367</v>
      </c>
      <c r="G56" s="477" t="s">
        <v>4256</v>
      </c>
      <c r="H56" s="438"/>
      <c r="I56" s="438"/>
      <c r="J56" s="438"/>
      <c r="K56" s="438"/>
      <c r="L56" s="438"/>
      <c r="M56" s="441" t="s">
        <v>4386</v>
      </c>
      <c r="N56" s="449"/>
      <c r="O56" s="447"/>
      <c r="P56" s="447"/>
    </row>
    <row r="57" spans="1:16" ht="18.75" x14ac:dyDescent="0.3">
      <c r="A57" s="32">
        <f t="shared" si="0"/>
        <v>51</v>
      </c>
      <c r="B57" s="437" t="s">
        <v>3893</v>
      </c>
      <c r="C57" s="438" t="s">
        <v>4387</v>
      </c>
      <c r="D57" s="439" t="s">
        <v>3894</v>
      </c>
      <c r="E57" s="735">
        <v>2800</v>
      </c>
      <c r="F57" s="440" t="s">
        <v>367</v>
      </c>
      <c r="G57" s="477" t="s">
        <v>4256</v>
      </c>
      <c r="H57" s="438"/>
      <c r="I57" s="438"/>
      <c r="J57" s="438"/>
      <c r="K57" s="438"/>
      <c r="L57" s="438"/>
      <c r="M57" s="441" t="s">
        <v>4379</v>
      </c>
      <c r="N57" s="449"/>
      <c r="O57" s="447"/>
      <c r="P57" s="447"/>
    </row>
    <row r="58" spans="1:16" ht="18.75" x14ac:dyDescent="0.3">
      <c r="A58" s="32">
        <f t="shared" si="0"/>
        <v>52</v>
      </c>
      <c r="B58" s="437" t="s">
        <v>3893</v>
      </c>
      <c r="C58" s="438" t="s">
        <v>4388</v>
      </c>
      <c r="D58" s="439" t="s">
        <v>3894</v>
      </c>
      <c r="E58" s="735">
        <v>2800</v>
      </c>
      <c r="F58" s="440" t="s">
        <v>367</v>
      </c>
      <c r="G58" s="477" t="s">
        <v>4256</v>
      </c>
      <c r="H58" s="438"/>
      <c r="I58" s="438"/>
      <c r="J58" s="438"/>
      <c r="K58" s="438"/>
      <c r="L58" s="438"/>
      <c r="M58" s="441" t="s">
        <v>484</v>
      </c>
      <c r="N58" s="449"/>
      <c r="O58" s="447"/>
      <c r="P58" s="447"/>
    </row>
    <row r="59" spans="1:16" ht="18.75" x14ac:dyDescent="0.3">
      <c r="A59" s="32">
        <f t="shared" si="0"/>
        <v>53</v>
      </c>
      <c r="B59" s="437" t="s">
        <v>4384</v>
      </c>
      <c r="C59" s="438" t="s">
        <v>4409</v>
      </c>
      <c r="D59" s="439" t="s">
        <v>4407</v>
      </c>
      <c r="E59" s="735">
        <v>3800</v>
      </c>
      <c r="F59" s="440" t="s">
        <v>356</v>
      </c>
      <c r="G59" s="477" t="s">
        <v>4256</v>
      </c>
      <c r="H59" s="438"/>
      <c r="I59" s="438"/>
      <c r="J59" s="438"/>
      <c r="K59" s="438"/>
      <c r="L59" s="438"/>
      <c r="M59" s="453" t="s">
        <v>4410</v>
      </c>
    </row>
    <row r="60" spans="1:16" ht="18.75" x14ac:dyDescent="0.3">
      <c r="A60" s="32">
        <f t="shared" si="0"/>
        <v>54</v>
      </c>
      <c r="B60" s="437" t="s">
        <v>4384</v>
      </c>
      <c r="C60" s="438" t="s">
        <v>4411</v>
      </c>
      <c r="D60" s="439" t="s">
        <v>4407</v>
      </c>
      <c r="E60" s="735">
        <v>3800</v>
      </c>
      <c r="F60" s="440" t="s">
        <v>356</v>
      </c>
      <c r="G60" s="477" t="s">
        <v>4256</v>
      </c>
      <c r="H60" s="438"/>
      <c r="I60" s="438"/>
      <c r="J60" s="438"/>
      <c r="K60" s="438"/>
      <c r="L60" s="438"/>
      <c r="M60" s="454" t="s">
        <v>4412</v>
      </c>
    </row>
    <row r="61" spans="1:16" ht="18.75" x14ac:dyDescent="0.3">
      <c r="A61" s="32">
        <f t="shared" si="0"/>
        <v>55</v>
      </c>
      <c r="B61" s="437" t="s">
        <v>4413</v>
      </c>
      <c r="C61" s="438" t="s">
        <v>4414</v>
      </c>
      <c r="D61" s="439" t="s">
        <v>4407</v>
      </c>
      <c r="E61" s="735">
        <v>2800</v>
      </c>
      <c r="F61" s="440" t="s">
        <v>356</v>
      </c>
      <c r="G61" s="477" t="s">
        <v>4256</v>
      </c>
      <c r="H61" s="438"/>
      <c r="I61" s="438"/>
      <c r="J61" s="438"/>
      <c r="K61" s="438"/>
      <c r="L61" s="438"/>
      <c r="M61" s="441" t="s">
        <v>279</v>
      </c>
    </row>
    <row r="62" spans="1:16" ht="18.75" x14ac:dyDescent="0.3">
      <c r="A62" s="32">
        <f t="shared" si="0"/>
        <v>56</v>
      </c>
      <c r="B62" s="437" t="s">
        <v>4415</v>
      </c>
      <c r="C62" s="438" t="s">
        <v>4416</v>
      </c>
      <c r="D62" s="439" t="s">
        <v>4417</v>
      </c>
      <c r="E62" s="735">
        <v>3800</v>
      </c>
      <c r="F62" s="440" t="s">
        <v>367</v>
      </c>
      <c r="G62" s="477" t="s">
        <v>4256</v>
      </c>
      <c r="H62" s="438"/>
      <c r="I62" s="438"/>
      <c r="J62" s="438"/>
      <c r="K62" s="438"/>
      <c r="L62" s="438"/>
      <c r="M62" s="441" t="s">
        <v>291</v>
      </c>
    </row>
    <row r="63" spans="1:16" ht="18.75" x14ac:dyDescent="0.3">
      <c r="A63" s="32">
        <f t="shared" si="0"/>
        <v>57</v>
      </c>
      <c r="B63" s="437" t="s">
        <v>4418</v>
      </c>
      <c r="C63" s="438" t="s">
        <v>4419</v>
      </c>
      <c r="D63" s="439" t="s">
        <v>4417</v>
      </c>
      <c r="E63" s="735">
        <v>2800</v>
      </c>
      <c r="F63" s="440" t="s">
        <v>367</v>
      </c>
      <c r="G63" s="477" t="s">
        <v>4256</v>
      </c>
      <c r="H63" s="438"/>
      <c r="I63" s="438"/>
      <c r="J63" s="438"/>
      <c r="K63" s="438"/>
      <c r="L63" s="438"/>
      <c r="M63" s="441" t="s">
        <v>291</v>
      </c>
    </row>
    <row r="64" spans="1:16" ht="21" x14ac:dyDescent="0.35">
      <c r="A64" s="32">
        <f t="shared" si="0"/>
        <v>58</v>
      </c>
      <c r="B64" s="437" t="s">
        <v>4479</v>
      </c>
      <c r="C64" s="438" t="s">
        <v>4480</v>
      </c>
      <c r="D64" s="439" t="s">
        <v>4481</v>
      </c>
      <c r="E64" s="735">
        <v>3900</v>
      </c>
      <c r="F64" s="440" t="s">
        <v>367</v>
      </c>
      <c r="G64" s="477" t="s">
        <v>4256</v>
      </c>
      <c r="H64" s="438"/>
      <c r="I64" s="438"/>
      <c r="J64" s="438"/>
      <c r="K64" s="438"/>
      <c r="L64" s="438"/>
      <c r="M64" s="470" t="s">
        <v>4253</v>
      </c>
    </row>
    <row r="65" spans="1:16" ht="18.75" x14ac:dyDescent="0.3">
      <c r="A65" s="32">
        <f t="shared" si="0"/>
        <v>59</v>
      </c>
      <c r="B65" s="437" t="s">
        <v>4482</v>
      </c>
      <c r="C65" s="438" t="s">
        <v>4483</v>
      </c>
      <c r="D65" s="439" t="s">
        <v>4481</v>
      </c>
      <c r="E65" s="735">
        <v>4300</v>
      </c>
      <c r="F65" s="440" t="s">
        <v>367</v>
      </c>
      <c r="G65" s="477" t="s">
        <v>4256</v>
      </c>
      <c r="H65" s="438"/>
      <c r="I65" s="438"/>
      <c r="J65" s="438"/>
      <c r="K65" s="438"/>
      <c r="L65" s="438"/>
      <c r="M65" s="441" t="s">
        <v>4484</v>
      </c>
    </row>
    <row r="66" spans="1:16" ht="18.75" x14ac:dyDescent="0.3">
      <c r="A66" s="32">
        <f t="shared" si="0"/>
        <v>60</v>
      </c>
      <c r="B66" s="437" t="s">
        <v>4515</v>
      </c>
      <c r="C66" s="438" t="s">
        <v>4516</v>
      </c>
      <c r="D66" s="439" t="s">
        <v>4513</v>
      </c>
      <c r="E66" s="735">
        <v>3800</v>
      </c>
      <c r="F66" s="468" t="s">
        <v>356</v>
      </c>
      <c r="G66" s="477" t="s">
        <v>4256</v>
      </c>
      <c r="H66" s="438"/>
      <c r="I66" s="438"/>
      <c r="J66" s="438"/>
      <c r="K66" s="438"/>
      <c r="L66" s="438"/>
      <c r="M66" s="441" t="s">
        <v>334</v>
      </c>
      <c r="N66" s="903"/>
      <c r="O66" s="904"/>
      <c r="P66" s="905"/>
    </row>
    <row r="67" spans="1:16" ht="18.75" x14ac:dyDescent="0.3">
      <c r="A67" s="32">
        <f t="shared" si="0"/>
        <v>61</v>
      </c>
      <c r="B67" s="437" t="s">
        <v>4517</v>
      </c>
      <c r="C67" s="438" t="s">
        <v>4518</v>
      </c>
      <c r="D67" s="439" t="s">
        <v>4519</v>
      </c>
      <c r="E67" s="735">
        <v>3800</v>
      </c>
      <c r="F67" s="440" t="s">
        <v>367</v>
      </c>
      <c r="G67" s="477" t="s">
        <v>4256</v>
      </c>
      <c r="H67" s="438"/>
      <c r="I67" s="438"/>
      <c r="J67" s="438"/>
      <c r="K67" s="438"/>
      <c r="L67" s="438"/>
      <c r="M67" s="441" t="s">
        <v>4299</v>
      </c>
      <c r="N67" s="449"/>
      <c r="O67" s="447"/>
      <c r="P67" s="478"/>
    </row>
    <row r="68" spans="1:16" ht="19.5" x14ac:dyDescent="0.3">
      <c r="A68" s="32">
        <f t="shared" si="0"/>
        <v>62</v>
      </c>
      <c r="B68" s="437" t="s">
        <v>4485</v>
      </c>
      <c r="C68" s="438" t="s">
        <v>4486</v>
      </c>
      <c r="D68" s="445">
        <v>20592</v>
      </c>
      <c r="E68" s="735">
        <v>4800</v>
      </c>
      <c r="F68" s="440" t="s">
        <v>356</v>
      </c>
      <c r="G68" s="477" t="s">
        <v>4256</v>
      </c>
      <c r="H68" s="438"/>
      <c r="I68" s="438"/>
      <c r="J68" s="438"/>
      <c r="K68" s="438"/>
      <c r="L68" s="438"/>
      <c r="M68" s="471" t="s">
        <v>315</v>
      </c>
    </row>
    <row r="69" spans="1:16" ht="18.75" x14ac:dyDescent="0.3">
      <c r="A69" s="32">
        <f t="shared" si="0"/>
        <v>63</v>
      </c>
      <c r="B69" s="437" t="s">
        <v>4373</v>
      </c>
      <c r="C69" s="438" t="s">
        <v>4374</v>
      </c>
      <c r="D69" s="443">
        <v>20128</v>
      </c>
      <c r="E69" s="735">
        <v>3200</v>
      </c>
      <c r="F69" s="440" t="s">
        <v>367</v>
      </c>
      <c r="G69" s="477" t="s">
        <v>4256</v>
      </c>
      <c r="H69" s="438"/>
      <c r="I69" s="438"/>
      <c r="J69" s="438"/>
      <c r="K69" s="438"/>
      <c r="L69" s="438"/>
      <c r="M69" s="441" t="s">
        <v>4375</v>
      </c>
    </row>
    <row r="70" spans="1:16" ht="19.5" x14ac:dyDescent="0.3">
      <c r="A70" s="32">
        <f t="shared" si="0"/>
        <v>64</v>
      </c>
      <c r="B70" s="444" t="s">
        <v>4489</v>
      </c>
      <c r="C70" s="438" t="s">
        <v>4490</v>
      </c>
      <c r="D70" s="445">
        <v>20618</v>
      </c>
      <c r="E70" s="736">
        <v>1280</v>
      </c>
      <c r="F70" s="440" t="s">
        <v>367</v>
      </c>
      <c r="G70" s="477" t="s">
        <v>4256</v>
      </c>
      <c r="H70" s="438"/>
      <c r="I70" s="438"/>
      <c r="J70" s="438"/>
      <c r="K70" s="438"/>
      <c r="L70" s="438"/>
      <c r="M70" s="471" t="s">
        <v>3917</v>
      </c>
      <c r="N70" s="743">
        <f>SUM(E70:E71)</f>
        <v>2560</v>
      </c>
    </row>
    <row r="71" spans="1:16" ht="19.5" x14ac:dyDescent="0.3">
      <c r="A71" s="32">
        <f t="shared" si="0"/>
        <v>65</v>
      </c>
      <c r="B71" s="437" t="s">
        <v>4491</v>
      </c>
      <c r="C71" s="438" t="s">
        <v>4492</v>
      </c>
      <c r="D71" s="445">
        <v>20618</v>
      </c>
      <c r="E71" s="736">
        <v>1280</v>
      </c>
      <c r="F71" s="440" t="s">
        <v>367</v>
      </c>
      <c r="G71" s="477" t="s">
        <v>4256</v>
      </c>
      <c r="H71" s="438"/>
      <c r="I71" s="438"/>
      <c r="J71" s="438"/>
      <c r="K71" s="438"/>
      <c r="L71" s="438"/>
      <c r="M71" s="471" t="s">
        <v>288</v>
      </c>
    </row>
    <row r="72" spans="1:16" ht="18.75" x14ac:dyDescent="0.3">
      <c r="A72" s="32">
        <f t="shared" ref="A72:A83" si="1">ROW()-ROW($A$7)+1</f>
        <v>66</v>
      </c>
      <c r="B72" s="462" t="s">
        <v>4453</v>
      </c>
      <c r="C72" s="463" t="s">
        <v>4454</v>
      </c>
      <c r="D72" s="464">
        <v>20333</v>
      </c>
      <c r="E72" s="739">
        <v>1800</v>
      </c>
      <c r="F72" s="465" t="s">
        <v>356</v>
      </c>
      <c r="G72" s="477" t="s">
        <v>4256</v>
      </c>
      <c r="H72" s="438"/>
      <c r="I72" s="438"/>
      <c r="J72" s="438"/>
      <c r="K72" s="438"/>
      <c r="L72" s="438"/>
      <c r="M72" s="466" t="s">
        <v>322</v>
      </c>
      <c r="N72" s="450"/>
      <c r="O72" s="450" t="s">
        <v>4395</v>
      </c>
      <c r="P72" s="450"/>
    </row>
    <row r="73" spans="1:16" ht="18.75" x14ac:dyDescent="0.3">
      <c r="A73" s="32">
        <f t="shared" si="1"/>
        <v>67</v>
      </c>
      <c r="B73" s="462" t="s">
        <v>4455</v>
      </c>
      <c r="C73" s="463" t="s">
        <v>4456</v>
      </c>
      <c r="D73" s="464">
        <v>20333</v>
      </c>
      <c r="E73" s="739">
        <v>800</v>
      </c>
      <c r="F73" s="440" t="s">
        <v>367</v>
      </c>
      <c r="G73" s="477" t="s">
        <v>4256</v>
      </c>
      <c r="H73" s="438"/>
      <c r="I73" s="438"/>
      <c r="J73" s="438"/>
      <c r="K73" s="438"/>
      <c r="L73" s="438"/>
      <c r="M73" s="466" t="s">
        <v>4457</v>
      </c>
      <c r="N73" s="908">
        <f>SUM(E72:E76)</f>
        <v>5400</v>
      </c>
      <c r="O73" s="904"/>
      <c r="P73" s="904"/>
    </row>
    <row r="74" spans="1:16" ht="18.75" x14ac:dyDescent="0.3">
      <c r="A74" s="32">
        <f t="shared" si="1"/>
        <v>68</v>
      </c>
      <c r="B74" s="462" t="s">
        <v>4455</v>
      </c>
      <c r="C74" s="463" t="s">
        <v>4458</v>
      </c>
      <c r="D74" s="464">
        <v>20333</v>
      </c>
      <c r="E74" s="739">
        <v>800</v>
      </c>
      <c r="F74" s="440" t="s">
        <v>367</v>
      </c>
      <c r="G74" s="477" t="s">
        <v>4256</v>
      </c>
      <c r="H74" s="438"/>
      <c r="I74" s="438"/>
      <c r="J74" s="438"/>
      <c r="K74" s="438"/>
      <c r="L74" s="438"/>
      <c r="M74" s="466" t="s">
        <v>4457</v>
      </c>
      <c r="N74" s="903"/>
      <c r="O74" s="904"/>
      <c r="P74" s="904"/>
    </row>
    <row r="75" spans="1:16" ht="18.75" x14ac:dyDescent="0.3">
      <c r="A75" s="32">
        <f t="shared" si="1"/>
        <v>69</v>
      </c>
      <c r="B75" s="462" t="s">
        <v>4459</v>
      </c>
      <c r="C75" s="463" t="s">
        <v>4460</v>
      </c>
      <c r="D75" s="464">
        <v>20333</v>
      </c>
      <c r="E75" s="739">
        <v>1000</v>
      </c>
      <c r="F75" s="440" t="s">
        <v>367</v>
      </c>
      <c r="G75" s="477" t="s">
        <v>4256</v>
      </c>
      <c r="H75" s="438"/>
      <c r="I75" s="438"/>
      <c r="J75" s="438"/>
      <c r="K75" s="438"/>
      <c r="L75" s="438"/>
      <c r="M75" s="466" t="s">
        <v>4457</v>
      </c>
      <c r="N75" s="903"/>
      <c r="O75" s="904"/>
      <c r="P75" s="904"/>
    </row>
    <row r="76" spans="1:16" ht="18.75" x14ac:dyDescent="0.3">
      <c r="A76" s="32">
        <f t="shared" si="1"/>
        <v>70</v>
      </c>
      <c r="B76" s="462" t="s">
        <v>4459</v>
      </c>
      <c r="C76" s="463" t="s">
        <v>4461</v>
      </c>
      <c r="D76" s="464">
        <v>20333</v>
      </c>
      <c r="E76" s="739">
        <v>1000</v>
      </c>
      <c r="F76" s="440" t="s">
        <v>367</v>
      </c>
      <c r="G76" s="477" t="s">
        <v>4256</v>
      </c>
      <c r="H76" s="438"/>
      <c r="I76" s="438"/>
      <c r="J76" s="438"/>
      <c r="K76" s="438"/>
      <c r="L76" s="438"/>
      <c r="M76" s="466" t="s">
        <v>4457</v>
      </c>
      <c r="N76" s="903"/>
      <c r="O76" s="904"/>
      <c r="P76" s="904"/>
    </row>
    <row r="77" spans="1:16" ht="18.75" x14ac:dyDescent="0.3">
      <c r="A77" s="32">
        <f t="shared" si="1"/>
        <v>71</v>
      </c>
      <c r="B77" s="437" t="s">
        <v>4389</v>
      </c>
      <c r="C77" s="438" t="s">
        <v>4390</v>
      </c>
      <c r="D77" s="439" t="s">
        <v>3894</v>
      </c>
      <c r="E77" s="735">
        <v>4800</v>
      </c>
      <c r="F77" s="440" t="s">
        <v>367</v>
      </c>
      <c r="G77" s="477" t="s">
        <v>4256</v>
      </c>
      <c r="H77" s="438"/>
      <c r="I77" s="438"/>
      <c r="J77" s="438"/>
      <c r="K77" s="438"/>
      <c r="L77" s="438"/>
      <c r="M77" s="441" t="s">
        <v>458</v>
      </c>
      <c r="N77" s="449"/>
      <c r="O77" s="447"/>
      <c r="P77" s="447"/>
    </row>
    <row r="78" spans="1:16" ht="18.75" x14ac:dyDescent="0.3">
      <c r="A78" s="32">
        <f t="shared" si="1"/>
        <v>72</v>
      </c>
      <c r="B78" s="437" t="s">
        <v>4389</v>
      </c>
      <c r="C78" s="438" t="s">
        <v>4391</v>
      </c>
      <c r="D78" s="439" t="s">
        <v>3894</v>
      </c>
      <c r="E78" s="735">
        <v>4800</v>
      </c>
      <c r="F78" s="440" t="s">
        <v>367</v>
      </c>
      <c r="G78" s="477" t="s">
        <v>4256</v>
      </c>
      <c r="H78" s="438"/>
      <c r="I78" s="438"/>
      <c r="J78" s="438"/>
      <c r="K78" s="438"/>
      <c r="L78" s="438"/>
      <c r="M78" s="441" t="s">
        <v>360</v>
      </c>
      <c r="N78" s="744">
        <f>SUM(E77:E82)</f>
        <v>26400</v>
      </c>
      <c r="O78" s="447"/>
      <c r="P78" s="447"/>
    </row>
    <row r="79" spans="1:16" ht="18.75" x14ac:dyDescent="0.3">
      <c r="A79" s="32">
        <f t="shared" si="1"/>
        <v>73</v>
      </c>
      <c r="B79" s="437" t="s">
        <v>4389</v>
      </c>
      <c r="C79" s="438" t="s">
        <v>4392</v>
      </c>
      <c r="D79" s="439" t="s">
        <v>3894</v>
      </c>
      <c r="E79" s="735">
        <v>4800</v>
      </c>
      <c r="F79" s="440" t="s">
        <v>367</v>
      </c>
      <c r="G79" s="477" t="s">
        <v>4256</v>
      </c>
      <c r="H79" s="438"/>
      <c r="I79" s="438"/>
      <c r="J79" s="438"/>
      <c r="K79" s="438"/>
      <c r="L79" s="438"/>
      <c r="M79" s="441" t="s">
        <v>458</v>
      </c>
      <c r="N79" s="449"/>
      <c r="O79" s="447"/>
      <c r="P79" s="447"/>
    </row>
    <row r="80" spans="1:16" ht="18.75" x14ac:dyDescent="0.3">
      <c r="A80" s="32">
        <f t="shared" si="1"/>
        <v>74</v>
      </c>
      <c r="B80" s="437" t="s">
        <v>4393</v>
      </c>
      <c r="C80" s="438" t="s">
        <v>4394</v>
      </c>
      <c r="D80" s="439" t="s">
        <v>3894</v>
      </c>
      <c r="E80" s="735">
        <v>4000</v>
      </c>
      <c r="F80" s="440" t="s">
        <v>367</v>
      </c>
      <c r="G80" s="477" t="s">
        <v>4256</v>
      </c>
      <c r="H80" s="438"/>
      <c r="I80" s="438"/>
      <c r="J80" s="438"/>
      <c r="K80" s="438"/>
      <c r="L80" s="438"/>
      <c r="M80" s="441" t="s">
        <v>458</v>
      </c>
      <c r="N80" s="449"/>
      <c r="O80" s="450" t="s">
        <v>4395</v>
      </c>
      <c r="P80" s="450"/>
    </row>
    <row r="81" spans="1:16" ht="18.75" x14ac:dyDescent="0.3">
      <c r="A81" s="32">
        <f t="shared" si="1"/>
        <v>75</v>
      </c>
      <c r="B81" s="437" t="s">
        <v>4396</v>
      </c>
      <c r="C81" s="438" t="s">
        <v>4397</v>
      </c>
      <c r="D81" s="439" t="s">
        <v>3894</v>
      </c>
      <c r="E81" s="735">
        <v>4000</v>
      </c>
      <c r="F81" s="440" t="s">
        <v>367</v>
      </c>
      <c r="G81" s="477" t="s">
        <v>4256</v>
      </c>
      <c r="H81" s="438"/>
      <c r="I81" s="438"/>
      <c r="J81" s="438"/>
      <c r="K81" s="438"/>
      <c r="L81" s="438"/>
      <c r="M81" s="441" t="s">
        <v>3917</v>
      </c>
      <c r="N81" s="450"/>
      <c r="O81" s="450" t="s">
        <v>4395</v>
      </c>
      <c r="P81" s="450"/>
    </row>
    <row r="82" spans="1:16" ht="18.75" x14ac:dyDescent="0.3">
      <c r="A82" s="32">
        <f t="shared" si="1"/>
        <v>76</v>
      </c>
      <c r="B82" s="437" t="s">
        <v>4396</v>
      </c>
      <c r="C82" s="438" t="s">
        <v>4402</v>
      </c>
      <c r="D82" s="439" t="s">
        <v>3894</v>
      </c>
      <c r="E82" s="735">
        <v>4000</v>
      </c>
      <c r="F82" s="440" t="s">
        <v>367</v>
      </c>
      <c r="G82" s="477" t="s">
        <v>4256</v>
      </c>
      <c r="H82" s="438"/>
      <c r="I82" s="438"/>
      <c r="J82" s="438"/>
      <c r="K82" s="438"/>
      <c r="L82" s="438"/>
      <c r="M82" s="441" t="s">
        <v>3917</v>
      </c>
      <c r="N82" s="450"/>
    </row>
    <row r="83" spans="1:16" ht="19.5" x14ac:dyDescent="0.3">
      <c r="A83" s="32">
        <f t="shared" si="1"/>
        <v>77</v>
      </c>
      <c r="B83" s="444" t="s">
        <v>4487</v>
      </c>
      <c r="C83" s="452" t="s">
        <v>4488</v>
      </c>
      <c r="D83" s="443">
        <v>20604</v>
      </c>
      <c r="E83" s="737">
        <v>5000</v>
      </c>
      <c r="F83" s="472" t="s">
        <v>3828</v>
      </c>
      <c r="G83" s="477" t="s">
        <v>4256</v>
      </c>
      <c r="H83" s="438"/>
      <c r="I83" s="438"/>
      <c r="J83" s="461"/>
      <c r="K83" s="461"/>
      <c r="L83" s="438"/>
      <c r="M83" s="473" t="s">
        <v>3828</v>
      </c>
    </row>
    <row r="84" spans="1:16" ht="21" customHeight="1" x14ac:dyDescent="0.3">
      <c r="A84" s="707"/>
      <c r="B84" s="708" t="s">
        <v>4954</v>
      </c>
      <c r="C84" s="460"/>
      <c r="D84" s="709"/>
      <c r="E84" s="710">
        <f>SUM(E7:E83)</f>
        <v>209871.30541871922</v>
      </c>
      <c r="F84" s="475"/>
      <c r="G84" s="438"/>
      <c r="H84" s="438"/>
      <c r="I84" s="438"/>
      <c r="J84" s="438"/>
      <c r="K84" s="438"/>
      <c r="L84" s="438"/>
      <c r="M84" s="476"/>
    </row>
  </sheetData>
  <mergeCells count="25">
    <mergeCell ref="N34:P34"/>
    <mergeCell ref="N35:P35"/>
    <mergeCell ref="N66:P66"/>
    <mergeCell ref="N76:P76"/>
    <mergeCell ref="G4:G6"/>
    <mergeCell ref="H4:H6"/>
    <mergeCell ref="I4:I6"/>
    <mergeCell ref="J4:J6"/>
    <mergeCell ref="K4:K6"/>
    <mergeCell ref="N75:P75"/>
    <mergeCell ref="N42:P42"/>
    <mergeCell ref="N39:P39"/>
    <mergeCell ref="N73:P73"/>
    <mergeCell ref="N74:P74"/>
    <mergeCell ref="A1:M1"/>
    <mergeCell ref="A2:M2"/>
    <mergeCell ref="A3:A6"/>
    <mergeCell ref="B3:B6"/>
    <mergeCell ref="C3:C6"/>
    <mergeCell ref="D3:D6"/>
    <mergeCell ref="E3:E6"/>
    <mergeCell ref="F3:F6"/>
    <mergeCell ref="G3:L3"/>
    <mergeCell ref="M3:M6"/>
    <mergeCell ref="L4:L6"/>
  </mergeCells>
  <printOptions horizontalCentered="1"/>
  <pageMargins left="0.39370078740157483" right="0.39370078740157483" top="0.59055118110236227" bottom="0.19685039370078741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G358"/>
  <sheetViews>
    <sheetView zoomScaleNormal="100" workbookViewId="0">
      <pane ySplit="5" topLeftCell="A235" activePane="bottomLeft" state="frozen"/>
      <selection pane="bottomLeft" activeCell="D346" sqref="D346"/>
    </sheetView>
  </sheetViews>
  <sheetFormatPr defaultRowHeight="18" x14ac:dyDescent="0.25"/>
  <cols>
    <col min="1" max="1" width="49.5703125" style="779" bestFit="1" customWidth="1"/>
    <col min="2" max="2" width="7.7109375" style="779" bestFit="1" customWidth="1"/>
    <col min="3" max="3" width="11.5703125" style="779" bestFit="1" customWidth="1"/>
    <col min="4" max="4" width="15" style="779" bestFit="1" customWidth="1"/>
    <col min="5" max="5" width="11.5703125" style="779" bestFit="1" customWidth="1"/>
    <col min="6" max="6" width="15" style="779" bestFit="1" customWidth="1"/>
    <col min="7" max="7" width="20.42578125" style="779" bestFit="1" customWidth="1"/>
    <col min="8" max="16384" width="9.140625" style="779"/>
  </cols>
  <sheetData>
    <row r="1" spans="1:6" ht="18.75" x14ac:dyDescent="0.3">
      <c r="A1" s="909" t="s">
        <v>4535</v>
      </c>
      <c r="B1" s="909"/>
      <c r="C1" s="909"/>
      <c r="D1" s="909"/>
      <c r="E1" s="909"/>
      <c r="F1" s="909"/>
    </row>
    <row r="2" spans="1:6" ht="18.75" x14ac:dyDescent="0.3">
      <c r="A2" s="909" t="s">
        <v>4536</v>
      </c>
      <c r="B2" s="909"/>
      <c r="C2" s="909"/>
      <c r="D2" s="909"/>
      <c r="E2" s="909"/>
      <c r="F2" s="909"/>
    </row>
    <row r="3" spans="1:6" ht="18.75" x14ac:dyDescent="0.3">
      <c r="A3" s="909" t="s">
        <v>4939</v>
      </c>
      <c r="B3" s="909"/>
      <c r="C3" s="909"/>
      <c r="D3" s="909"/>
      <c r="E3" s="909"/>
      <c r="F3" s="909"/>
    </row>
    <row r="4" spans="1:6" ht="18.75" x14ac:dyDescent="0.3">
      <c r="A4" s="910" t="s">
        <v>4537</v>
      </c>
      <c r="B4" s="911" t="s">
        <v>4538</v>
      </c>
      <c r="C4" s="913" t="s">
        <v>4539</v>
      </c>
      <c r="D4" s="913"/>
      <c r="E4" s="913" t="s">
        <v>4540</v>
      </c>
      <c r="F4" s="913"/>
    </row>
    <row r="5" spans="1:6" ht="18.75" x14ac:dyDescent="0.3">
      <c r="A5" s="910"/>
      <c r="B5" s="912"/>
      <c r="C5" s="780" t="s">
        <v>4541</v>
      </c>
      <c r="D5" s="781" t="s">
        <v>4542</v>
      </c>
      <c r="E5" s="780" t="s">
        <v>4541</v>
      </c>
      <c r="F5" s="781" t="s">
        <v>4542</v>
      </c>
    </row>
    <row r="6" spans="1:6" ht="18.75" x14ac:dyDescent="0.3">
      <c r="A6" s="782" t="s">
        <v>4543</v>
      </c>
      <c r="B6" s="783"/>
      <c r="C6" s="784"/>
      <c r="D6" s="785"/>
      <c r="E6" s="784"/>
      <c r="F6" s="785"/>
    </row>
    <row r="7" spans="1:6" ht="18.75" x14ac:dyDescent="0.3">
      <c r="A7" s="777" t="s">
        <v>4544</v>
      </c>
      <c r="B7" s="786" t="s">
        <v>4545</v>
      </c>
      <c r="C7" s="787"/>
      <c r="D7" s="711"/>
      <c r="E7" s="787"/>
      <c r="F7" s="788"/>
    </row>
    <row r="8" spans="1:6" ht="18.75" x14ac:dyDescent="0.3">
      <c r="A8" s="777" t="s">
        <v>4546</v>
      </c>
      <c r="B8" s="786" t="s">
        <v>4547</v>
      </c>
      <c r="C8" s="787">
        <v>21</v>
      </c>
      <c r="D8" s="711">
        <v>50888357.439999998</v>
      </c>
      <c r="E8" s="787"/>
      <c r="F8" s="788"/>
    </row>
    <row r="9" spans="1:6" ht="18.75" x14ac:dyDescent="0.3">
      <c r="A9" s="777" t="s">
        <v>4548</v>
      </c>
      <c r="B9" s="786"/>
      <c r="C9" s="787"/>
      <c r="D9" s="711"/>
      <c r="E9" s="787"/>
      <c r="F9" s="788"/>
    </row>
    <row r="10" spans="1:6" ht="18.75" x14ac:dyDescent="0.3">
      <c r="A10" s="777" t="s">
        <v>4549</v>
      </c>
      <c r="B10" s="786" t="s">
        <v>4550</v>
      </c>
      <c r="C10" s="787">
        <v>5</v>
      </c>
      <c r="D10" s="711">
        <v>896034.59</v>
      </c>
      <c r="E10" s="787"/>
      <c r="F10" s="788"/>
    </row>
    <row r="11" spans="1:6" ht="18.75" x14ac:dyDescent="0.3">
      <c r="A11" s="777" t="s">
        <v>4551</v>
      </c>
      <c r="B11" s="786"/>
      <c r="C11" s="787"/>
      <c r="D11" s="711"/>
      <c r="E11" s="787"/>
      <c r="F11" s="788"/>
    </row>
    <row r="12" spans="1:6" ht="18.75" x14ac:dyDescent="0.3">
      <c r="A12" s="777" t="s">
        <v>4552</v>
      </c>
      <c r="B12" s="786" t="s">
        <v>4553</v>
      </c>
      <c r="C12" s="787"/>
      <c r="D12" s="711"/>
      <c r="E12" s="787"/>
      <c r="F12" s="788"/>
    </row>
    <row r="13" spans="1:6" ht="18.75" x14ac:dyDescent="0.3">
      <c r="A13" s="777" t="s">
        <v>4554</v>
      </c>
      <c r="B13" s="786"/>
      <c r="C13" s="787"/>
      <c r="D13" s="711"/>
      <c r="E13" s="787"/>
      <c r="F13" s="788"/>
    </row>
    <row r="14" spans="1:6" ht="18.75" x14ac:dyDescent="0.3">
      <c r="A14" s="777" t="s">
        <v>4555</v>
      </c>
      <c r="B14" s="786" t="s">
        <v>4556</v>
      </c>
      <c r="C14" s="787"/>
      <c r="D14" s="711"/>
      <c r="E14" s="787"/>
      <c r="F14" s="788"/>
    </row>
    <row r="15" spans="1:6" ht="18.75" x14ac:dyDescent="0.3">
      <c r="A15" s="777" t="s">
        <v>4557</v>
      </c>
      <c r="B15" s="786" t="s">
        <v>4558</v>
      </c>
      <c r="C15" s="787"/>
      <c r="D15" s="711"/>
      <c r="E15" s="787"/>
      <c r="F15" s="788"/>
    </row>
    <row r="16" spans="1:6" ht="18.75" x14ac:dyDescent="0.3">
      <c r="A16" s="777" t="s">
        <v>4559</v>
      </c>
      <c r="B16" s="786" t="s">
        <v>4560</v>
      </c>
      <c r="C16" s="787"/>
      <c r="D16" s="711"/>
      <c r="E16" s="787"/>
      <c r="F16" s="788"/>
    </row>
    <row r="17" spans="1:6" ht="18.75" x14ac:dyDescent="0.3">
      <c r="A17" s="777" t="s">
        <v>4561</v>
      </c>
      <c r="B17" s="786"/>
      <c r="C17" s="787"/>
      <c r="D17" s="711"/>
      <c r="E17" s="787"/>
      <c r="F17" s="788"/>
    </row>
    <row r="18" spans="1:6" ht="18.75" x14ac:dyDescent="0.3">
      <c r="A18" s="777" t="s">
        <v>4562</v>
      </c>
      <c r="B18" s="786" t="s">
        <v>4563</v>
      </c>
      <c r="C18" s="787"/>
      <c r="D18" s="711"/>
      <c r="E18" s="787"/>
      <c r="F18" s="788"/>
    </row>
    <row r="19" spans="1:6" ht="18.75" x14ac:dyDescent="0.3">
      <c r="A19" s="777" t="s">
        <v>4564</v>
      </c>
      <c r="B19" s="786" t="s">
        <v>4565</v>
      </c>
      <c r="C19" s="787"/>
      <c r="D19" s="711"/>
      <c r="E19" s="787"/>
      <c r="F19" s="788"/>
    </row>
    <row r="20" spans="1:6" ht="18.75" x14ac:dyDescent="0.3">
      <c r="A20" s="777" t="s">
        <v>4566</v>
      </c>
      <c r="B20" s="786" t="s">
        <v>4567</v>
      </c>
      <c r="C20" s="787"/>
      <c r="D20" s="711"/>
      <c r="E20" s="787"/>
      <c r="F20" s="788"/>
    </row>
    <row r="21" spans="1:6" ht="18.75" x14ac:dyDescent="0.3">
      <c r="A21" s="777" t="s">
        <v>4568</v>
      </c>
      <c r="B21" s="786" t="s">
        <v>4569</v>
      </c>
      <c r="C21" s="787"/>
      <c r="D21" s="711"/>
      <c r="E21" s="787"/>
      <c r="F21" s="788"/>
    </row>
    <row r="22" spans="1:6" ht="18.75" x14ac:dyDescent="0.3">
      <c r="A22" s="777" t="s">
        <v>4570</v>
      </c>
      <c r="B22" s="786" t="s">
        <v>4571</v>
      </c>
      <c r="C22" s="787"/>
      <c r="D22" s="711"/>
      <c r="E22" s="787"/>
      <c r="F22" s="788"/>
    </row>
    <row r="23" spans="1:6" ht="18.75" x14ac:dyDescent="0.3">
      <c r="A23" s="777" t="s">
        <v>4572</v>
      </c>
      <c r="B23" s="786" t="s">
        <v>4573</v>
      </c>
      <c r="C23" s="787"/>
      <c r="D23" s="711"/>
      <c r="E23" s="787"/>
      <c r="F23" s="788"/>
    </row>
    <row r="24" spans="1:6" ht="18.75" x14ac:dyDescent="0.3">
      <c r="A24" s="777" t="s">
        <v>4574</v>
      </c>
      <c r="B24" s="786" t="s">
        <v>4575</v>
      </c>
      <c r="C24" s="787"/>
      <c r="D24" s="711"/>
      <c r="E24" s="787"/>
      <c r="F24" s="788"/>
    </row>
    <row r="25" spans="1:6" ht="18.75" x14ac:dyDescent="0.3">
      <c r="A25" s="789" t="s">
        <v>4576</v>
      </c>
      <c r="B25" s="790"/>
      <c r="C25" s="791"/>
      <c r="D25" s="792"/>
      <c r="E25" s="787"/>
      <c r="F25" s="788"/>
    </row>
    <row r="26" spans="1:6" ht="18.75" x14ac:dyDescent="0.3">
      <c r="A26" s="793" t="s">
        <v>4577</v>
      </c>
      <c r="B26" s="786" t="s">
        <v>4578</v>
      </c>
      <c r="C26" s="787"/>
      <c r="D26" s="788"/>
      <c r="E26" s="787"/>
      <c r="F26" s="788"/>
    </row>
    <row r="27" spans="1:6" ht="19.5" thickBot="1" x14ac:dyDescent="0.35">
      <c r="A27" s="794" t="s">
        <v>4579</v>
      </c>
      <c r="B27" s="795"/>
      <c r="C27" s="796">
        <f>SUM(C7:C26)</f>
        <v>26</v>
      </c>
      <c r="D27" s="797">
        <f>SUM(D7:D26)</f>
        <v>51784392.030000001</v>
      </c>
      <c r="E27" s="798"/>
      <c r="F27" s="788"/>
    </row>
    <row r="28" spans="1:6" ht="18.75" thickTop="1" x14ac:dyDescent="0.25"/>
    <row r="35" spans="1:7" ht="18.75" x14ac:dyDescent="0.3">
      <c r="A35" s="813"/>
      <c r="B35" s="800"/>
      <c r="C35" s="801"/>
      <c r="D35" s="814"/>
      <c r="E35" s="815"/>
      <c r="F35" s="802"/>
    </row>
    <row r="42" spans="1:7" ht="18.75" x14ac:dyDescent="0.3">
      <c r="A42" s="813"/>
      <c r="B42" s="800"/>
      <c r="C42" s="801"/>
      <c r="D42" s="814"/>
      <c r="E42" s="815"/>
      <c r="F42" s="802"/>
    </row>
    <row r="43" spans="1:7" ht="18.75" x14ac:dyDescent="0.3">
      <c r="A43" s="799"/>
      <c r="B43" s="800"/>
      <c r="C43" s="801"/>
      <c r="D43" s="802"/>
      <c r="E43" s="801"/>
      <c r="F43" s="802"/>
    </row>
    <row r="44" spans="1:7" ht="18.75" x14ac:dyDescent="0.3">
      <c r="A44" s="816" t="s">
        <v>4580</v>
      </c>
      <c r="B44" s="817"/>
      <c r="C44" s="818"/>
      <c r="D44" s="819"/>
      <c r="E44" s="818"/>
      <c r="F44" s="819"/>
    </row>
    <row r="45" spans="1:7" ht="18.75" x14ac:dyDescent="0.3">
      <c r="A45" s="782" t="s">
        <v>4581</v>
      </c>
      <c r="B45" s="783"/>
      <c r="C45" s="784"/>
      <c r="D45" s="803"/>
      <c r="E45" s="784"/>
      <c r="F45" s="803"/>
      <c r="G45" s="804">
        <f>SUM(D46:D92)</f>
        <v>12530511.800000001</v>
      </c>
    </row>
    <row r="46" spans="1:7" ht="18.75" x14ac:dyDescent="0.3">
      <c r="A46" s="805" t="s">
        <v>4582</v>
      </c>
      <c r="B46" s="786" t="s">
        <v>4583</v>
      </c>
      <c r="C46" s="787">
        <v>19</v>
      </c>
      <c r="D46" s="788">
        <f>สำนักงาน!O24</f>
        <v>320145.87</v>
      </c>
      <c r="E46" s="787"/>
      <c r="F46" s="788"/>
    </row>
    <row r="47" spans="1:7" ht="18.75" x14ac:dyDescent="0.3">
      <c r="A47" s="777" t="s">
        <v>4584</v>
      </c>
      <c r="B47" s="786">
        <v>400</v>
      </c>
      <c r="C47" s="787">
        <v>163</v>
      </c>
      <c r="D47" s="711">
        <f>สำนักงาน!O870</f>
        <v>641565.69999999995</v>
      </c>
      <c r="E47" s="787">
        <v>30</v>
      </c>
      <c r="F47" s="788">
        <f>ต่ำกว่าเกณฑ์67!N7</f>
        <v>84311.305418719217</v>
      </c>
      <c r="G47" s="779">
        <f>SUM(C46:C92)</f>
        <v>865</v>
      </c>
    </row>
    <row r="48" spans="1:7" ht="18.75" x14ac:dyDescent="0.3">
      <c r="A48" s="777" t="s">
        <v>4585</v>
      </c>
      <c r="B48" s="786">
        <v>401</v>
      </c>
      <c r="C48" s="787">
        <v>317</v>
      </c>
      <c r="D48" s="711">
        <f>สำนักงาน!O499</f>
        <v>764261.99</v>
      </c>
      <c r="E48" s="787">
        <v>9</v>
      </c>
      <c r="F48" s="788">
        <f>ต่ำกว่าเกณฑ์67!O37</f>
        <v>24900</v>
      </c>
    </row>
    <row r="49" spans="1:6" ht="18.75" x14ac:dyDescent="0.3">
      <c r="A49" s="777" t="s">
        <v>4586</v>
      </c>
      <c r="B49" s="786">
        <v>402</v>
      </c>
      <c r="C49" s="787">
        <v>12</v>
      </c>
      <c r="D49" s="711">
        <f>สำนักงาน!O511</f>
        <v>73000</v>
      </c>
      <c r="E49" s="787"/>
      <c r="F49" s="788"/>
    </row>
    <row r="50" spans="1:6" ht="18.75" x14ac:dyDescent="0.3">
      <c r="A50" s="777" t="s">
        <v>4587</v>
      </c>
      <c r="B50" s="786">
        <v>403</v>
      </c>
      <c r="C50" s="787">
        <v>12</v>
      </c>
      <c r="D50" s="711">
        <f>สำนักงาน!O523</f>
        <v>143240</v>
      </c>
      <c r="E50" s="787"/>
      <c r="F50" s="788"/>
    </row>
    <row r="51" spans="1:6" ht="18.75" x14ac:dyDescent="0.3">
      <c r="A51" s="777" t="s">
        <v>4588</v>
      </c>
      <c r="B51" s="786">
        <v>404</v>
      </c>
      <c r="C51" s="787">
        <v>56</v>
      </c>
      <c r="D51" s="711">
        <f>สำนักงาน!O579</f>
        <v>358380</v>
      </c>
      <c r="E51" s="787">
        <v>1</v>
      </c>
      <c r="F51" s="788">
        <f>4500</f>
        <v>4500</v>
      </c>
    </row>
    <row r="52" spans="1:6" ht="18.75" x14ac:dyDescent="0.3">
      <c r="A52" s="777" t="s">
        <v>4955</v>
      </c>
      <c r="B52" s="786" t="s">
        <v>4956</v>
      </c>
      <c r="C52" s="787"/>
      <c r="D52" s="711"/>
      <c r="E52" s="787">
        <v>8</v>
      </c>
      <c r="F52" s="788">
        <f>ต่ำกว่าเกณฑ์67!N47</f>
        <v>2800</v>
      </c>
    </row>
    <row r="53" spans="1:6" ht="18.75" x14ac:dyDescent="0.3">
      <c r="A53" s="777" t="s">
        <v>4589</v>
      </c>
      <c r="B53" s="786">
        <v>405</v>
      </c>
      <c r="C53" s="787">
        <v>2</v>
      </c>
      <c r="D53" s="711">
        <f>สำนักงาน!O580</f>
        <v>54000</v>
      </c>
      <c r="E53" s="787"/>
      <c r="F53" s="788"/>
    </row>
    <row r="54" spans="1:6" ht="18.75" x14ac:dyDescent="0.3">
      <c r="A54" s="777" t="s">
        <v>4590</v>
      </c>
      <c r="B54" s="786">
        <v>406</v>
      </c>
      <c r="C54" s="787">
        <v>103</v>
      </c>
      <c r="D54" s="711">
        <f>สำนักงาน!O582</f>
        <v>564624.66</v>
      </c>
      <c r="E54" s="787">
        <v>13</v>
      </c>
      <c r="F54" s="788">
        <f>ต่ำกว่าเกณฑ์67!N55</f>
        <v>46000</v>
      </c>
    </row>
    <row r="55" spans="1:6" ht="18.75" x14ac:dyDescent="0.3">
      <c r="A55" s="777" t="s">
        <v>4591</v>
      </c>
      <c r="B55" s="786">
        <v>407</v>
      </c>
      <c r="C55" s="787">
        <v>67</v>
      </c>
      <c r="D55" s="711">
        <f>สำนักงาน!O751</f>
        <v>8460612</v>
      </c>
      <c r="E55" s="787"/>
      <c r="F55" s="788"/>
    </row>
    <row r="56" spans="1:6" ht="18.75" x14ac:dyDescent="0.3">
      <c r="A56" s="777" t="s">
        <v>4592</v>
      </c>
      <c r="B56" s="786">
        <v>408</v>
      </c>
      <c r="C56" s="787"/>
      <c r="D56" s="711"/>
      <c r="E56" s="787"/>
      <c r="F56" s="788"/>
    </row>
    <row r="57" spans="1:6" ht="18.75" x14ac:dyDescent="0.3">
      <c r="A57" s="777" t="s">
        <v>4593</v>
      </c>
      <c r="B57" s="786">
        <v>410</v>
      </c>
      <c r="C57" s="787"/>
      <c r="D57" s="711"/>
      <c r="E57" s="787"/>
      <c r="F57" s="788"/>
    </row>
    <row r="58" spans="1:6" ht="18.75" x14ac:dyDescent="0.3">
      <c r="A58" s="777" t="s">
        <v>4594</v>
      </c>
      <c r="B58" s="786">
        <v>411</v>
      </c>
      <c r="C58" s="787"/>
      <c r="D58" s="711"/>
      <c r="E58" s="787"/>
      <c r="F58" s="788"/>
    </row>
    <row r="59" spans="1:6" ht="18.75" x14ac:dyDescent="0.3">
      <c r="A59" s="777" t="s">
        <v>4595</v>
      </c>
      <c r="B59" s="786">
        <v>412</v>
      </c>
      <c r="C59" s="787"/>
      <c r="D59" s="711"/>
      <c r="E59" s="787"/>
      <c r="F59" s="788"/>
    </row>
    <row r="60" spans="1:6" ht="18.75" x14ac:dyDescent="0.3">
      <c r="A60" s="777" t="s">
        <v>4596</v>
      </c>
      <c r="B60" s="786">
        <v>414</v>
      </c>
      <c r="C60" s="787"/>
      <c r="D60" s="711"/>
      <c r="E60" s="787"/>
      <c r="F60" s="788"/>
    </row>
    <row r="61" spans="1:6" ht="18.75" x14ac:dyDescent="0.3">
      <c r="A61" s="777" t="s">
        <v>4597</v>
      </c>
      <c r="B61" s="786">
        <v>415</v>
      </c>
      <c r="C61" s="787"/>
      <c r="D61" s="711"/>
      <c r="E61" s="787"/>
      <c r="F61" s="788"/>
    </row>
    <row r="62" spans="1:6" ht="18.75" x14ac:dyDescent="0.3">
      <c r="A62" s="777" t="s">
        <v>4598</v>
      </c>
      <c r="B62" s="786">
        <v>417</v>
      </c>
      <c r="C62" s="787"/>
      <c r="D62" s="711"/>
      <c r="E62" s="787"/>
      <c r="F62" s="788"/>
    </row>
    <row r="63" spans="1:6" ht="18.75" x14ac:dyDescent="0.3">
      <c r="A63" s="777" t="s">
        <v>4599</v>
      </c>
      <c r="B63" s="786">
        <v>418</v>
      </c>
      <c r="C63" s="787"/>
      <c r="D63" s="711"/>
      <c r="E63" s="787"/>
      <c r="F63" s="788"/>
    </row>
    <row r="64" spans="1:6" ht="18.75" x14ac:dyDescent="0.3">
      <c r="A64" s="777" t="s">
        <v>4600</v>
      </c>
      <c r="B64" s="786">
        <v>419</v>
      </c>
      <c r="C64" s="787"/>
      <c r="D64" s="711"/>
      <c r="E64" s="787"/>
      <c r="F64" s="788"/>
    </row>
    <row r="65" spans="1:6" ht="18.75" x14ac:dyDescent="0.3">
      <c r="A65" s="777" t="s">
        <v>4601</v>
      </c>
      <c r="B65" s="786">
        <v>420</v>
      </c>
      <c r="C65" s="787"/>
      <c r="D65" s="711"/>
      <c r="E65" s="787"/>
      <c r="F65" s="788"/>
    </row>
    <row r="66" spans="1:6" ht="18.75" x14ac:dyDescent="0.3">
      <c r="A66" s="777" t="s">
        <v>4602</v>
      </c>
      <c r="B66" s="786">
        <v>421</v>
      </c>
      <c r="C66" s="787"/>
      <c r="D66" s="711"/>
      <c r="E66" s="787"/>
      <c r="F66" s="788"/>
    </row>
    <row r="67" spans="1:6" ht="18.75" x14ac:dyDescent="0.3">
      <c r="A67" s="777" t="s">
        <v>4603</v>
      </c>
      <c r="B67" s="786">
        <v>422</v>
      </c>
      <c r="C67" s="787">
        <v>1</v>
      </c>
      <c r="D67" s="711">
        <f>สำนักงาน!F752</f>
        <v>31565</v>
      </c>
      <c r="E67" s="787"/>
      <c r="F67" s="788"/>
    </row>
    <row r="68" spans="1:6" ht="18.75" x14ac:dyDescent="0.3">
      <c r="A68" s="777" t="s">
        <v>4604</v>
      </c>
      <c r="B68" s="786">
        <v>423</v>
      </c>
      <c r="C68" s="787">
        <v>4</v>
      </c>
      <c r="D68" s="711">
        <f>สำนักงาน!O753</f>
        <v>12840</v>
      </c>
      <c r="E68" s="787">
        <v>2</v>
      </c>
      <c r="F68" s="788">
        <f>ต่ำกว่าเกณฑ์67!N70</f>
        <v>2560</v>
      </c>
    </row>
    <row r="69" spans="1:6" ht="18.75" x14ac:dyDescent="0.3">
      <c r="A69" s="777" t="s">
        <v>4605</v>
      </c>
      <c r="B69" s="786">
        <v>424</v>
      </c>
      <c r="C69" s="787">
        <v>2</v>
      </c>
      <c r="D69" s="711">
        <f>สำนักงาน!O757</f>
        <v>34000</v>
      </c>
      <c r="E69" s="787"/>
      <c r="F69" s="788"/>
    </row>
    <row r="70" spans="1:6" ht="18.75" x14ac:dyDescent="0.3">
      <c r="A70" s="777" t="s">
        <v>4606</v>
      </c>
      <c r="B70" s="786">
        <v>425</v>
      </c>
      <c r="C70" s="787"/>
      <c r="D70" s="711"/>
      <c r="E70" s="787"/>
      <c r="F70" s="788"/>
    </row>
    <row r="71" spans="1:6" ht="18.75" x14ac:dyDescent="0.3">
      <c r="A71" s="777" t="s">
        <v>4607</v>
      </c>
      <c r="B71" s="786">
        <v>426</v>
      </c>
      <c r="C71" s="787"/>
      <c r="D71" s="711"/>
      <c r="E71" s="787"/>
      <c r="F71" s="788"/>
    </row>
    <row r="72" spans="1:6" ht="18.75" x14ac:dyDescent="0.3">
      <c r="A72" s="777" t="s">
        <v>4608</v>
      </c>
      <c r="B72" s="786">
        <v>427</v>
      </c>
      <c r="C72" s="787">
        <v>10</v>
      </c>
      <c r="D72" s="711">
        <f>สำนักงาน!O768</f>
        <v>393653</v>
      </c>
      <c r="E72" s="787"/>
      <c r="F72" s="788"/>
    </row>
    <row r="73" spans="1:6" ht="18.75" x14ac:dyDescent="0.3">
      <c r="A73" s="777" t="s">
        <v>4609</v>
      </c>
      <c r="B73" s="786">
        <v>428</v>
      </c>
      <c r="C73" s="787"/>
      <c r="D73" s="711"/>
      <c r="E73" s="787"/>
      <c r="F73" s="788"/>
    </row>
    <row r="74" spans="1:6" ht="18.75" x14ac:dyDescent="0.3">
      <c r="A74" s="777" t="s">
        <v>4610</v>
      </c>
      <c r="B74" s="786">
        <v>432</v>
      </c>
      <c r="C74" s="787">
        <v>81</v>
      </c>
      <c r="D74" s="711">
        <f>สำนักงาน!O851</f>
        <v>329498.58</v>
      </c>
      <c r="E74" s="787"/>
      <c r="F74" s="788"/>
    </row>
    <row r="75" spans="1:6" ht="18.75" x14ac:dyDescent="0.3">
      <c r="A75" s="777" t="s">
        <v>4611</v>
      </c>
      <c r="B75" s="786">
        <v>433</v>
      </c>
      <c r="C75" s="787"/>
      <c r="D75" s="711"/>
      <c r="E75" s="787">
        <v>5</v>
      </c>
      <c r="F75" s="788">
        <f>ต่ำกว่าเกณฑ์67!N73</f>
        <v>5400</v>
      </c>
    </row>
    <row r="76" spans="1:6" ht="18.75" x14ac:dyDescent="0.3">
      <c r="A76" s="777" t="s">
        <v>4612</v>
      </c>
      <c r="B76" s="786">
        <v>436</v>
      </c>
      <c r="C76" s="787">
        <v>2</v>
      </c>
      <c r="D76" s="711">
        <f>สำนักงาน!O852</f>
        <v>3800</v>
      </c>
      <c r="E76" s="787"/>
      <c r="F76" s="788"/>
    </row>
    <row r="77" spans="1:6" ht="18.75" x14ac:dyDescent="0.3">
      <c r="A77" s="777" t="s">
        <v>4613</v>
      </c>
      <c r="B77" s="786">
        <v>437</v>
      </c>
      <c r="C77" s="787">
        <v>7</v>
      </c>
      <c r="D77" s="711">
        <f>สำนักงาน!O855</f>
        <v>97190</v>
      </c>
      <c r="E77" s="787"/>
      <c r="F77" s="788"/>
    </row>
    <row r="78" spans="1:6" ht="18.75" x14ac:dyDescent="0.3">
      <c r="A78" s="777" t="s">
        <v>4614</v>
      </c>
      <c r="B78" s="786">
        <v>438</v>
      </c>
      <c r="C78" s="787"/>
      <c r="D78" s="711"/>
      <c r="E78" s="787"/>
      <c r="F78" s="788"/>
    </row>
    <row r="79" spans="1:6" ht="18.75" x14ac:dyDescent="0.3">
      <c r="A79" s="777" t="s">
        <v>4615</v>
      </c>
      <c r="B79" s="786">
        <v>468</v>
      </c>
      <c r="C79" s="787"/>
      <c r="D79" s="711"/>
      <c r="E79" s="787"/>
      <c r="F79" s="788"/>
    </row>
    <row r="80" spans="1:6" ht="18.75" x14ac:dyDescent="0.3">
      <c r="A80" s="777" t="s">
        <v>4616</v>
      </c>
      <c r="B80" s="786">
        <v>470</v>
      </c>
      <c r="C80" s="787"/>
      <c r="D80" s="711"/>
      <c r="E80" s="787"/>
      <c r="F80" s="788"/>
    </row>
    <row r="81" spans="1:7" ht="18.75" x14ac:dyDescent="0.3">
      <c r="A81" s="777" t="s">
        <v>4617</v>
      </c>
      <c r="B81" s="786">
        <v>479</v>
      </c>
      <c r="C81" s="787"/>
      <c r="D81" s="711"/>
      <c r="E81" s="787"/>
      <c r="F81" s="788"/>
    </row>
    <row r="82" spans="1:7" ht="18.75" x14ac:dyDescent="0.3">
      <c r="A82" s="777" t="s">
        <v>4618</v>
      </c>
      <c r="B82" s="786">
        <v>481</v>
      </c>
      <c r="C82" s="787"/>
      <c r="D82" s="711"/>
      <c r="E82" s="787"/>
      <c r="F82" s="788"/>
    </row>
    <row r="83" spans="1:7" ht="18.75" x14ac:dyDescent="0.3">
      <c r="A83" s="777" t="s">
        <v>4619</v>
      </c>
      <c r="B83" s="786">
        <v>487</v>
      </c>
      <c r="C83" s="787"/>
      <c r="D83" s="711"/>
      <c r="E83" s="787"/>
      <c r="F83" s="788"/>
    </row>
    <row r="84" spans="1:7" ht="18.75" x14ac:dyDescent="0.3">
      <c r="A84" s="777" t="s">
        <v>4620</v>
      </c>
      <c r="B84" s="786">
        <v>489</v>
      </c>
      <c r="C84" s="787"/>
      <c r="D84" s="711"/>
      <c r="E84" s="787"/>
      <c r="F84" s="788"/>
    </row>
    <row r="85" spans="1:7" ht="18.75" x14ac:dyDescent="0.3">
      <c r="A85" s="777" t="s">
        <v>4969</v>
      </c>
      <c r="B85" s="786">
        <v>490</v>
      </c>
      <c r="C85" s="787">
        <v>1</v>
      </c>
      <c r="D85" s="711">
        <f>สำนักงาน!F861</f>
        <v>8000</v>
      </c>
      <c r="E85" s="787">
        <v>6</v>
      </c>
      <c r="F85" s="788">
        <f>ต่ำกว่าเกณฑ์67!N78</f>
        <v>26400</v>
      </c>
    </row>
    <row r="86" spans="1:7" ht="18.75" x14ac:dyDescent="0.3">
      <c r="A86" s="777" t="s">
        <v>4621</v>
      </c>
      <c r="B86" s="786">
        <v>493</v>
      </c>
      <c r="C86" s="787"/>
      <c r="D86" s="711"/>
      <c r="E86" s="787"/>
      <c r="F86" s="788"/>
    </row>
    <row r="87" spans="1:7" ht="18.75" x14ac:dyDescent="0.3">
      <c r="A87" s="777" t="s">
        <v>4622</v>
      </c>
      <c r="B87" s="786">
        <v>494</v>
      </c>
      <c r="C87" s="787"/>
      <c r="D87" s="711"/>
      <c r="E87" s="787"/>
      <c r="F87" s="788"/>
    </row>
    <row r="88" spans="1:7" ht="18.75" x14ac:dyDescent="0.3">
      <c r="A88" s="777" t="s">
        <v>4623</v>
      </c>
      <c r="B88" s="786">
        <v>495</v>
      </c>
      <c r="C88" s="787">
        <v>3</v>
      </c>
      <c r="D88" s="711">
        <f>สำนักงาน!O862</f>
        <v>134900</v>
      </c>
      <c r="E88" s="787"/>
      <c r="F88" s="788"/>
    </row>
    <row r="89" spans="1:7" ht="18.75" x14ac:dyDescent="0.3">
      <c r="A89" s="777" t="s">
        <v>4624</v>
      </c>
      <c r="B89" s="786">
        <v>496</v>
      </c>
      <c r="C89" s="787"/>
      <c r="D89" s="711"/>
      <c r="E89" s="787"/>
      <c r="F89" s="788"/>
    </row>
    <row r="90" spans="1:7" ht="18.75" x14ac:dyDescent="0.3">
      <c r="A90" s="777" t="s">
        <v>5007</v>
      </c>
      <c r="B90" s="786">
        <v>103</v>
      </c>
      <c r="C90" s="787"/>
      <c r="D90" s="711"/>
      <c r="E90" s="787"/>
      <c r="F90" s="788"/>
    </row>
    <row r="91" spans="1:7" ht="18.75" x14ac:dyDescent="0.3">
      <c r="A91" s="777" t="s">
        <v>4625</v>
      </c>
      <c r="B91" s="786" t="s">
        <v>4626</v>
      </c>
      <c r="C91" s="787">
        <v>1</v>
      </c>
      <c r="D91" s="711">
        <f>สำนักงาน!F865</f>
        <v>11235</v>
      </c>
      <c r="E91" s="787">
        <v>1</v>
      </c>
      <c r="F91" s="788">
        <f>ต่ำกว่าเกณฑ์67!E83</f>
        <v>5000</v>
      </c>
    </row>
    <row r="92" spans="1:7" ht="18.75" x14ac:dyDescent="0.3">
      <c r="A92" s="777" t="s">
        <v>4627</v>
      </c>
      <c r="B92" s="786" t="s">
        <v>4628</v>
      </c>
      <c r="C92" s="787">
        <v>2</v>
      </c>
      <c r="D92" s="711">
        <f>สำนักงาน!O769</f>
        <v>94000</v>
      </c>
      <c r="E92" s="787"/>
      <c r="F92" s="788"/>
    </row>
    <row r="93" spans="1:7" ht="18.75" x14ac:dyDescent="0.3">
      <c r="A93" s="778" t="s">
        <v>4629</v>
      </c>
      <c r="B93" s="786"/>
      <c r="C93" s="787"/>
      <c r="D93" s="711"/>
      <c r="E93" s="787"/>
      <c r="F93" s="788"/>
      <c r="G93" s="804">
        <f>SUM(D94:D97)</f>
        <v>130000</v>
      </c>
    </row>
    <row r="94" spans="1:7" ht="18.75" x14ac:dyDescent="0.3">
      <c r="A94" s="777" t="s">
        <v>4630</v>
      </c>
      <c r="B94" s="786">
        <v>443</v>
      </c>
      <c r="C94" s="787"/>
      <c r="D94" s="711"/>
      <c r="E94" s="787"/>
      <c r="F94" s="788"/>
      <c r="G94" s="779">
        <f>SUM(C94:C97)</f>
        <v>5</v>
      </c>
    </row>
    <row r="95" spans="1:7" ht="18.75" x14ac:dyDescent="0.3">
      <c r="A95" s="777" t="s">
        <v>4967</v>
      </c>
      <c r="B95" s="786">
        <v>500</v>
      </c>
      <c r="C95" s="787">
        <v>5</v>
      </c>
      <c r="D95" s="711">
        <f>การศึกษา!F11</f>
        <v>130000</v>
      </c>
      <c r="E95" s="787"/>
      <c r="F95" s="788"/>
    </row>
    <row r="96" spans="1:7" ht="18.75" x14ac:dyDescent="0.3">
      <c r="A96" s="777" t="s">
        <v>4631</v>
      </c>
      <c r="B96" s="786" t="s">
        <v>4632</v>
      </c>
      <c r="C96" s="787"/>
      <c r="D96" s="711"/>
      <c r="E96" s="787"/>
      <c r="F96" s="788"/>
    </row>
    <row r="97" spans="1:6" ht="18.75" x14ac:dyDescent="0.3">
      <c r="A97" s="777" t="s">
        <v>4633</v>
      </c>
      <c r="B97" s="786" t="s">
        <v>4634</v>
      </c>
      <c r="C97" s="787"/>
      <c r="D97" s="711"/>
      <c r="E97" s="787"/>
      <c r="F97" s="788"/>
    </row>
    <row r="98" spans="1:6" ht="18.75" x14ac:dyDescent="0.3">
      <c r="A98" s="778" t="s">
        <v>4635</v>
      </c>
      <c r="B98" s="786"/>
      <c r="C98" s="787"/>
      <c r="D98" s="711"/>
      <c r="E98" s="787"/>
      <c r="F98" s="788"/>
    </row>
    <row r="99" spans="1:6" ht="18.75" x14ac:dyDescent="0.3">
      <c r="A99" s="777" t="s">
        <v>4636</v>
      </c>
      <c r="B99" s="786" t="s">
        <v>4545</v>
      </c>
      <c r="C99" s="787"/>
      <c r="D99" s="711"/>
      <c r="E99" s="787"/>
      <c r="F99" s="788"/>
    </row>
    <row r="100" spans="1:6" ht="18.75" x14ac:dyDescent="0.3">
      <c r="A100" s="777" t="s">
        <v>4637</v>
      </c>
      <c r="B100" s="786" t="s">
        <v>4638</v>
      </c>
      <c r="C100" s="787"/>
      <c r="D100" s="711"/>
      <c r="E100" s="787"/>
      <c r="F100" s="788"/>
    </row>
    <row r="101" spans="1:6" ht="18.75" x14ac:dyDescent="0.3">
      <c r="A101" s="777" t="s">
        <v>4639</v>
      </c>
      <c r="B101" s="786" t="s">
        <v>4640</v>
      </c>
      <c r="C101" s="787"/>
      <c r="D101" s="711"/>
      <c r="E101" s="787"/>
      <c r="F101" s="788"/>
    </row>
    <row r="102" spans="1:6" ht="18.75" x14ac:dyDescent="0.3">
      <c r="A102" s="777" t="s">
        <v>4641</v>
      </c>
      <c r="B102" s="786" t="s">
        <v>4642</v>
      </c>
      <c r="C102" s="787"/>
      <c r="D102" s="711"/>
      <c r="E102" s="787"/>
      <c r="F102" s="788"/>
    </row>
    <row r="103" spans="1:6" ht="18.75" x14ac:dyDescent="0.3">
      <c r="A103" s="777" t="s">
        <v>4643</v>
      </c>
      <c r="B103" s="786" t="s">
        <v>4644</v>
      </c>
      <c r="C103" s="787"/>
      <c r="D103" s="711"/>
      <c r="E103" s="787"/>
      <c r="F103" s="788"/>
    </row>
    <row r="104" spans="1:6" ht="18.75" x14ac:dyDescent="0.3">
      <c r="A104" s="777" t="s">
        <v>4645</v>
      </c>
      <c r="B104" s="786" t="s">
        <v>4553</v>
      </c>
      <c r="C104" s="787"/>
      <c r="D104" s="711"/>
      <c r="E104" s="787"/>
      <c r="F104" s="788"/>
    </row>
    <row r="105" spans="1:6" ht="18.75" x14ac:dyDescent="0.3">
      <c r="A105" s="777" t="s">
        <v>4646</v>
      </c>
      <c r="B105" s="786" t="s">
        <v>4647</v>
      </c>
      <c r="C105" s="787"/>
      <c r="D105" s="711"/>
      <c r="E105" s="787"/>
      <c r="F105" s="788"/>
    </row>
    <row r="106" spans="1:6" ht="18.75" x14ac:dyDescent="0.3">
      <c r="A106" s="777" t="s">
        <v>4648</v>
      </c>
      <c r="B106" s="786" t="s">
        <v>4649</v>
      </c>
      <c r="C106" s="787"/>
      <c r="D106" s="711"/>
      <c r="E106" s="787"/>
      <c r="F106" s="788"/>
    </row>
    <row r="107" spans="1:6" ht="18.75" x14ac:dyDescent="0.3">
      <c r="A107" s="777" t="s">
        <v>4650</v>
      </c>
      <c r="B107" s="786" t="s">
        <v>4651</v>
      </c>
      <c r="C107" s="787"/>
      <c r="D107" s="711"/>
      <c r="E107" s="787"/>
      <c r="F107" s="788"/>
    </row>
    <row r="108" spans="1:6" ht="18.75" x14ac:dyDescent="0.3">
      <c r="A108" s="777" t="s">
        <v>4652</v>
      </c>
      <c r="B108" s="786" t="s">
        <v>4653</v>
      </c>
      <c r="C108" s="787"/>
      <c r="D108" s="711"/>
      <c r="E108" s="787"/>
      <c r="F108" s="788"/>
    </row>
    <row r="109" spans="1:6" ht="18.75" x14ac:dyDescent="0.3">
      <c r="A109" s="777" t="s">
        <v>4654</v>
      </c>
      <c r="B109" s="786" t="s">
        <v>4655</v>
      </c>
      <c r="C109" s="787"/>
      <c r="D109" s="711"/>
      <c r="E109" s="787"/>
      <c r="F109" s="788"/>
    </row>
    <row r="110" spans="1:6" ht="18.75" x14ac:dyDescent="0.3">
      <c r="A110" s="777" t="s">
        <v>4656</v>
      </c>
      <c r="B110" s="786" t="s">
        <v>4657</v>
      </c>
      <c r="C110" s="787">
        <v>1</v>
      </c>
      <c r="D110" s="711">
        <f>ยานพาหนะ!F6</f>
        <v>50000</v>
      </c>
      <c r="E110" s="787"/>
      <c r="F110" s="788"/>
    </row>
    <row r="111" spans="1:6" ht="18.75" x14ac:dyDescent="0.3">
      <c r="A111" s="777" t="s">
        <v>4658</v>
      </c>
      <c r="B111" s="786" t="s">
        <v>4659</v>
      </c>
      <c r="C111" s="787"/>
      <c r="D111" s="711"/>
      <c r="E111" s="787"/>
      <c r="F111" s="788"/>
    </row>
    <row r="112" spans="1:6" ht="18.75" x14ac:dyDescent="0.3">
      <c r="A112" s="777" t="s">
        <v>4660</v>
      </c>
      <c r="B112" s="786" t="s">
        <v>4661</v>
      </c>
      <c r="C112" s="787"/>
      <c r="D112" s="711"/>
      <c r="E112" s="787"/>
      <c r="F112" s="788"/>
    </row>
    <row r="113" spans="1:7" ht="18.75" x14ac:dyDescent="0.3">
      <c r="A113" s="777" t="s">
        <v>4662</v>
      </c>
      <c r="B113" s="786" t="s">
        <v>4663</v>
      </c>
      <c r="C113" s="787"/>
      <c r="D113" s="711"/>
      <c r="E113" s="787"/>
      <c r="F113" s="788"/>
    </row>
    <row r="114" spans="1:7" ht="18.75" x14ac:dyDescent="0.3">
      <c r="A114" s="777" t="s">
        <v>4664</v>
      </c>
      <c r="B114" s="786" t="s">
        <v>4665</v>
      </c>
      <c r="C114" s="787"/>
      <c r="D114" s="711"/>
      <c r="E114" s="787"/>
      <c r="F114" s="788"/>
    </row>
    <row r="115" spans="1:7" ht="18.75" x14ac:dyDescent="0.3">
      <c r="A115" s="777" t="s">
        <v>4666</v>
      </c>
      <c r="B115" s="786" t="s">
        <v>4667</v>
      </c>
      <c r="C115" s="787"/>
      <c r="D115" s="711"/>
      <c r="E115" s="787"/>
      <c r="F115" s="788"/>
    </row>
    <row r="116" spans="1:7" ht="18.75" x14ac:dyDescent="0.3">
      <c r="A116" s="777" t="s">
        <v>4668</v>
      </c>
      <c r="B116" s="786" t="s">
        <v>4669</v>
      </c>
      <c r="C116" s="787"/>
      <c r="D116" s="711"/>
      <c r="E116" s="787"/>
      <c r="F116" s="788"/>
    </row>
    <row r="117" spans="1:7" ht="18.75" x14ac:dyDescent="0.3">
      <c r="A117" s="777" t="s">
        <v>4670</v>
      </c>
      <c r="B117" s="786" t="s">
        <v>4671</v>
      </c>
      <c r="C117" s="787"/>
      <c r="D117" s="711"/>
      <c r="E117" s="787"/>
      <c r="F117" s="788"/>
    </row>
    <row r="118" spans="1:7" ht="18.75" x14ac:dyDescent="0.3">
      <c r="A118" s="777" t="s">
        <v>4672</v>
      </c>
      <c r="B118" s="786" t="s">
        <v>4673</v>
      </c>
      <c r="C118" s="787"/>
      <c r="D118" s="711"/>
      <c r="E118" s="787"/>
      <c r="F118" s="788"/>
    </row>
    <row r="119" spans="1:7" ht="18.75" x14ac:dyDescent="0.3">
      <c r="A119" s="777" t="s">
        <v>4674</v>
      </c>
      <c r="B119" s="786" t="s">
        <v>4675</v>
      </c>
      <c r="C119" s="787"/>
      <c r="D119" s="711"/>
      <c r="E119" s="787"/>
      <c r="F119" s="788"/>
    </row>
    <row r="120" spans="1:7" ht="18.75" x14ac:dyDescent="0.3">
      <c r="A120" s="777" t="s">
        <v>4676</v>
      </c>
      <c r="B120" s="786" t="s">
        <v>4677</v>
      </c>
      <c r="C120" s="787"/>
      <c r="D120" s="711"/>
      <c r="E120" s="787"/>
      <c r="F120" s="788"/>
    </row>
    <row r="121" spans="1:7" ht="18.75" x14ac:dyDescent="0.3">
      <c r="A121" s="777" t="s">
        <v>4678</v>
      </c>
      <c r="B121" s="786">
        <v>478</v>
      </c>
      <c r="C121" s="787"/>
      <c r="D121" s="711"/>
      <c r="E121" s="787"/>
      <c r="F121" s="788"/>
    </row>
    <row r="122" spans="1:7" ht="18.75" x14ac:dyDescent="0.3">
      <c r="A122" s="777" t="s">
        <v>4679</v>
      </c>
      <c r="B122" s="786" t="s">
        <v>4680</v>
      </c>
      <c r="C122" s="787"/>
      <c r="D122" s="711"/>
      <c r="E122" s="787"/>
      <c r="F122" s="788"/>
    </row>
    <row r="123" spans="1:7" ht="18.75" x14ac:dyDescent="0.3">
      <c r="A123" s="777" t="s">
        <v>4681</v>
      </c>
      <c r="B123" s="786"/>
      <c r="C123" s="787"/>
      <c r="D123" s="711"/>
      <c r="E123" s="787"/>
      <c r="F123" s="788"/>
    </row>
    <row r="124" spans="1:7" ht="18.75" x14ac:dyDescent="0.3">
      <c r="A124" s="778" t="s">
        <v>4682</v>
      </c>
      <c r="B124" s="786"/>
      <c r="C124" s="787"/>
      <c r="D124" s="711"/>
      <c r="E124" s="787"/>
      <c r="F124" s="788"/>
      <c r="G124" s="804">
        <f>SUM(D125:D132)</f>
        <v>46650</v>
      </c>
    </row>
    <row r="125" spans="1:7" ht="18.75" x14ac:dyDescent="0.3">
      <c r="A125" s="777" t="s">
        <v>4683</v>
      </c>
      <c r="B125" s="786" t="s">
        <v>4684</v>
      </c>
      <c r="C125" s="787"/>
      <c r="D125" s="711"/>
      <c r="E125" s="787"/>
      <c r="F125" s="788"/>
      <c r="G125" s="779">
        <f>SUM(C125:C132)</f>
        <v>3</v>
      </c>
    </row>
    <row r="126" spans="1:7" ht="18.75" x14ac:dyDescent="0.3">
      <c r="A126" s="777" t="s">
        <v>4685</v>
      </c>
      <c r="B126" s="786" t="s">
        <v>4626</v>
      </c>
      <c r="C126" s="787">
        <v>3</v>
      </c>
      <c r="D126" s="711">
        <f>การเกษตร!F9</f>
        <v>46650</v>
      </c>
      <c r="E126" s="787"/>
      <c r="F126" s="788"/>
    </row>
    <row r="127" spans="1:7" ht="18.75" x14ac:dyDescent="0.3">
      <c r="A127" s="777" t="s">
        <v>4686</v>
      </c>
      <c r="B127" s="786">
        <v>625</v>
      </c>
      <c r="C127" s="787"/>
      <c r="D127" s="711"/>
      <c r="E127" s="787"/>
      <c r="F127" s="788"/>
    </row>
    <row r="128" spans="1:7" ht="18.75" x14ac:dyDescent="0.3">
      <c r="A128" s="777" t="s">
        <v>4687</v>
      </c>
      <c r="B128" s="786">
        <v>632</v>
      </c>
      <c r="C128" s="787"/>
      <c r="D128" s="711"/>
      <c r="E128" s="787"/>
      <c r="F128" s="788"/>
    </row>
    <row r="129" spans="1:7" ht="18.75" x14ac:dyDescent="0.3">
      <c r="A129" s="777" t="s">
        <v>4688</v>
      </c>
      <c r="B129" s="786">
        <v>633</v>
      </c>
      <c r="C129" s="787"/>
      <c r="D129" s="711"/>
      <c r="E129" s="787"/>
      <c r="F129" s="788"/>
    </row>
    <row r="130" spans="1:7" ht="18.75" x14ac:dyDescent="0.3">
      <c r="A130" s="777" t="s">
        <v>4689</v>
      </c>
      <c r="B130" s="786">
        <v>634</v>
      </c>
      <c r="C130" s="787"/>
      <c r="D130" s="711"/>
      <c r="E130" s="787"/>
      <c r="F130" s="788"/>
    </row>
    <row r="131" spans="1:7" ht="18.75" x14ac:dyDescent="0.3">
      <c r="A131" s="777" t="s">
        <v>4690</v>
      </c>
      <c r="B131" s="786">
        <v>635</v>
      </c>
      <c r="C131" s="787"/>
      <c r="D131" s="711"/>
      <c r="E131" s="787"/>
      <c r="F131" s="788"/>
    </row>
    <row r="132" spans="1:7" ht="18.75" x14ac:dyDescent="0.3">
      <c r="A132" s="777" t="s">
        <v>4691</v>
      </c>
      <c r="B132" s="786">
        <v>638</v>
      </c>
      <c r="C132" s="787"/>
      <c r="D132" s="711"/>
      <c r="E132" s="787"/>
      <c r="F132" s="788"/>
    </row>
    <row r="133" spans="1:7" ht="18.75" x14ac:dyDescent="0.3">
      <c r="A133" s="778" t="s">
        <v>4692</v>
      </c>
      <c r="B133" s="786"/>
      <c r="C133" s="787"/>
      <c r="D133" s="711"/>
      <c r="E133" s="787"/>
      <c r="F133" s="788"/>
      <c r="G133" s="804">
        <f>SUM(D134:D164)</f>
        <v>3600</v>
      </c>
    </row>
    <row r="134" spans="1:7" ht="18.75" x14ac:dyDescent="0.3">
      <c r="A134" s="777" t="s">
        <v>4962</v>
      </c>
      <c r="B134" s="786" t="s">
        <v>4693</v>
      </c>
      <c r="C134" s="787">
        <v>1</v>
      </c>
      <c r="D134" s="711">
        <f>ก่อสร้าง!F7</f>
        <v>3600</v>
      </c>
      <c r="E134" s="787"/>
      <c r="F134" s="788"/>
      <c r="G134" s="779">
        <f>SUM(C134:C164)</f>
        <v>1</v>
      </c>
    </row>
    <row r="135" spans="1:7" ht="18.75" x14ac:dyDescent="0.3">
      <c r="A135" s="777" t="s">
        <v>4694</v>
      </c>
      <c r="B135" s="786" t="s">
        <v>4695</v>
      </c>
      <c r="C135" s="787"/>
      <c r="D135" s="711"/>
      <c r="E135" s="787"/>
      <c r="F135" s="788"/>
    </row>
    <row r="136" spans="1:7" ht="18.75" x14ac:dyDescent="0.3">
      <c r="A136" s="777" t="s">
        <v>4696</v>
      </c>
      <c r="B136" s="786" t="s">
        <v>4697</v>
      </c>
      <c r="C136" s="787"/>
      <c r="D136" s="711"/>
      <c r="E136" s="787"/>
      <c r="F136" s="788"/>
    </row>
    <row r="137" spans="1:7" ht="18.75" x14ac:dyDescent="0.3">
      <c r="A137" s="777" t="s">
        <v>4698</v>
      </c>
      <c r="B137" s="786" t="s">
        <v>4699</v>
      </c>
      <c r="C137" s="787"/>
      <c r="D137" s="711"/>
      <c r="E137" s="787"/>
      <c r="F137" s="788"/>
    </row>
    <row r="138" spans="1:7" ht="18.75" x14ac:dyDescent="0.3">
      <c r="A138" s="777" t="s">
        <v>4700</v>
      </c>
      <c r="B138" s="786" t="s">
        <v>4701</v>
      </c>
      <c r="C138" s="787"/>
      <c r="D138" s="711"/>
      <c r="E138" s="787"/>
      <c r="F138" s="788"/>
    </row>
    <row r="139" spans="1:7" ht="18.75" x14ac:dyDescent="0.3">
      <c r="A139" s="777" t="s">
        <v>4702</v>
      </c>
      <c r="B139" s="786" t="s">
        <v>4703</v>
      </c>
      <c r="C139" s="787"/>
      <c r="D139" s="711"/>
      <c r="E139" s="787"/>
      <c r="F139" s="788"/>
    </row>
    <row r="140" spans="1:7" ht="18.75" x14ac:dyDescent="0.3">
      <c r="A140" s="777" t="s">
        <v>4704</v>
      </c>
      <c r="B140" s="786" t="s">
        <v>4705</v>
      </c>
      <c r="C140" s="787"/>
      <c r="D140" s="711"/>
      <c r="E140" s="787"/>
      <c r="F140" s="788"/>
    </row>
    <row r="141" spans="1:7" ht="18.75" x14ac:dyDescent="0.3">
      <c r="A141" s="777" t="s">
        <v>4706</v>
      </c>
      <c r="B141" s="786" t="s">
        <v>4707</v>
      </c>
      <c r="C141" s="787"/>
      <c r="D141" s="711"/>
      <c r="E141" s="787"/>
      <c r="F141" s="788"/>
    </row>
    <row r="142" spans="1:7" ht="18.75" x14ac:dyDescent="0.3">
      <c r="A142" s="777" t="s">
        <v>4708</v>
      </c>
      <c r="B142" s="786" t="s">
        <v>4709</v>
      </c>
      <c r="C142" s="787"/>
      <c r="D142" s="711"/>
      <c r="E142" s="787"/>
      <c r="F142" s="788"/>
    </row>
    <row r="143" spans="1:7" ht="18.75" x14ac:dyDescent="0.3">
      <c r="A143" s="777" t="s">
        <v>4710</v>
      </c>
      <c r="B143" s="786" t="s">
        <v>4711</v>
      </c>
      <c r="C143" s="787"/>
      <c r="D143" s="711"/>
      <c r="E143" s="787"/>
      <c r="F143" s="788"/>
    </row>
    <row r="144" spans="1:7" ht="18.75" x14ac:dyDescent="0.3">
      <c r="A144" s="777" t="s">
        <v>4712</v>
      </c>
      <c r="B144" s="786" t="s">
        <v>4713</v>
      </c>
      <c r="C144" s="787"/>
      <c r="D144" s="711"/>
      <c r="E144" s="787"/>
      <c r="F144" s="788"/>
    </row>
    <row r="145" spans="1:6" ht="18.75" x14ac:dyDescent="0.3">
      <c r="A145" s="777" t="s">
        <v>4714</v>
      </c>
      <c r="B145" s="786" t="s">
        <v>4715</v>
      </c>
      <c r="C145" s="787"/>
      <c r="D145" s="711"/>
      <c r="E145" s="787"/>
      <c r="F145" s="788"/>
    </row>
    <row r="146" spans="1:6" ht="18.75" x14ac:dyDescent="0.3">
      <c r="A146" s="777" t="s">
        <v>4716</v>
      </c>
      <c r="B146" s="786" t="s">
        <v>4717</v>
      </c>
      <c r="C146" s="787"/>
      <c r="D146" s="711"/>
      <c r="E146" s="787"/>
      <c r="F146" s="788"/>
    </row>
    <row r="147" spans="1:6" ht="18.75" x14ac:dyDescent="0.3">
      <c r="A147" s="777" t="s">
        <v>4718</v>
      </c>
      <c r="B147" s="786" t="s">
        <v>4719</v>
      </c>
      <c r="C147" s="787"/>
      <c r="D147" s="711"/>
      <c r="E147" s="787"/>
      <c r="F147" s="788"/>
    </row>
    <row r="148" spans="1:6" ht="18.75" x14ac:dyDescent="0.3">
      <c r="A148" s="777" t="s">
        <v>4720</v>
      </c>
      <c r="B148" s="786" t="s">
        <v>4721</v>
      </c>
      <c r="C148" s="787"/>
      <c r="D148" s="711"/>
      <c r="E148" s="787"/>
      <c r="F148" s="788"/>
    </row>
    <row r="149" spans="1:6" ht="18.75" x14ac:dyDescent="0.3">
      <c r="A149" s="777" t="s">
        <v>4722</v>
      </c>
      <c r="B149" s="786" t="s">
        <v>4723</v>
      </c>
      <c r="C149" s="787"/>
      <c r="D149" s="711"/>
      <c r="E149" s="787"/>
      <c r="F149" s="788"/>
    </row>
    <row r="150" spans="1:6" ht="18.75" x14ac:dyDescent="0.3">
      <c r="A150" s="777" t="s">
        <v>4724</v>
      </c>
      <c r="B150" s="786" t="s">
        <v>4725</v>
      </c>
      <c r="C150" s="787"/>
      <c r="D150" s="711"/>
      <c r="E150" s="787"/>
      <c r="F150" s="788"/>
    </row>
    <row r="151" spans="1:6" ht="18.75" x14ac:dyDescent="0.3">
      <c r="A151" s="777" t="s">
        <v>4726</v>
      </c>
      <c r="B151" s="786" t="s">
        <v>4727</v>
      </c>
      <c r="C151" s="787"/>
      <c r="D151" s="711"/>
      <c r="E151" s="787"/>
      <c r="F151" s="788"/>
    </row>
    <row r="152" spans="1:6" ht="18.75" x14ac:dyDescent="0.3">
      <c r="A152" s="777" t="s">
        <v>4728</v>
      </c>
      <c r="B152" s="786" t="s">
        <v>4729</v>
      </c>
      <c r="C152" s="787"/>
      <c r="D152" s="711"/>
      <c r="E152" s="787"/>
      <c r="F152" s="788"/>
    </row>
    <row r="153" spans="1:6" ht="18.75" x14ac:dyDescent="0.3">
      <c r="A153" s="777" t="s">
        <v>4730</v>
      </c>
      <c r="B153" s="786" t="s">
        <v>4560</v>
      </c>
      <c r="C153" s="787"/>
      <c r="D153" s="711"/>
      <c r="E153" s="787"/>
      <c r="F153" s="788"/>
    </row>
    <row r="154" spans="1:6" ht="18.75" x14ac:dyDescent="0.3">
      <c r="A154" s="777" t="s">
        <v>4731</v>
      </c>
      <c r="B154" s="786" t="s">
        <v>4732</v>
      </c>
      <c r="C154" s="787"/>
      <c r="D154" s="711"/>
      <c r="E154" s="787"/>
      <c r="F154" s="788"/>
    </row>
    <row r="155" spans="1:6" ht="18.75" x14ac:dyDescent="0.3">
      <c r="A155" s="777" t="s">
        <v>4733</v>
      </c>
      <c r="B155" s="786" t="s">
        <v>4734</v>
      </c>
      <c r="C155" s="787"/>
      <c r="D155" s="711"/>
      <c r="E155" s="787"/>
      <c r="F155" s="788"/>
    </row>
    <row r="156" spans="1:6" ht="18.75" x14ac:dyDescent="0.3">
      <c r="A156" s="777" t="s">
        <v>4735</v>
      </c>
      <c r="B156" s="786" t="s">
        <v>4736</v>
      </c>
      <c r="C156" s="787"/>
      <c r="D156" s="711"/>
      <c r="E156" s="787"/>
      <c r="F156" s="788"/>
    </row>
    <row r="157" spans="1:6" ht="18.75" x14ac:dyDescent="0.3">
      <c r="A157" s="777" t="s">
        <v>4737</v>
      </c>
      <c r="B157" s="786">
        <v>100</v>
      </c>
      <c r="C157" s="787"/>
      <c r="D157" s="711"/>
      <c r="E157" s="787"/>
      <c r="F157" s="788"/>
    </row>
    <row r="158" spans="1:6" ht="18.75" x14ac:dyDescent="0.3">
      <c r="A158" s="777" t="s">
        <v>4738</v>
      </c>
      <c r="B158" s="786">
        <v>105</v>
      </c>
      <c r="C158" s="787"/>
      <c r="D158" s="711"/>
      <c r="E158" s="787"/>
      <c r="F158" s="788"/>
    </row>
    <row r="159" spans="1:6" ht="18.75" x14ac:dyDescent="0.3">
      <c r="A159" s="777" t="s">
        <v>4739</v>
      </c>
      <c r="B159" s="786">
        <v>106</v>
      </c>
      <c r="C159" s="787"/>
      <c r="D159" s="711"/>
      <c r="E159" s="787"/>
      <c r="F159" s="788"/>
    </row>
    <row r="160" spans="1:6" ht="18.75" x14ac:dyDescent="0.3">
      <c r="A160" s="777" t="s">
        <v>4740</v>
      </c>
      <c r="B160" s="786">
        <v>107</v>
      </c>
      <c r="C160" s="787"/>
      <c r="D160" s="711"/>
      <c r="E160" s="787"/>
      <c r="F160" s="788"/>
    </row>
    <row r="161" spans="1:7" ht="18.75" x14ac:dyDescent="0.3">
      <c r="A161" s="777" t="s">
        <v>4741</v>
      </c>
      <c r="B161" s="786">
        <v>109</v>
      </c>
      <c r="C161" s="787"/>
      <c r="D161" s="711"/>
      <c r="E161" s="787"/>
      <c r="F161" s="788"/>
    </row>
    <row r="162" spans="1:7" ht="18.75" x14ac:dyDescent="0.3">
      <c r="A162" s="777" t="s">
        <v>4742</v>
      </c>
      <c r="B162" s="786">
        <v>110</v>
      </c>
      <c r="C162" s="787"/>
      <c r="D162" s="711"/>
      <c r="E162" s="787"/>
      <c r="F162" s="788"/>
    </row>
    <row r="163" spans="1:7" ht="18.75" x14ac:dyDescent="0.3">
      <c r="A163" s="777" t="s">
        <v>4743</v>
      </c>
      <c r="B163" s="786">
        <v>111</v>
      </c>
      <c r="C163" s="787"/>
      <c r="D163" s="711"/>
      <c r="E163" s="787"/>
      <c r="F163" s="788"/>
    </row>
    <row r="164" spans="1:7" ht="18.75" x14ac:dyDescent="0.3">
      <c r="A164" s="777" t="s">
        <v>4744</v>
      </c>
      <c r="B164" s="786">
        <v>113</v>
      </c>
      <c r="C164" s="787"/>
      <c r="D164" s="711"/>
      <c r="E164" s="787"/>
      <c r="F164" s="788"/>
    </row>
    <row r="165" spans="1:7" ht="18.75" x14ac:dyDescent="0.3">
      <c r="A165" s="778" t="s">
        <v>4745</v>
      </c>
      <c r="B165" s="786"/>
      <c r="C165" s="787"/>
      <c r="D165" s="711"/>
      <c r="E165" s="787"/>
      <c r="F165" s="711"/>
      <c r="G165" s="779">
        <f>SUM(C166:C188)</f>
        <v>175</v>
      </c>
    </row>
    <row r="166" spans="1:7" ht="18.75" x14ac:dyDescent="0.3">
      <c r="A166" s="778" t="s">
        <v>5008</v>
      </c>
      <c r="B166" s="786">
        <v>430</v>
      </c>
      <c r="C166" s="787"/>
      <c r="D166" s="711"/>
      <c r="E166" s="787"/>
      <c r="F166" s="788"/>
      <c r="G166" s="804">
        <f>SUM(D166:D188)</f>
        <v>3035818.4299999997</v>
      </c>
    </row>
    <row r="167" spans="1:7" ht="18.75" x14ac:dyDescent="0.3">
      <c r="A167" s="777" t="s">
        <v>4957</v>
      </c>
      <c r="B167" s="786">
        <v>430</v>
      </c>
      <c r="C167" s="787">
        <v>1</v>
      </c>
      <c r="D167" s="711">
        <f>ไฟฟ้าและวิทยุ!O6</f>
        <v>35000</v>
      </c>
      <c r="E167" s="787"/>
      <c r="F167" s="788"/>
    </row>
    <row r="168" spans="1:7" ht="18.75" x14ac:dyDescent="0.3">
      <c r="A168" s="777" t="s">
        <v>4968</v>
      </c>
      <c r="B168" s="786">
        <v>454</v>
      </c>
      <c r="C168" s="787">
        <v>32</v>
      </c>
      <c r="D168" s="711">
        <f>ไฟฟ้าและวิทยุ!O8</f>
        <v>874555.2</v>
      </c>
      <c r="E168" s="787"/>
      <c r="F168" s="788"/>
    </row>
    <row r="169" spans="1:7" ht="18.75" x14ac:dyDescent="0.3">
      <c r="A169" s="777" t="s">
        <v>4746</v>
      </c>
      <c r="B169" s="786">
        <v>455</v>
      </c>
      <c r="C169" s="787">
        <v>3</v>
      </c>
      <c r="D169" s="711">
        <f>ไฟฟ้าและวิทยุ!O40</f>
        <v>53910</v>
      </c>
      <c r="E169" s="787"/>
      <c r="F169" s="788"/>
    </row>
    <row r="170" spans="1:7" ht="18.75" x14ac:dyDescent="0.3">
      <c r="A170" s="777" t="s">
        <v>4747</v>
      </c>
      <c r="B170" s="786" t="s">
        <v>4748</v>
      </c>
      <c r="C170" s="787">
        <v>1</v>
      </c>
      <c r="D170" s="711">
        <f>ไฟฟ้าและวิทยุ!O7</f>
        <v>2996</v>
      </c>
      <c r="E170" s="787"/>
      <c r="F170" s="788"/>
    </row>
    <row r="171" spans="1:7" ht="18.75" x14ac:dyDescent="0.3">
      <c r="A171" s="777" t="s">
        <v>4749</v>
      </c>
      <c r="B171" s="786">
        <v>457</v>
      </c>
      <c r="C171" s="787"/>
      <c r="D171" s="711"/>
      <c r="E171" s="787"/>
      <c r="F171" s="788"/>
    </row>
    <row r="172" spans="1:7" ht="18.75" x14ac:dyDescent="0.3">
      <c r="A172" s="777" t="s">
        <v>4750</v>
      </c>
      <c r="B172" s="786">
        <v>458</v>
      </c>
      <c r="C172" s="787">
        <v>16</v>
      </c>
      <c r="D172" s="711">
        <f>ไฟฟ้าและวิทยุ!O43</f>
        <v>63107.58</v>
      </c>
      <c r="E172" s="787"/>
      <c r="F172" s="788"/>
    </row>
    <row r="173" spans="1:7" ht="18.75" x14ac:dyDescent="0.3">
      <c r="A173" s="777" t="s">
        <v>4751</v>
      </c>
      <c r="B173" s="786">
        <v>459</v>
      </c>
      <c r="C173" s="787">
        <v>72</v>
      </c>
      <c r="D173" s="711">
        <f>ไฟฟ้าและวิทยุ!O59</f>
        <v>457861.1399999999</v>
      </c>
      <c r="E173" s="787"/>
      <c r="F173" s="788"/>
    </row>
    <row r="174" spans="1:7" ht="18.75" x14ac:dyDescent="0.3">
      <c r="A174" s="777" t="s">
        <v>4752</v>
      </c>
      <c r="B174" s="786">
        <v>460</v>
      </c>
      <c r="C174" s="787"/>
      <c r="D174" s="711"/>
      <c r="E174" s="787"/>
      <c r="F174" s="788"/>
    </row>
    <row r="175" spans="1:7" ht="18.75" x14ac:dyDescent="0.3">
      <c r="A175" s="777" t="s">
        <v>4753</v>
      </c>
      <c r="B175" s="786">
        <v>461</v>
      </c>
      <c r="C175" s="787"/>
      <c r="D175" s="711"/>
      <c r="E175" s="787"/>
      <c r="F175" s="788"/>
    </row>
    <row r="176" spans="1:7" ht="18.75" x14ac:dyDescent="0.3">
      <c r="A176" s="777" t="s">
        <v>4754</v>
      </c>
      <c r="B176" s="786">
        <v>462</v>
      </c>
      <c r="C176" s="787">
        <v>41</v>
      </c>
      <c r="D176" s="711">
        <f>ไฟฟ้าและวิทยุ!O131</f>
        <v>586398.51</v>
      </c>
      <c r="E176" s="787"/>
      <c r="F176" s="788"/>
    </row>
    <row r="177" spans="1:7" ht="18.75" x14ac:dyDescent="0.3">
      <c r="A177" s="777" t="s">
        <v>5003</v>
      </c>
      <c r="B177" s="786">
        <v>463</v>
      </c>
      <c r="C177" s="787">
        <v>4</v>
      </c>
      <c r="D177" s="711">
        <f>ไฟฟ้าและวิทยุ!O173</f>
        <v>29590</v>
      </c>
      <c r="E177" s="787"/>
      <c r="F177" s="788"/>
    </row>
    <row r="178" spans="1:7" ht="18.75" x14ac:dyDescent="0.3">
      <c r="A178" s="777" t="s">
        <v>4755</v>
      </c>
      <c r="B178" s="786">
        <v>464</v>
      </c>
      <c r="C178" s="787"/>
      <c r="D178" s="711"/>
      <c r="E178" s="787"/>
      <c r="F178" s="788"/>
    </row>
    <row r="179" spans="1:7" ht="18.75" x14ac:dyDescent="0.3">
      <c r="A179" s="777" t="s">
        <v>4756</v>
      </c>
      <c r="B179" s="786">
        <v>465</v>
      </c>
      <c r="C179" s="787"/>
      <c r="D179" s="711"/>
      <c r="E179" s="787"/>
      <c r="F179" s="788"/>
    </row>
    <row r="180" spans="1:7" ht="18.75" x14ac:dyDescent="0.3">
      <c r="A180" s="777" t="s">
        <v>4757</v>
      </c>
      <c r="B180" s="786">
        <v>466</v>
      </c>
      <c r="C180" s="787">
        <v>4</v>
      </c>
      <c r="D180" s="711">
        <f>ไฟฟ้าและวิทยุ!O176</f>
        <v>804000</v>
      </c>
      <c r="E180" s="787"/>
      <c r="F180" s="788"/>
    </row>
    <row r="181" spans="1:7" ht="18.75" x14ac:dyDescent="0.3">
      <c r="A181" s="777" t="s">
        <v>4758</v>
      </c>
      <c r="B181" s="786">
        <v>467</v>
      </c>
      <c r="C181" s="787"/>
      <c r="D181" s="711"/>
      <c r="E181" s="787"/>
      <c r="F181" s="788"/>
    </row>
    <row r="182" spans="1:7" ht="18.75" x14ac:dyDescent="0.3">
      <c r="A182" s="777" t="s">
        <v>4759</v>
      </c>
      <c r="B182" s="786">
        <v>469</v>
      </c>
      <c r="C182" s="787"/>
      <c r="D182" s="711"/>
      <c r="E182" s="787"/>
      <c r="F182" s="788"/>
    </row>
    <row r="183" spans="1:7" ht="18.75" x14ac:dyDescent="0.3">
      <c r="A183" s="777" t="s">
        <v>4760</v>
      </c>
      <c r="B183" s="786" t="s">
        <v>4761</v>
      </c>
      <c r="C183" s="787"/>
      <c r="D183" s="711"/>
      <c r="E183" s="787"/>
      <c r="F183" s="788"/>
    </row>
    <row r="184" spans="1:7" ht="18.75" x14ac:dyDescent="0.3">
      <c r="A184" s="777" t="s">
        <v>4762</v>
      </c>
      <c r="B184" s="786" t="s">
        <v>4763</v>
      </c>
      <c r="C184" s="787"/>
      <c r="D184" s="711"/>
      <c r="E184" s="787"/>
      <c r="F184" s="788"/>
    </row>
    <row r="185" spans="1:7" ht="18.75" x14ac:dyDescent="0.3">
      <c r="A185" s="777" t="s">
        <v>5005</v>
      </c>
      <c r="B185" s="786" t="s">
        <v>5004</v>
      </c>
      <c r="C185" s="787">
        <v>1</v>
      </c>
      <c r="D185" s="711">
        <f>ไฟฟ้าและวิทยุ!F180</f>
        <v>128400</v>
      </c>
      <c r="E185" s="787"/>
      <c r="F185" s="788"/>
    </row>
    <row r="186" spans="1:7" ht="18.75" x14ac:dyDescent="0.3">
      <c r="A186" s="777" t="s">
        <v>4764</v>
      </c>
      <c r="B186" s="786">
        <v>492</v>
      </c>
      <c r="C186" s="787"/>
      <c r="D186" s="711"/>
      <c r="E186" s="787"/>
      <c r="F186" s="788"/>
    </row>
    <row r="187" spans="1:7" ht="18.75" x14ac:dyDescent="0.3">
      <c r="A187" s="777" t="s">
        <v>4765</v>
      </c>
      <c r="B187" s="786" t="s">
        <v>4766</v>
      </c>
      <c r="C187" s="787"/>
      <c r="D187" s="711"/>
      <c r="E187" s="787"/>
      <c r="F187" s="788"/>
    </row>
    <row r="188" spans="1:7" ht="18.75" x14ac:dyDescent="0.3">
      <c r="A188" s="777" t="s">
        <v>4767</v>
      </c>
      <c r="B188" s="786" t="s">
        <v>4768</v>
      </c>
      <c r="C188" s="787"/>
      <c r="D188" s="711"/>
      <c r="E188" s="787"/>
      <c r="F188" s="788"/>
    </row>
    <row r="189" spans="1:7" ht="18.75" x14ac:dyDescent="0.3">
      <c r="A189" s="778" t="s">
        <v>4769</v>
      </c>
      <c r="B189" s="786"/>
      <c r="C189" s="787"/>
      <c r="D189" s="711"/>
      <c r="E189" s="787"/>
      <c r="F189" s="711"/>
      <c r="G189" s="779">
        <f>SUM(C190:C201)</f>
        <v>46</v>
      </c>
    </row>
    <row r="190" spans="1:7" ht="18.75" x14ac:dyDescent="0.3">
      <c r="A190" s="777" t="s">
        <v>4964</v>
      </c>
      <c r="B190" s="786">
        <v>444</v>
      </c>
      <c r="C190" s="787">
        <v>6</v>
      </c>
      <c r="D190" s="711">
        <f>โฆษณา!P6</f>
        <v>2273793.65</v>
      </c>
      <c r="E190" s="787"/>
      <c r="F190" s="788"/>
      <c r="G190" s="804">
        <f>SUM(D190:D201)</f>
        <v>4061756.15</v>
      </c>
    </row>
    <row r="191" spans="1:7" ht="18.75" x14ac:dyDescent="0.3">
      <c r="A191" s="777" t="s">
        <v>4770</v>
      </c>
      <c r="B191" s="786">
        <v>445</v>
      </c>
      <c r="C191" s="787"/>
      <c r="D191" s="711"/>
      <c r="E191" s="787"/>
      <c r="F191" s="788"/>
    </row>
    <row r="192" spans="1:7" ht="18.75" x14ac:dyDescent="0.3">
      <c r="A192" s="777" t="s">
        <v>4771</v>
      </c>
      <c r="B192" s="786">
        <v>446</v>
      </c>
      <c r="C192" s="787">
        <v>4</v>
      </c>
      <c r="D192" s="711">
        <f>โฆษณา!O15</f>
        <v>164769.5</v>
      </c>
      <c r="E192" s="787"/>
      <c r="F192" s="788"/>
    </row>
    <row r="193" spans="1:7" ht="18.75" x14ac:dyDescent="0.3">
      <c r="A193" s="777" t="s">
        <v>4772</v>
      </c>
      <c r="B193" s="786">
        <v>447</v>
      </c>
      <c r="C193" s="787">
        <v>11</v>
      </c>
      <c r="D193" s="711">
        <f>โฆษณา!O17</f>
        <v>636000</v>
      </c>
      <c r="E193" s="787"/>
      <c r="F193" s="788"/>
    </row>
    <row r="194" spans="1:7" ht="18.75" x14ac:dyDescent="0.3">
      <c r="A194" s="777" t="s">
        <v>4965</v>
      </c>
      <c r="B194" s="786">
        <v>448</v>
      </c>
      <c r="C194" s="787">
        <v>1</v>
      </c>
      <c r="D194" s="711">
        <f>โฆษณา!F27</f>
        <v>37000</v>
      </c>
      <c r="E194" s="787"/>
      <c r="F194" s="788"/>
    </row>
    <row r="195" spans="1:7" ht="18.75" x14ac:dyDescent="0.3">
      <c r="A195" s="777" t="s">
        <v>4773</v>
      </c>
      <c r="B195" s="786">
        <v>452</v>
      </c>
      <c r="C195" s="787">
        <v>1</v>
      </c>
      <c r="D195" s="711">
        <f>โฆษณา!F28</f>
        <v>8990</v>
      </c>
      <c r="E195" s="787"/>
      <c r="F195" s="788"/>
    </row>
    <row r="196" spans="1:7" ht="18.75" x14ac:dyDescent="0.3">
      <c r="A196" s="777" t="s">
        <v>4774</v>
      </c>
      <c r="B196" s="786">
        <v>453</v>
      </c>
      <c r="C196" s="787"/>
      <c r="D196" s="711"/>
      <c r="E196" s="787"/>
      <c r="F196" s="788"/>
    </row>
    <row r="197" spans="1:7" ht="18.75" x14ac:dyDescent="0.3">
      <c r="A197" s="777" t="s">
        <v>4775</v>
      </c>
      <c r="B197" s="786" t="s">
        <v>4776</v>
      </c>
      <c r="C197" s="787"/>
      <c r="D197" s="711"/>
      <c r="E197" s="787"/>
      <c r="F197" s="788"/>
    </row>
    <row r="198" spans="1:7" ht="18.75" x14ac:dyDescent="0.3">
      <c r="A198" s="777" t="s">
        <v>4777</v>
      </c>
      <c r="B198" s="786">
        <v>456</v>
      </c>
      <c r="C198" s="787">
        <v>21</v>
      </c>
      <c r="D198" s="711">
        <f>โฆษณา!O49</f>
        <v>858583</v>
      </c>
      <c r="E198" s="787"/>
      <c r="F198" s="788"/>
    </row>
    <row r="199" spans="1:7" ht="18.75" x14ac:dyDescent="0.3">
      <c r="A199" s="777" t="s">
        <v>4966</v>
      </c>
      <c r="B199" s="786">
        <v>477</v>
      </c>
      <c r="C199" s="787">
        <v>1</v>
      </c>
      <c r="D199" s="711">
        <f>โฆษณา!F50</f>
        <v>70620</v>
      </c>
      <c r="E199" s="787"/>
      <c r="F199" s="788"/>
    </row>
    <row r="200" spans="1:7" ht="18.75" x14ac:dyDescent="0.3">
      <c r="A200" s="777" t="s">
        <v>5011</v>
      </c>
      <c r="B200" s="786" t="s">
        <v>5010</v>
      </c>
      <c r="C200" s="787">
        <v>1</v>
      </c>
      <c r="D200" s="711">
        <f>โฆษณา!F51</f>
        <v>12000</v>
      </c>
      <c r="E200" s="787"/>
      <c r="F200" s="788"/>
    </row>
    <row r="201" spans="1:7" ht="18.75" x14ac:dyDescent="0.3">
      <c r="A201" s="777" t="s">
        <v>4749</v>
      </c>
      <c r="B201" s="786" t="s">
        <v>4778</v>
      </c>
      <c r="C201" s="787"/>
      <c r="D201" s="711"/>
      <c r="E201" s="787"/>
      <c r="F201" s="788"/>
    </row>
    <row r="202" spans="1:7" ht="18.75" x14ac:dyDescent="0.3">
      <c r="A202" s="778" t="s">
        <v>4779</v>
      </c>
      <c r="B202" s="786"/>
      <c r="C202" s="787"/>
      <c r="D202" s="711"/>
      <c r="E202" s="787"/>
      <c r="F202" s="711"/>
      <c r="G202" s="779">
        <f>SUM(C203:C242)</f>
        <v>12</v>
      </c>
    </row>
    <row r="203" spans="1:7" ht="18.75" x14ac:dyDescent="0.3">
      <c r="A203" s="777" t="s">
        <v>4780</v>
      </c>
      <c r="B203" s="786">
        <v>201</v>
      </c>
      <c r="C203" s="787"/>
      <c r="D203" s="711"/>
      <c r="E203" s="787"/>
      <c r="F203" s="788"/>
      <c r="G203" s="804">
        <f>SUM(D203:D242)</f>
        <v>83170</v>
      </c>
    </row>
    <row r="204" spans="1:7" ht="18.75" x14ac:dyDescent="0.3">
      <c r="A204" s="777" t="s">
        <v>4781</v>
      </c>
      <c r="B204" s="786">
        <v>202</v>
      </c>
      <c r="C204" s="787"/>
      <c r="D204" s="711"/>
      <c r="E204" s="787"/>
      <c r="F204" s="788"/>
    </row>
    <row r="205" spans="1:7" ht="18.75" x14ac:dyDescent="0.3">
      <c r="A205" s="777" t="s">
        <v>4782</v>
      </c>
      <c r="B205" s="786">
        <v>204</v>
      </c>
      <c r="C205" s="787"/>
      <c r="D205" s="711"/>
      <c r="E205" s="787"/>
      <c r="F205" s="788"/>
    </row>
    <row r="206" spans="1:7" ht="18.75" x14ac:dyDescent="0.3">
      <c r="A206" s="777" t="s">
        <v>4783</v>
      </c>
      <c r="B206" s="786">
        <v>205</v>
      </c>
      <c r="C206" s="787"/>
      <c r="D206" s="711"/>
      <c r="E206" s="787"/>
      <c r="F206" s="788"/>
    </row>
    <row r="207" spans="1:7" ht="18.75" x14ac:dyDescent="0.3">
      <c r="A207" s="777" t="s">
        <v>4784</v>
      </c>
      <c r="B207" s="786">
        <v>209</v>
      </c>
      <c r="C207" s="787"/>
      <c r="D207" s="711"/>
      <c r="E207" s="787"/>
      <c r="F207" s="788"/>
    </row>
    <row r="208" spans="1:7" ht="18.75" x14ac:dyDescent="0.3">
      <c r="A208" s="777" t="s">
        <v>4785</v>
      </c>
      <c r="B208" s="786">
        <v>216</v>
      </c>
      <c r="C208" s="787"/>
      <c r="D208" s="711"/>
      <c r="E208" s="787"/>
      <c r="F208" s="788"/>
    </row>
    <row r="209" spans="1:6" ht="18.75" x14ac:dyDescent="0.3">
      <c r="A209" s="777" t="s">
        <v>4786</v>
      </c>
      <c r="B209" s="786">
        <v>219</v>
      </c>
      <c r="C209" s="787"/>
      <c r="D209" s="711"/>
      <c r="E209" s="787"/>
      <c r="F209" s="788"/>
    </row>
    <row r="210" spans="1:6" ht="18.75" x14ac:dyDescent="0.3">
      <c r="A210" s="777" t="s">
        <v>4787</v>
      </c>
      <c r="B210" s="786">
        <v>227</v>
      </c>
      <c r="C210" s="787"/>
      <c r="D210" s="711"/>
      <c r="E210" s="787"/>
      <c r="F210" s="788"/>
    </row>
    <row r="211" spans="1:6" ht="18.75" x14ac:dyDescent="0.3">
      <c r="A211" s="777" t="s">
        <v>4788</v>
      </c>
      <c r="B211" s="786">
        <v>238</v>
      </c>
      <c r="C211" s="787"/>
      <c r="D211" s="711"/>
      <c r="E211" s="787"/>
      <c r="F211" s="788"/>
    </row>
    <row r="212" spans="1:6" ht="18.75" x14ac:dyDescent="0.3">
      <c r="A212" s="777" t="s">
        <v>4789</v>
      </c>
      <c r="B212" s="786">
        <v>239</v>
      </c>
      <c r="C212" s="787">
        <v>2</v>
      </c>
      <c r="D212" s="711">
        <f>วิทยาศาสตร์!O6</f>
        <v>42800</v>
      </c>
      <c r="E212" s="787"/>
      <c r="F212" s="788"/>
    </row>
    <row r="213" spans="1:6" ht="18.75" x14ac:dyDescent="0.3">
      <c r="A213" s="777" t="s">
        <v>4790</v>
      </c>
      <c r="B213" s="786">
        <v>241</v>
      </c>
      <c r="C213" s="787"/>
      <c r="D213" s="711"/>
      <c r="E213" s="787"/>
      <c r="F213" s="788"/>
    </row>
    <row r="214" spans="1:6" ht="18.75" x14ac:dyDescent="0.3">
      <c r="A214" s="777" t="s">
        <v>4791</v>
      </c>
      <c r="B214" s="786">
        <v>250</v>
      </c>
      <c r="C214" s="787"/>
      <c r="D214" s="711"/>
      <c r="E214" s="787"/>
      <c r="F214" s="788"/>
    </row>
    <row r="215" spans="1:6" ht="18.75" x14ac:dyDescent="0.3">
      <c r="A215" s="777" t="s">
        <v>4792</v>
      </c>
      <c r="B215" s="786">
        <v>251</v>
      </c>
      <c r="C215" s="787"/>
      <c r="D215" s="711"/>
      <c r="E215" s="787"/>
      <c r="F215" s="788"/>
    </row>
    <row r="216" spans="1:6" ht="18.75" x14ac:dyDescent="0.3">
      <c r="A216" s="777" t="s">
        <v>4793</v>
      </c>
      <c r="B216" s="786">
        <v>257</v>
      </c>
      <c r="C216" s="787"/>
      <c r="D216" s="711"/>
      <c r="E216" s="787"/>
      <c r="F216" s="788"/>
    </row>
    <row r="217" spans="1:6" ht="18.75" x14ac:dyDescent="0.3">
      <c r="A217" s="777" t="s">
        <v>4794</v>
      </c>
      <c r="B217" s="786">
        <v>259</v>
      </c>
      <c r="C217" s="787"/>
      <c r="D217" s="711"/>
      <c r="E217" s="787"/>
      <c r="F217" s="788"/>
    </row>
    <row r="218" spans="1:6" ht="18.75" x14ac:dyDescent="0.3">
      <c r="A218" s="777" t="s">
        <v>4795</v>
      </c>
      <c r="B218" s="786">
        <v>260</v>
      </c>
      <c r="C218" s="787"/>
      <c r="D218" s="711"/>
      <c r="E218" s="787"/>
      <c r="F218" s="788"/>
    </row>
    <row r="219" spans="1:6" ht="18.75" x14ac:dyDescent="0.3">
      <c r="A219" s="777" t="s">
        <v>4796</v>
      </c>
      <c r="B219" s="786">
        <v>263</v>
      </c>
      <c r="C219" s="787"/>
      <c r="D219" s="711"/>
      <c r="E219" s="787"/>
      <c r="F219" s="788"/>
    </row>
    <row r="220" spans="1:6" ht="18.75" x14ac:dyDescent="0.3">
      <c r="A220" s="777" t="s">
        <v>4797</v>
      </c>
      <c r="B220" s="786">
        <v>264</v>
      </c>
      <c r="C220" s="787"/>
      <c r="D220" s="711"/>
      <c r="E220" s="787"/>
      <c r="F220" s="788"/>
    </row>
    <row r="221" spans="1:6" ht="18.75" x14ac:dyDescent="0.3">
      <c r="A221" s="777" t="s">
        <v>4798</v>
      </c>
      <c r="B221" s="786">
        <v>265</v>
      </c>
      <c r="C221" s="787"/>
      <c r="D221" s="711"/>
      <c r="E221" s="787"/>
      <c r="F221" s="788"/>
    </row>
    <row r="222" spans="1:6" ht="18.75" x14ac:dyDescent="0.3">
      <c r="A222" s="777" t="s">
        <v>4799</v>
      </c>
      <c r="B222" s="786">
        <v>267</v>
      </c>
      <c r="C222" s="787"/>
      <c r="D222" s="711"/>
      <c r="E222" s="787"/>
      <c r="F222" s="788"/>
    </row>
    <row r="223" spans="1:6" ht="18.75" x14ac:dyDescent="0.3">
      <c r="A223" s="777" t="s">
        <v>4800</v>
      </c>
      <c r="B223" s="786">
        <v>268</v>
      </c>
      <c r="C223" s="787"/>
      <c r="D223" s="711"/>
      <c r="E223" s="787"/>
      <c r="F223" s="788"/>
    </row>
    <row r="224" spans="1:6" ht="18.75" x14ac:dyDescent="0.3">
      <c r="A224" s="777" t="s">
        <v>4801</v>
      </c>
      <c r="B224" s="786">
        <v>269</v>
      </c>
      <c r="C224" s="787"/>
      <c r="D224" s="711"/>
      <c r="E224" s="787"/>
      <c r="F224" s="788"/>
    </row>
    <row r="225" spans="1:6" ht="18.75" x14ac:dyDescent="0.3">
      <c r="A225" s="777" t="s">
        <v>4802</v>
      </c>
      <c r="B225" s="786">
        <v>271</v>
      </c>
      <c r="C225" s="787"/>
      <c r="D225" s="711"/>
      <c r="E225" s="787"/>
      <c r="F225" s="788"/>
    </row>
    <row r="226" spans="1:6" ht="18.75" x14ac:dyDescent="0.3">
      <c r="A226" s="777" t="s">
        <v>4803</v>
      </c>
      <c r="B226" s="786">
        <v>273</v>
      </c>
      <c r="C226" s="787"/>
      <c r="D226" s="711"/>
      <c r="E226" s="787"/>
      <c r="F226" s="788"/>
    </row>
    <row r="227" spans="1:6" ht="18.75" x14ac:dyDescent="0.3">
      <c r="A227" s="777" t="s">
        <v>4804</v>
      </c>
      <c r="B227" s="786">
        <v>274</v>
      </c>
      <c r="C227" s="787"/>
      <c r="D227" s="711"/>
      <c r="E227" s="787"/>
      <c r="F227" s="788"/>
    </row>
    <row r="228" spans="1:6" ht="18.75" x14ac:dyDescent="0.3">
      <c r="A228" s="777" t="s">
        <v>4805</v>
      </c>
      <c r="B228" s="786">
        <v>275</v>
      </c>
      <c r="C228" s="787"/>
      <c r="D228" s="711"/>
      <c r="E228" s="787"/>
      <c r="F228" s="788"/>
    </row>
    <row r="229" spans="1:6" ht="18.75" x14ac:dyDescent="0.3">
      <c r="A229" s="777" t="s">
        <v>4806</v>
      </c>
      <c r="B229" s="786">
        <v>276</v>
      </c>
      <c r="C229" s="787"/>
      <c r="D229" s="711"/>
      <c r="E229" s="787"/>
      <c r="F229" s="788"/>
    </row>
    <row r="230" spans="1:6" ht="18.75" x14ac:dyDescent="0.3">
      <c r="A230" s="777" t="s">
        <v>4807</v>
      </c>
      <c r="B230" s="786">
        <v>279</v>
      </c>
      <c r="C230" s="787"/>
      <c r="D230" s="711"/>
      <c r="E230" s="787"/>
      <c r="F230" s="788"/>
    </row>
    <row r="231" spans="1:6" ht="18.75" x14ac:dyDescent="0.3">
      <c r="A231" s="777" t="s">
        <v>4808</v>
      </c>
      <c r="B231" s="786">
        <v>282</v>
      </c>
      <c r="C231" s="787">
        <v>1</v>
      </c>
      <c r="D231" s="711">
        <f>วิทยาศาสตร์!F8</f>
        <v>19260</v>
      </c>
      <c r="E231" s="787"/>
      <c r="F231" s="788"/>
    </row>
    <row r="232" spans="1:6" ht="18.75" x14ac:dyDescent="0.3">
      <c r="A232" s="777" t="s">
        <v>4809</v>
      </c>
      <c r="B232" s="786">
        <v>284</v>
      </c>
      <c r="C232" s="787"/>
      <c r="D232" s="711"/>
      <c r="E232" s="787"/>
      <c r="F232" s="788"/>
    </row>
    <row r="233" spans="1:6" ht="18.75" x14ac:dyDescent="0.3">
      <c r="A233" s="777" t="s">
        <v>4810</v>
      </c>
      <c r="B233" s="786">
        <v>285</v>
      </c>
      <c r="C233" s="787"/>
      <c r="D233" s="711"/>
      <c r="E233" s="787"/>
      <c r="F233" s="788"/>
    </row>
    <row r="234" spans="1:6" ht="18.75" x14ac:dyDescent="0.3">
      <c r="A234" s="777" t="s">
        <v>4811</v>
      </c>
      <c r="B234" s="786">
        <v>289</v>
      </c>
      <c r="C234" s="787"/>
      <c r="D234" s="711"/>
      <c r="E234" s="787"/>
      <c r="F234" s="788"/>
    </row>
    <row r="235" spans="1:6" ht="18.75" x14ac:dyDescent="0.3">
      <c r="A235" s="777" t="s">
        <v>4812</v>
      </c>
      <c r="B235" s="786">
        <v>291</v>
      </c>
      <c r="C235" s="787"/>
      <c r="D235" s="711"/>
      <c r="E235" s="787"/>
      <c r="F235" s="788"/>
    </row>
    <row r="236" spans="1:6" ht="18.75" x14ac:dyDescent="0.3">
      <c r="A236" s="777" t="s">
        <v>4813</v>
      </c>
      <c r="B236" s="786">
        <v>292</v>
      </c>
      <c r="C236" s="787"/>
      <c r="D236" s="711"/>
      <c r="E236" s="787"/>
      <c r="F236" s="788"/>
    </row>
    <row r="237" spans="1:6" ht="18.75" x14ac:dyDescent="0.3">
      <c r="A237" s="777" t="s">
        <v>4814</v>
      </c>
      <c r="B237" s="786">
        <v>293</v>
      </c>
      <c r="C237" s="787"/>
      <c r="D237" s="711"/>
      <c r="E237" s="787"/>
      <c r="F237" s="788"/>
    </row>
    <row r="238" spans="1:6" ht="18.75" x14ac:dyDescent="0.3">
      <c r="A238" s="777" t="s">
        <v>4815</v>
      </c>
      <c r="B238" s="786">
        <v>294</v>
      </c>
      <c r="C238" s="787"/>
      <c r="D238" s="711"/>
      <c r="E238" s="787"/>
      <c r="F238" s="788"/>
    </row>
    <row r="239" spans="1:6" ht="18.75" x14ac:dyDescent="0.3">
      <c r="A239" s="777" t="s">
        <v>4816</v>
      </c>
      <c r="B239" s="786">
        <v>295</v>
      </c>
      <c r="C239" s="787"/>
      <c r="D239" s="711"/>
      <c r="E239" s="787"/>
      <c r="F239" s="788"/>
    </row>
    <row r="240" spans="1:6" ht="18.75" x14ac:dyDescent="0.3">
      <c r="A240" s="777" t="s">
        <v>4817</v>
      </c>
      <c r="B240" s="786">
        <v>296</v>
      </c>
      <c r="C240" s="787"/>
      <c r="D240" s="711"/>
      <c r="E240" s="787"/>
      <c r="F240" s="788"/>
    </row>
    <row r="241" spans="1:7" ht="18.75" x14ac:dyDescent="0.3">
      <c r="A241" s="777" t="s">
        <v>4818</v>
      </c>
      <c r="B241" s="786">
        <v>298</v>
      </c>
      <c r="C241" s="787"/>
      <c r="D241" s="711"/>
      <c r="E241" s="787"/>
      <c r="F241" s="788"/>
    </row>
    <row r="242" spans="1:7" ht="18.75" x14ac:dyDescent="0.3">
      <c r="A242" s="777" t="s">
        <v>4963</v>
      </c>
      <c r="B242" s="786">
        <v>298</v>
      </c>
      <c r="C242" s="787">
        <v>9</v>
      </c>
      <c r="D242" s="711">
        <f>วิทยาศาสตร์!O9</f>
        <v>21110</v>
      </c>
      <c r="E242" s="787"/>
      <c r="F242" s="788"/>
    </row>
    <row r="243" spans="1:7" ht="18.75" x14ac:dyDescent="0.3">
      <c r="A243" s="778" t="s">
        <v>4819</v>
      </c>
      <c r="B243" s="786"/>
      <c r="C243" s="787"/>
      <c r="D243" s="711"/>
      <c r="E243" s="787"/>
      <c r="F243" s="711"/>
      <c r="G243" s="779">
        <f>SUM(C244:C260)</f>
        <v>45</v>
      </c>
    </row>
    <row r="244" spans="1:7" ht="18.75" x14ac:dyDescent="0.3">
      <c r="A244" s="777" t="s">
        <v>4820</v>
      </c>
      <c r="B244" s="786" t="s">
        <v>4821</v>
      </c>
      <c r="C244" s="787"/>
      <c r="D244" s="711"/>
      <c r="E244" s="787"/>
      <c r="F244" s="788"/>
      <c r="G244" s="804">
        <f>SUM(D244:D260)</f>
        <v>500556</v>
      </c>
    </row>
    <row r="245" spans="1:7" ht="18.75" x14ac:dyDescent="0.3">
      <c r="A245" s="777" t="s">
        <v>4822</v>
      </c>
      <c r="B245" s="786">
        <v>434</v>
      </c>
      <c r="C245" s="787">
        <v>30</v>
      </c>
      <c r="D245" s="711">
        <f>งานบ้าน!O6</f>
        <v>382418</v>
      </c>
      <c r="E245" s="787"/>
      <c r="F245" s="788"/>
    </row>
    <row r="246" spans="1:7" ht="18.75" x14ac:dyDescent="0.3">
      <c r="A246" s="777" t="s">
        <v>4823</v>
      </c>
      <c r="B246" s="786">
        <v>439</v>
      </c>
      <c r="C246" s="787">
        <v>5</v>
      </c>
      <c r="D246" s="711">
        <f>งานบ้าน!O36</f>
        <v>48690</v>
      </c>
      <c r="E246" s="787"/>
      <c r="F246" s="788"/>
    </row>
    <row r="247" spans="1:7" ht="18.75" x14ac:dyDescent="0.3">
      <c r="A247" s="777" t="s">
        <v>4824</v>
      </c>
      <c r="B247" s="786">
        <v>440</v>
      </c>
      <c r="C247" s="787">
        <v>2</v>
      </c>
      <c r="D247" s="711">
        <f>งานบ้าน!O41</f>
        <v>10400</v>
      </c>
      <c r="E247" s="787"/>
      <c r="F247" s="788"/>
    </row>
    <row r="248" spans="1:7" ht="18.75" x14ac:dyDescent="0.3">
      <c r="A248" s="777" t="s">
        <v>4825</v>
      </c>
      <c r="B248" s="786">
        <v>441</v>
      </c>
      <c r="C248" s="787">
        <v>1</v>
      </c>
      <c r="D248" s="711">
        <f>งานบ้าน!F43</f>
        <v>10600</v>
      </c>
      <c r="E248" s="787"/>
      <c r="F248" s="788"/>
    </row>
    <row r="249" spans="1:7" ht="18.75" x14ac:dyDescent="0.3">
      <c r="A249" s="777" t="s">
        <v>4826</v>
      </c>
      <c r="B249" s="786">
        <v>442</v>
      </c>
      <c r="C249" s="787"/>
      <c r="D249" s="711"/>
      <c r="E249" s="787"/>
      <c r="F249" s="788"/>
    </row>
    <row r="250" spans="1:7" ht="18.75" x14ac:dyDescent="0.3">
      <c r="A250" s="777" t="s">
        <v>4827</v>
      </c>
      <c r="B250" s="786">
        <v>701</v>
      </c>
      <c r="C250" s="787">
        <v>2</v>
      </c>
      <c r="D250" s="711">
        <f>งานบ้าน!O44</f>
        <v>7800</v>
      </c>
      <c r="E250" s="787"/>
      <c r="F250" s="788"/>
    </row>
    <row r="251" spans="1:7" ht="18.75" x14ac:dyDescent="0.3">
      <c r="A251" s="777" t="s">
        <v>4828</v>
      </c>
      <c r="B251" s="786">
        <v>702</v>
      </c>
      <c r="C251" s="787"/>
      <c r="D251" s="711"/>
      <c r="E251" s="787"/>
      <c r="F251" s="788"/>
    </row>
    <row r="252" spans="1:7" ht="18.75" x14ac:dyDescent="0.3">
      <c r="A252" s="777" t="s">
        <v>4829</v>
      </c>
      <c r="B252" s="786">
        <v>703</v>
      </c>
      <c r="C252" s="787">
        <v>5</v>
      </c>
      <c r="D252" s="711">
        <f>งานบ้าน!O46</f>
        <v>40648</v>
      </c>
      <c r="E252" s="787"/>
      <c r="F252" s="788"/>
    </row>
    <row r="253" spans="1:7" ht="18.75" x14ac:dyDescent="0.3">
      <c r="A253" s="777" t="s">
        <v>4830</v>
      </c>
      <c r="B253" s="786">
        <v>704</v>
      </c>
      <c r="C253" s="787"/>
      <c r="D253" s="711"/>
      <c r="E253" s="787"/>
      <c r="F253" s="788"/>
    </row>
    <row r="254" spans="1:7" ht="18.75" x14ac:dyDescent="0.3">
      <c r="A254" s="777" t="s">
        <v>4831</v>
      </c>
      <c r="B254" s="786">
        <v>705</v>
      </c>
      <c r="C254" s="787"/>
      <c r="D254" s="711"/>
      <c r="E254" s="787"/>
      <c r="F254" s="788"/>
    </row>
    <row r="255" spans="1:7" ht="18.75" x14ac:dyDescent="0.3">
      <c r="A255" s="777" t="s">
        <v>4832</v>
      </c>
      <c r="B255" s="786">
        <v>707</v>
      </c>
      <c r="C255" s="787"/>
      <c r="D255" s="711"/>
      <c r="E255" s="787"/>
      <c r="F255" s="788"/>
    </row>
    <row r="256" spans="1:7" ht="18.75" x14ac:dyDescent="0.3">
      <c r="A256" s="777" t="s">
        <v>4833</v>
      </c>
      <c r="B256" s="786">
        <v>711</v>
      </c>
      <c r="C256" s="787"/>
      <c r="D256" s="711"/>
      <c r="E256" s="787"/>
      <c r="F256" s="788"/>
    </row>
    <row r="257" spans="1:6" ht="18.75" x14ac:dyDescent="0.3">
      <c r="A257" s="777" t="s">
        <v>4834</v>
      </c>
      <c r="B257" s="786">
        <v>714</v>
      </c>
      <c r="C257" s="787"/>
      <c r="D257" s="711"/>
      <c r="E257" s="787"/>
      <c r="F257" s="788"/>
    </row>
    <row r="258" spans="1:6" ht="18.75" x14ac:dyDescent="0.3">
      <c r="A258" s="777" t="s">
        <v>4835</v>
      </c>
      <c r="B258" s="786" t="s">
        <v>4836</v>
      </c>
      <c r="C258" s="787"/>
      <c r="D258" s="711"/>
      <c r="E258" s="787"/>
      <c r="F258" s="788"/>
    </row>
    <row r="259" spans="1:6" ht="18.75" x14ac:dyDescent="0.3">
      <c r="A259" s="777" t="s">
        <v>4837</v>
      </c>
      <c r="B259" s="786" t="s">
        <v>4838</v>
      </c>
      <c r="C259" s="787"/>
      <c r="D259" s="711"/>
      <c r="E259" s="787"/>
      <c r="F259" s="788"/>
    </row>
    <row r="260" spans="1:6" ht="18.75" x14ac:dyDescent="0.3">
      <c r="A260" s="777" t="s">
        <v>4839</v>
      </c>
      <c r="B260" s="786">
        <v>719</v>
      </c>
      <c r="C260" s="787"/>
      <c r="D260" s="711"/>
      <c r="E260" s="787"/>
      <c r="F260" s="788"/>
    </row>
    <row r="261" spans="1:6" ht="18.75" x14ac:dyDescent="0.3">
      <c r="A261" s="778" t="s">
        <v>4840</v>
      </c>
      <c r="B261" s="786"/>
      <c r="C261" s="787"/>
      <c r="D261" s="711"/>
      <c r="E261" s="787"/>
      <c r="F261" s="711"/>
    </row>
    <row r="262" spans="1:6" ht="18.75" x14ac:dyDescent="0.3">
      <c r="A262" s="777" t="s">
        <v>4841</v>
      </c>
      <c r="B262" s="786" t="s">
        <v>4842</v>
      </c>
      <c r="C262" s="787"/>
      <c r="D262" s="711"/>
      <c r="E262" s="787"/>
      <c r="F262" s="788"/>
    </row>
    <row r="263" spans="1:6" ht="18.75" x14ac:dyDescent="0.3">
      <c r="A263" s="777" t="s">
        <v>4843</v>
      </c>
      <c r="B263" s="786" t="s">
        <v>4844</v>
      </c>
      <c r="C263" s="787">
        <v>2</v>
      </c>
      <c r="D263" s="711">
        <f>โรงงาน!F8</f>
        <v>7200</v>
      </c>
      <c r="E263" s="787"/>
      <c r="F263" s="788"/>
    </row>
    <row r="264" spans="1:6" ht="18.75" x14ac:dyDescent="0.3">
      <c r="A264" s="777" t="s">
        <v>4845</v>
      </c>
      <c r="B264" s="786" t="s">
        <v>4846</v>
      </c>
      <c r="C264" s="787"/>
      <c r="D264" s="711"/>
      <c r="E264" s="787"/>
      <c r="F264" s="788"/>
    </row>
    <row r="265" spans="1:6" ht="18.75" x14ac:dyDescent="0.3">
      <c r="A265" s="777" t="s">
        <v>4847</v>
      </c>
      <c r="B265" s="786" t="s">
        <v>4848</v>
      </c>
      <c r="C265" s="787"/>
      <c r="D265" s="711"/>
      <c r="E265" s="787"/>
      <c r="F265" s="788"/>
    </row>
    <row r="266" spans="1:6" ht="18.75" x14ac:dyDescent="0.3">
      <c r="A266" s="777" t="s">
        <v>4849</v>
      </c>
      <c r="B266" s="786" t="s">
        <v>4850</v>
      </c>
      <c r="C266" s="787"/>
      <c r="D266" s="711"/>
      <c r="E266" s="787"/>
      <c r="F266" s="788"/>
    </row>
    <row r="267" spans="1:6" ht="18.75" x14ac:dyDescent="0.3">
      <c r="A267" s="777" t="s">
        <v>4851</v>
      </c>
      <c r="B267" s="786" t="s">
        <v>4852</v>
      </c>
      <c r="C267" s="787"/>
      <c r="D267" s="711"/>
      <c r="E267" s="787"/>
      <c r="F267" s="788"/>
    </row>
    <row r="268" spans="1:6" ht="18.75" x14ac:dyDescent="0.3">
      <c r="A268" s="777" t="s">
        <v>4853</v>
      </c>
      <c r="B268" s="786" t="s">
        <v>4854</v>
      </c>
      <c r="C268" s="787"/>
      <c r="D268" s="711"/>
      <c r="E268" s="787"/>
      <c r="F268" s="788"/>
    </row>
    <row r="269" spans="1:6" ht="18.75" x14ac:dyDescent="0.3">
      <c r="A269" s="777" t="s">
        <v>4855</v>
      </c>
      <c r="B269" s="786" t="s">
        <v>4856</v>
      </c>
      <c r="C269" s="787"/>
      <c r="D269" s="711"/>
      <c r="E269" s="787"/>
      <c r="F269" s="788"/>
    </row>
    <row r="270" spans="1:6" ht="18.75" x14ac:dyDescent="0.3">
      <c r="A270" s="777" t="s">
        <v>4857</v>
      </c>
      <c r="B270" s="786" t="s">
        <v>4858</v>
      </c>
      <c r="C270" s="787"/>
      <c r="D270" s="711"/>
      <c r="E270" s="787"/>
      <c r="F270" s="788"/>
    </row>
    <row r="271" spans="1:6" ht="18.75" x14ac:dyDescent="0.3">
      <c r="A271" s="777" t="s">
        <v>4859</v>
      </c>
      <c r="B271" s="786" t="s">
        <v>4860</v>
      </c>
      <c r="C271" s="787"/>
      <c r="D271" s="711"/>
      <c r="E271" s="787"/>
      <c r="F271" s="788"/>
    </row>
    <row r="272" spans="1:6" ht="18.75" x14ac:dyDescent="0.3">
      <c r="A272" s="777" t="s">
        <v>4861</v>
      </c>
      <c r="B272" s="786" t="s">
        <v>4862</v>
      </c>
      <c r="C272" s="787"/>
      <c r="D272" s="711"/>
      <c r="E272" s="787"/>
      <c r="F272" s="788"/>
    </row>
    <row r="273" spans="1:7" ht="18.75" x14ac:dyDescent="0.3">
      <c r="A273" s="777" t="s">
        <v>4863</v>
      </c>
      <c r="B273" s="786" t="s">
        <v>4864</v>
      </c>
      <c r="C273" s="787"/>
      <c r="D273" s="711"/>
      <c r="E273" s="787"/>
      <c r="F273" s="788"/>
    </row>
    <row r="274" spans="1:7" ht="18.75" x14ac:dyDescent="0.3">
      <c r="A274" s="777" t="s">
        <v>4865</v>
      </c>
      <c r="B274" s="786" t="s">
        <v>4723</v>
      </c>
      <c r="C274" s="787"/>
      <c r="D274" s="711"/>
      <c r="E274" s="787"/>
      <c r="F274" s="788"/>
    </row>
    <row r="275" spans="1:7" ht="18.75" x14ac:dyDescent="0.3">
      <c r="A275" s="777" t="s">
        <v>4866</v>
      </c>
      <c r="B275" s="786" t="s">
        <v>4734</v>
      </c>
      <c r="C275" s="787"/>
      <c r="D275" s="711"/>
      <c r="E275" s="787"/>
      <c r="F275" s="788"/>
    </row>
    <row r="276" spans="1:7" ht="18.75" x14ac:dyDescent="0.3">
      <c r="A276" s="777" t="s">
        <v>4867</v>
      </c>
      <c r="B276" s="786" t="s">
        <v>4846</v>
      </c>
      <c r="C276" s="787"/>
      <c r="D276" s="711"/>
      <c r="E276" s="787"/>
      <c r="F276" s="788"/>
    </row>
    <row r="277" spans="1:7" ht="18.75" x14ac:dyDescent="0.3">
      <c r="A277" s="777" t="s">
        <v>5009</v>
      </c>
      <c r="B277" s="786">
        <v>103</v>
      </c>
      <c r="C277" s="787"/>
      <c r="D277" s="711"/>
      <c r="E277" s="787"/>
      <c r="F277" s="788"/>
    </row>
    <row r="278" spans="1:7" ht="18.75" x14ac:dyDescent="0.3">
      <c r="A278" s="777" t="s">
        <v>4868</v>
      </c>
      <c r="B278" s="786">
        <v>104</v>
      </c>
      <c r="C278" s="787"/>
      <c r="D278" s="711"/>
      <c r="E278" s="787"/>
      <c r="F278" s="788"/>
    </row>
    <row r="279" spans="1:7" ht="18.75" x14ac:dyDescent="0.3">
      <c r="A279" s="777" t="s">
        <v>4869</v>
      </c>
      <c r="B279" s="786">
        <v>108</v>
      </c>
      <c r="C279" s="787"/>
      <c r="D279" s="711"/>
      <c r="E279" s="787"/>
      <c r="F279" s="788"/>
    </row>
    <row r="280" spans="1:7" ht="18.75" x14ac:dyDescent="0.3">
      <c r="A280" s="777" t="s">
        <v>4870</v>
      </c>
      <c r="B280" s="786">
        <v>112</v>
      </c>
      <c r="C280" s="787"/>
      <c r="D280" s="711"/>
      <c r="E280" s="787"/>
      <c r="F280" s="788"/>
    </row>
    <row r="281" spans="1:7" ht="18.75" x14ac:dyDescent="0.3">
      <c r="A281" s="777" t="s">
        <v>4871</v>
      </c>
      <c r="B281" s="786">
        <v>115</v>
      </c>
      <c r="C281" s="787"/>
      <c r="D281" s="711"/>
      <c r="E281" s="787"/>
      <c r="F281" s="788"/>
    </row>
    <row r="282" spans="1:7" ht="18.75" x14ac:dyDescent="0.3">
      <c r="A282" s="777" t="s">
        <v>4872</v>
      </c>
      <c r="B282" s="786">
        <v>116</v>
      </c>
      <c r="C282" s="787"/>
      <c r="D282" s="711"/>
      <c r="E282" s="787"/>
      <c r="F282" s="788"/>
    </row>
    <row r="283" spans="1:7" ht="18.75" x14ac:dyDescent="0.3">
      <c r="A283" s="777" t="s">
        <v>4873</v>
      </c>
      <c r="B283" s="786">
        <v>611</v>
      </c>
      <c r="C283" s="787"/>
      <c r="D283" s="711"/>
      <c r="E283" s="787"/>
      <c r="F283" s="788"/>
    </row>
    <row r="284" spans="1:7" ht="18.75" x14ac:dyDescent="0.3">
      <c r="A284" s="777" t="s">
        <v>4874</v>
      </c>
      <c r="B284" s="786">
        <v>636</v>
      </c>
      <c r="C284" s="787"/>
      <c r="D284" s="711"/>
      <c r="E284" s="787"/>
      <c r="F284" s="788"/>
    </row>
    <row r="285" spans="1:7" ht="18.75" x14ac:dyDescent="0.3">
      <c r="A285" s="777" t="s">
        <v>4875</v>
      </c>
      <c r="B285" s="786">
        <v>637</v>
      </c>
      <c r="C285" s="787"/>
      <c r="D285" s="711"/>
      <c r="E285" s="787"/>
      <c r="F285" s="788"/>
    </row>
    <row r="286" spans="1:7" ht="18.75" x14ac:dyDescent="0.3">
      <c r="A286" s="778" t="s">
        <v>4876</v>
      </c>
      <c r="B286" s="786"/>
      <c r="C286" s="787"/>
      <c r="D286" s="711"/>
      <c r="E286" s="787"/>
      <c r="F286" s="711"/>
    </row>
    <row r="287" spans="1:7" ht="18.75" x14ac:dyDescent="0.3">
      <c r="A287" s="777" t="s">
        <v>4877</v>
      </c>
      <c r="B287" s="786">
        <v>474</v>
      </c>
      <c r="C287" s="787"/>
      <c r="D287" s="711"/>
      <c r="E287" s="787"/>
      <c r="F287" s="788"/>
    </row>
    <row r="288" spans="1:7" ht="18.75" x14ac:dyDescent="0.3">
      <c r="A288" s="778" t="s">
        <v>4878</v>
      </c>
      <c r="B288" s="786"/>
      <c r="C288" s="787"/>
      <c r="D288" s="711"/>
      <c r="E288" s="787"/>
      <c r="F288" s="711"/>
      <c r="G288" s="804">
        <f>SUM(D289:D303)</f>
        <v>24048740.949999906</v>
      </c>
    </row>
    <row r="289" spans="1:7" ht="18.75" x14ac:dyDescent="0.3">
      <c r="A289" s="777" t="s">
        <v>4879</v>
      </c>
      <c r="B289" s="786">
        <v>476</v>
      </c>
      <c r="C289" s="787"/>
      <c r="D289" s="711"/>
      <c r="E289" s="787"/>
      <c r="F289" s="788"/>
      <c r="G289" s="779">
        <f>SUM(C289:C302)</f>
        <v>277</v>
      </c>
    </row>
    <row r="290" spans="1:7" ht="18.75" x14ac:dyDescent="0.3">
      <c r="A290" s="777" t="s">
        <v>4880</v>
      </c>
      <c r="B290" s="786">
        <v>801</v>
      </c>
      <c r="C290" s="787"/>
      <c r="D290" s="711"/>
      <c r="E290" s="787"/>
      <c r="F290" s="788"/>
    </row>
    <row r="291" spans="1:7" ht="18.75" x14ac:dyDescent="0.3">
      <c r="A291" s="777" t="s">
        <v>4881</v>
      </c>
      <c r="B291" s="786">
        <v>802</v>
      </c>
      <c r="C291" s="787"/>
      <c r="D291" s="711"/>
      <c r="E291" s="787"/>
      <c r="F291" s="788"/>
    </row>
    <row r="292" spans="1:7" ht="18.75" x14ac:dyDescent="0.3">
      <c r="A292" s="777" t="s">
        <v>4882</v>
      </c>
      <c r="B292" s="786" t="s">
        <v>4883</v>
      </c>
      <c r="C292" s="787">
        <v>4</v>
      </c>
      <c r="D292" s="711">
        <f>กีฬา!O8</f>
        <v>60000</v>
      </c>
      <c r="E292" s="787"/>
      <c r="F292" s="788"/>
    </row>
    <row r="293" spans="1:7" ht="18.75" x14ac:dyDescent="0.3">
      <c r="A293" s="777" t="s">
        <v>4884</v>
      </c>
      <c r="B293" s="786">
        <v>806</v>
      </c>
      <c r="C293" s="787"/>
      <c r="D293" s="711"/>
      <c r="E293" s="787"/>
      <c r="F293" s="788"/>
    </row>
    <row r="294" spans="1:7" ht="18.75" x14ac:dyDescent="0.3">
      <c r="A294" s="777" t="s">
        <v>4959</v>
      </c>
      <c r="B294" s="786" t="s">
        <v>4958</v>
      </c>
      <c r="C294" s="787">
        <v>3</v>
      </c>
      <c r="D294" s="711">
        <f>กีฬา!O6</f>
        <v>39186</v>
      </c>
      <c r="E294" s="787"/>
      <c r="F294" s="788"/>
    </row>
    <row r="295" spans="1:7" ht="18.75" x14ac:dyDescent="0.3">
      <c r="A295" s="777" t="s">
        <v>4885</v>
      </c>
      <c r="B295" s="786">
        <v>804</v>
      </c>
      <c r="C295" s="787"/>
      <c r="D295" s="711"/>
      <c r="E295" s="787"/>
      <c r="F295" s="788"/>
    </row>
    <row r="296" spans="1:7" ht="18.75" x14ac:dyDescent="0.3">
      <c r="A296" s="777" t="s">
        <v>4886</v>
      </c>
      <c r="B296" s="786">
        <v>807</v>
      </c>
      <c r="C296" s="787">
        <v>249</v>
      </c>
      <c r="D296" s="711">
        <f>กีฬา!O31</f>
        <v>13603654.949999908</v>
      </c>
      <c r="E296" s="787"/>
      <c r="F296" s="788"/>
    </row>
    <row r="297" spans="1:7" ht="18.75" x14ac:dyDescent="0.3">
      <c r="A297" s="777" t="s">
        <v>4887</v>
      </c>
      <c r="B297" s="786">
        <v>808</v>
      </c>
      <c r="C297" s="787">
        <v>16</v>
      </c>
      <c r="D297" s="711">
        <f>กีฬา!O15</f>
        <v>5593400</v>
      </c>
      <c r="E297" s="787"/>
      <c r="F297" s="788"/>
    </row>
    <row r="298" spans="1:7" ht="18.75" x14ac:dyDescent="0.3">
      <c r="A298" s="777" t="s">
        <v>4888</v>
      </c>
      <c r="B298" s="786">
        <v>809</v>
      </c>
      <c r="C298" s="787"/>
      <c r="D298" s="711"/>
      <c r="E298" s="806"/>
      <c r="F298" s="788"/>
    </row>
    <row r="299" spans="1:7" ht="18.75" x14ac:dyDescent="0.3">
      <c r="A299" s="777" t="s">
        <v>4889</v>
      </c>
      <c r="B299" s="786">
        <v>810</v>
      </c>
      <c r="C299" s="787">
        <v>1</v>
      </c>
      <c r="D299" s="711">
        <f>กีฬา!F280</f>
        <v>9000</v>
      </c>
      <c r="E299" s="787"/>
      <c r="F299" s="788"/>
    </row>
    <row r="300" spans="1:7" ht="18.75" x14ac:dyDescent="0.3">
      <c r="A300" s="777" t="s">
        <v>4961</v>
      </c>
      <c r="B300" s="786" t="s">
        <v>4890</v>
      </c>
      <c r="C300" s="787">
        <v>1</v>
      </c>
      <c r="D300" s="711">
        <f>กีฬา!F12</f>
        <v>17000</v>
      </c>
      <c r="E300" s="787"/>
      <c r="F300" s="788"/>
    </row>
    <row r="301" spans="1:7" ht="18.75" x14ac:dyDescent="0.3">
      <c r="A301" s="777" t="s">
        <v>4960</v>
      </c>
      <c r="B301" s="786" t="s">
        <v>4891</v>
      </c>
      <c r="C301" s="787">
        <v>2</v>
      </c>
      <c r="D301" s="711">
        <f>กีฬา!O13</f>
        <v>26500</v>
      </c>
      <c r="E301" s="787"/>
      <c r="F301" s="788"/>
    </row>
    <row r="302" spans="1:7" ht="18.75" x14ac:dyDescent="0.3">
      <c r="A302" s="807" t="s">
        <v>4892</v>
      </c>
      <c r="B302" s="786" t="s">
        <v>4893</v>
      </c>
      <c r="C302" s="787">
        <v>1</v>
      </c>
      <c r="D302" s="711">
        <f>กีฬา!F282</f>
        <v>4700000</v>
      </c>
      <c r="E302" s="787"/>
      <c r="F302" s="788"/>
    </row>
    <row r="303" spans="1:7" ht="18.75" x14ac:dyDescent="0.3">
      <c r="A303" s="777" t="s">
        <v>4894</v>
      </c>
      <c r="B303" s="786"/>
      <c r="C303" s="787"/>
      <c r="D303" s="711"/>
      <c r="E303" s="787"/>
      <c r="F303" s="788"/>
    </row>
    <row r="304" spans="1:7" ht="18.75" x14ac:dyDescent="0.3">
      <c r="A304" s="778" t="s">
        <v>4895</v>
      </c>
      <c r="B304" s="786"/>
      <c r="C304" s="787"/>
      <c r="D304" s="711"/>
      <c r="E304" s="787"/>
      <c r="F304" s="788"/>
    </row>
    <row r="305" spans="1:6" ht="18.75" x14ac:dyDescent="0.3">
      <c r="A305" s="777" t="s">
        <v>4896</v>
      </c>
      <c r="B305" s="786" t="s">
        <v>4897</v>
      </c>
      <c r="C305" s="787"/>
      <c r="D305" s="711"/>
      <c r="E305" s="787"/>
      <c r="F305" s="788"/>
    </row>
    <row r="306" spans="1:6" ht="18.75" x14ac:dyDescent="0.3">
      <c r="A306" s="777" t="s">
        <v>4898</v>
      </c>
      <c r="B306" s="786" t="s">
        <v>4899</v>
      </c>
      <c r="C306" s="787"/>
      <c r="D306" s="711"/>
      <c r="E306" s="787"/>
      <c r="F306" s="788"/>
    </row>
    <row r="307" spans="1:6" ht="18.75" x14ac:dyDescent="0.3">
      <c r="A307" s="777" t="s">
        <v>4900</v>
      </c>
      <c r="B307" s="786" t="s">
        <v>4901</v>
      </c>
      <c r="C307" s="787"/>
      <c r="D307" s="711"/>
      <c r="E307" s="787"/>
      <c r="F307" s="788"/>
    </row>
    <row r="308" spans="1:6" ht="18.75" x14ac:dyDescent="0.3">
      <c r="A308" s="777" t="s">
        <v>4902</v>
      </c>
      <c r="B308" s="786" t="s">
        <v>4903</v>
      </c>
      <c r="C308" s="787"/>
      <c r="D308" s="711"/>
      <c r="E308" s="787"/>
      <c r="F308" s="788"/>
    </row>
    <row r="309" spans="1:6" ht="18.75" x14ac:dyDescent="0.3">
      <c r="A309" s="777" t="s">
        <v>4904</v>
      </c>
      <c r="B309" s="786" t="s">
        <v>4905</v>
      </c>
      <c r="C309" s="787"/>
      <c r="D309" s="711"/>
      <c r="E309" s="787"/>
      <c r="F309" s="788"/>
    </row>
    <row r="310" spans="1:6" ht="18.75" x14ac:dyDescent="0.3">
      <c r="A310" s="778" t="s">
        <v>4906</v>
      </c>
      <c r="B310" s="786"/>
      <c r="C310" s="787"/>
      <c r="D310" s="711"/>
      <c r="E310" s="787"/>
      <c r="F310" s="788"/>
    </row>
    <row r="311" spans="1:6" ht="18.75" x14ac:dyDescent="0.3">
      <c r="A311" s="777" t="s">
        <v>4907</v>
      </c>
      <c r="B311" s="786">
        <v>901</v>
      </c>
      <c r="C311" s="787"/>
      <c r="D311" s="711"/>
      <c r="E311" s="787"/>
      <c r="F311" s="788"/>
    </row>
    <row r="312" spans="1:6" ht="18.75" x14ac:dyDescent="0.3">
      <c r="A312" s="777" t="s">
        <v>4908</v>
      </c>
      <c r="B312" s="786">
        <v>902</v>
      </c>
      <c r="C312" s="787"/>
      <c r="D312" s="711"/>
      <c r="E312" s="787"/>
      <c r="F312" s="788"/>
    </row>
    <row r="313" spans="1:6" ht="18.75" x14ac:dyDescent="0.3">
      <c r="A313" s="777" t="s">
        <v>4909</v>
      </c>
      <c r="B313" s="786">
        <v>903</v>
      </c>
      <c r="C313" s="787"/>
      <c r="D313" s="711"/>
      <c r="E313" s="787"/>
      <c r="F313" s="788"/>
    </row>
    <row r="314" spans="1:6" ht="18.75" x14ac:dyDescent="0.3">
      <c r="A314" s="777" t="s">
        <v>4910</v>
      </c>
      <c r="B314" s="786">
        <v>904</v>
      </c>
      <c r="C314" s="787"/>
      <c r="D314" s="711"/>
      <c r="E314" s="787"/>
      <c r="F314" s="788"/>
    </row>
    <row r="315" spans="1:6" ht="18.75" x14ac:dyDescent="0.3">
      <c r="A315" s="777" t="s">
        <v>4911</v>
      </c>
      <c r="B315" s="786">
        <v>905</v>
      </c>
      <c r="C315" s="787"/>
      <c r="D315" s="711"/>
      <c r="E315" s="787"/>
      <c r="F315" s="788"/>
    </row>
    <row r="316" spans="1:6" ht="18.75" x14ac:dyDescent="0.3">
      <c r="A316" s="777" t="s">
        <v>4912</v>
      </c>
      <c r="B316" s="786">
        <v>906</v>
      </c>
      <c r="C316" s="787"/>
      <c r="D316" s="711"/>
      <c r="E316" s="787"/>
      <c r="F316" s="788"/>
    </row>
    <row r="317" spans="1:6" ht="18.75" x14ac:dyDescent="0.3">
      <c r="A317" s="777" t="s">
        <v>4913</v>
      </c>
      <c r="B317" s="786">
        <v>907</v>
      </c>
      <c r="C317" s="787"/>
      <c r="D317" s="711"/>
      <c r="E317" s="787"/>
      <c r="F317" s="788"/>
    </row>
    <row r="318" spans="1:6" ht="18.75" x14ac:dyDescent="0.3">
      <c r="A318" s="777" t="s">
        <v>4914</v>
      </c>
      <c r="B318" s="786">
        <v>908</v>
      </c>
      <c r="C318" s="787"/>
      <c r="D318" s="711"/>
      <c r="E318" s="787"/>
      <c r="F318" s="788"/>
    </row>
    <row r="319" spans="1:6" ht="18.75" x14ac:dyDescent="0.3">
      <c r="A319" s="777" t="s">
        <v>4915</v>
      </c>
      <c r="B319" s="786">
        <v>909</v>
      </c>
      <c r="C319" s="787"/>
      <c r="D319" s="711"/>
      <c r="E319" s="787"/>
      <c r="F319" s="788"/>
    </row>
    <row r="320" spans="1:6" ht="18.75" x14ac:dyDescent="0.3">
      <c r="A320" s="777" t="s">
        <v>4916</v>
      </c>
      <c r="B320" s="786">
        <v>910</v>
      </c>
      <c r="C320" s="787"/>
      <c r="D320" s="711"/>
      <c r="E320" s="787"/>
      <c r="F320" s="788"/>
    </row>
    <row r="321" spans="1:7" ht="18.75" x14ac:dyDescent="0.3">
      <c r="A321" s="777" t="s">
        <v>4917</v>
      </c>
      <c r="B321" s="786" t="s">
        <v>4918</v>
      </c>
      <c r="C321" s="787"/>
      <c r="D321" s="711"/>
      <c r="E321" s="787"/>
      <c r="F321" s="788"/>
    </row>
    <row r="322" spans="1:7" ht="18.75" x14ac:dyDescent="0.3">
      <c r="A322" s="777" t="s">
        <v>4919</v>
      </c>
      <c r="B322" s="786" t="s">
        <v>4918</v>
      </c>
      <c r="C322" s="787"/>
      <c r="D322" s="711"/>
      <c r="E322" s="787"/>
      <c r="F322" s="788"/>
    </row>
    <row r="323" spans="1:7" ht="18.75" x14ac:dyDescent="0.3">
      <c r="A323" s="778" t="s">
        <v>4920</v>
      </c>
      <c r="B323" s="786">
        <v>416</v>
      </c>
      <c r="C323" s="787"/>
      <c r="D323" s="711"/>
      <c r="E323" s="787"/>
      <c r="F323" s="788"/>
      <c r="G323" s="804">
        <f>SUM(D324:D345)</f>
        <v>6001896.1799999997</v>
      </c>
    </row>
    <row r="324" spans="1:7" ht="18.75" x14ac:dyDescent="0.3">
      <c r="A324" s="777" t="s">
        <v>4921</v>
      </c>
      <c r="B324" s="786">
        <v>416</v>
      </c>
      <c r="C324" s="787"/>
      <c r="D324" s="711"/>
      <c r="E324" s="787"/>
      <c r="F324" s="788"/>
      <c r="G324" s="779">
        <f>SUM(C324:C345)</f>
        <v>290</v>
      </c>
    </row>
    <row r="325" spans="1:7" ht="18.75" x14ac:dyDescent="0.3">
      <c r="A325" s="777" t="s">
        <v>4922</v>
      </c>
      <c r="B325" s="786">
        <v>416</v>
      </c>
      <c r="C325" s="787"/>
      <c r="D325" s="711"/>
      <c r="E325" s="787"/>
      <c r="F325" s="788"/>
    </row>
    <row r="326" spans="1:7" ht="18.75" x14ac:dyDescent="0.3">
      <c r="A326" s="777" t="s">
        <v>4983</v>
      </c>
      <c r="B326" s="786" t="s">
        <v>4984</v>
      </c>
      <c r="C326" s="787">
        <v>8</v>
      </c>
      <c r="D326" s="711">
        <v>53350</v>
      </c>
      <c r="E326" s="787"/>
      <c r="F326" s="788"/>
    </row>
    <row r="327" spans="1:7" ht="18.75" x14ac:dyDescent="0.3">
      <c r="A327" s="777" t="s">
        <v>4923</v>
      </c>
      <c r="B327" s="786">
        <v>416</v>
      </c>
      <c r="C327" s="787"/>
      <c r="D327" s="711"/>
      <c r="E327" s="787"/>
      <c r="F327" s="788"/>
    </row>
    <row r="328" spans="1:7" ht="18.75" x14ac:dyDescent="0.3">
      <c r="A328" s="777" t="s">
        <v>4924</v>
      </c>
      <c r="B328" s="786">
        <v>416</v>
      </c>
      <c r="C328" s="787"/>
      <c r="D328" s="711"/>
      <c r="E328" s="787"/>
      <c r="F328" s="788"/>
    </row>
    <row r="329" spans="1:7" ht="18.75" x14ac:dyDescent="0.3">
      <c r="A329" s="777" t="s">
        <v>4925</v>
      </c>
      <c r="B329" s="786">
        <v>416</v>
      </c>
      <c r="C329" s="787">
        <v>5</v>
      </c>
      <c r="D329" s="711">
        <v>428114.18</v>
      </c>
      <c r="E329" s="787"/>
      <c r="F329" s="788"/>
    </row>
    <row r="330" spans="1:7" ht="18.75" x14ac:dyDescent="0.3">
      <c r="A330" s="777" t="s">
        <v>4980</v>
      </c>
      <c r="B330" s="786">
        <v>416</v>
      </c>
      <c r="C330" s="787">
        <v>105</v>
      </c>
      <c r="D330" s="711">
        <v>2610513</v>
      </c>
      <c r="E330" s="787"/>
      <c r="F330" s="788"/>
    </row>
    <row r="331" spans="1:7" ht="18.75" x14ac:dyDescent="0.3">
      <c r="A331" s="777" t="s">
        <v>4981</v>
      </c>
      <c r="B331" s="786">
        <v>416</v>
      </c>
      <c r="C331" s="787">
        <v>67</v>
      </c>
      <c r="D331" s="711">
        <v>395910</v>
      </c>
      <c r="E331" s="787"/>
      <c r="F331" s="788"/>
    </row>
    <row r="332" spans="1:7" ht="18.75" x14ac:dyDescent="0.3">
      <c r="A332" s="777" t="s">
        <v>4982</v>
      </c>
      <c r="B332" s="786">
        <v>416</v>
      </c>
      <c r="C332" s="787">
        <v>48</v>
      </c>
      <c r="D332" s="711">
        <v>175005</v>
      </c>
      <c r="E332" s="787">
        <v>1</v>
      </c>
      <c r="F332" s="788">
        <f>SUM(ต่ำกว่าเกณฑ์67!E68)</f>
        <v>4800</v>
      </c>
    </row>
    <row r="333" spans="1:7" ht="18.75" x14ac:dyDescent="0.3">
      <c r="A333" s="777" t="s">
        <v>4989</v>
      </c>
      <c r="B333" s="786">
        <v>416</v>
      </c>
      <c r="C333" s="787">
        <v>39</v>
      </c>
      <c r="D333" s="711">
        <v>376450</v>
      </c>
      <c r="E333" s="787">
        <v>1</v>
      </c>
      <c r="F333" s="788">
        <f>ต่ำกว่าเกณฑ์67!E69</f>
        <v>3200</v>
      </c>
    </row>
    <row r="334" spans="1:7" ht="18.75" x14ac:dyDescent="0.3">
      <c r="A334" s="777" t="s">
        <v>4990</v>
      </c>
      <c r="B334" s="786" t="s">
        <v>4984</v>
      </c>
      <c r="C334" s="787">
        <v>2</v>
      </c>
      <c r="D334" s="711">
        <v>638220</v>
      </c>
      <c r="E334" s="787"/>
      <c r="F334" s="788"/>
    </row>
    <row r="335" spans="1:7" ht="18.75" x14ac:dyDescent="0.3">
      <c r="A335" s="777" t="s">
        <v>4991</v>
      </c>
      <c r="B335" s="786" t="s">
        <v>4984</v>
      </c>
      <c r="C335" s="787">
        <v>1</v>
      </c>
      <c r="D335" s="711">
        <v>3000</v>
      </c>
      <c r="E335" s="787"/>
      <c r="F335" s="788"/>
    </row>
    <row r="336" spans="1:7" ht="18.75" x14ac:dyDescent="0.3">
      <c r="A336" s="777" t="s">
        <v>4992</v>
      </c>
      <c r="B336" s="786" t="s">
        <v>4984</v>
      </c>
      <c r="C336" s="787">
        <v>3</v>
      </c>
      <c r="D336" s="711">
        <v>22470</v>
      </c>
      <c r="E336" s="787"/>
      <c r="F336" s="788"/>
    </row>
    <row r="337" spans="1:7" ht="18.75" x14ac:dyDescent="0.3">
      <c r="A337" s="777" t="s">
        <v>4993</v>
      </c>
      <c r="B337" s="786" t="s">
        <v>4984</v>
      </c>
      <c r="C337" s="787">
        <v>1</v>
      </c>
      <c r="D337" s="711">
        <v>46250</v>
      </c>
      <c r="E337" s="787"/>
      <c r="F337" s="788"/>
    </row>
    <row r="338" spans="1:7" ht="18.75" x14ac:dyDescent="0.3">
      <c r="A338" s="777" t="s">
        <v>4994</v>
      </c>
      <c r="B338" s="786" t="s">
        <v>4984</v>
      </c>
      <c r="C338" s="787">
        <v>2</v>
      </c>
      <c r="D338" s="711">
        <v>122515</v>
      </c>
      <c r="E338" s="787"/>
      <c r="F338" s="788"/>
    </row>
    <row r="339" spans="1:7" ht="18.75" x14ac:dyDescent="0.3">
      <c r="A339" s="777" t="s">
        <v>4995</v>
      </c>
      <c r="B339" s="786" t="s">
        <v>4984</v>
      </c>
      <c r="C339" s="787">
        <v>1</v>
      </c>
      <c r="D339" s="711">
        <v>1605</v>
      </c>
      <c r="E339" s="787"/>
      <c r="F339" s="788"/>
    </row>
    <row r="340" spans="1:7" ht="18.75" x14ac:dyDescent="0.3">
      <c r="A340" s="777" t="s">
        <v>4996</v>
      </c>
      <c r="B340" s="786" t="s">
        <v>4984</v>
      </c>
      <c r="C340" s="787">
        <v>1</v>
      </c>
      <c r="D340" s="711">
        <v>2664</v>
      </c>
      <c r="E340" s="787"/>
      <c r="F340" s="788"/>
    </row>
    <row r="341" spans="1:7" ht="18.75" x14ac:dyDescent="0.3">
      <c r="A341" s="777" t="s">
        <v>4997</v>
      </c>
      <c r="B341" s="786" t="s">
        <v>4984</v>
      </c>
      <c r="C341" s="787">
        <v>3</v>
      </c>
      <c r="D341" s="711">
        <v>845456</v>
      </c>
      <c r="E341" s="787"/>
      <c r="F341" s="788"/>
    </row>
    <row r="342" spans="1:7" ht="18.75" x14ac:dyDescent="0.3">
      <c r="A342" s="777" t="s">
        <v>4998</v>
      </c>
      <c r="B342" s="786" t="s">
        <v>4984</v>
      </c>
      <c r="C342" s="787">
        <v>1</v>
      </c>
      <c r="D342" s="711">
        <v>5884</v>
      </c>
      <c r="E342" s="787"/>
      <c r="F342" s="788"/>
    </row>
    <row r="343" spans="1:7" ht="18.75" x14ac:dyDescent="0.3">
      <c r="A343" s="777" t="s">
        <v>4999</v>
      </c>
      <c r="B343" s="786" t="s">
        <v>4984</v>
      </c>
      <c r="C343" s="787">
        <v>1</v>
      </c>
      <c r="D343" s="711">
        <v>7490</v>
      </c>
      <c r="E343" s="787"/>
      <c r="F343" s="788"/>
    </row>
    <row r="344" spans="1:7" ht="18.75" x14ac:dyDescent="0.3">
      <c r="A344" s="777" t="s">
        <v>4986</v>
      </c>
      <c r="B344" s="786" t="s">
        <v>4988</v>
      </c>
      <c r="C344" s="787">
        <v>1</v>
      </c>
      <c r="D344" s="711">
        <v>18000</v>
      </c>
      <c r="E344" s="787"/>
      <c r="F344" s="788"/>
    </row>
    <row r="345" spans="1:7" ht="18.75" x14ac:dyDescent="0.3">
      <c r="A345" s="777" t="s">
        <v>4987</v>
      </c>
      <c r="B345" s="786" t="s">
        <v>4985</v>
      </c>
      <c r="C345" s="787">
        <v>1</v>
      </c>
      <c r="D345" s="711">
        <v>249000</v>
      </c>
      <c r="E345" s="787"/>
      <c r="F345" s="788"/>
    </row>
    <row r="346" spans="1:7" ht="18.75" x14ac:dyDescent="0.3">
      <c r="A346" s="778" t="s">
        <v>4926</v>
      </c>
      <c r="B346" s="786"/>
      <c r="C346" s="787"/>
      <c r="D346" s="711"/>
      <c r="E346" s="787"/>
      <c r="F346" s="788"/>
    </row>
    <row r="347" spans="1:7" ht="18.75" x14ac:dyDescent="0.3">
      <c r="A347" s="777" t="s">
        <v>4927</v>
      </c>
      <c r="B347" s="786" t="s">
        <v>4928</v>
      </c>
      <c r="C347" s="787"/>
      <c r="D347" s="711"/>
      <c r="E347" s="787"/>
      <c r="F347" s="788"/>
    </row>
    <row r="348" spans="1:7" ht="18.75" x14ac:dyDescent="0.3">
      <c r="A348" s="778" t="s">
        <v>4929</v>
      </c>
      <c r="B348" s="786"/>
      <c r="C348" s="787"/>
      <c r="D348" s="711"/>
      <c r="E348" s="787"/>
      <c r="F348" s="788"/>
      <c r="G348" s="804">
        <f>SUM(D349:D356)</f>
        <v>982556</v>
      </c>
    </row>
    <row r="349" spans="1:7" ht="18.75" x14ac:dyDescent="0.3">
      <c r="A349" s="777" t="s">
        <v>4930</v>
      </c>
      <c r="B349" s="786">
        <v>114</v>
      </c>
      <c r="C349" s="787"/>
      <c r="D349" s="711"/>
      <c r="E349" s="787"/>
      <c r="F349" s="788"/>
      <c r="G349" s="779">
        <f>SUM(C349:C356)</f>
        <v>11</v>
      </c>
    </row>
    <row r="350" spans="1:7" ht="18.75" x14ac:dyDescent="0.3">
      <c r="A350" s="789" t="s">
        <v>4931</v>
      </c>
      <c r="B350" s="790">
        <v>200</v>
      </c>
      <c r="C350" s="787"/>
      <c r="D350" s="711"/>
      <c r="E350" s="787"/>
      <c r="F350" s="788"/>
    </row>
    <row r="351" spans="1:7" ht="18.75" x14ac:dyDescent="0.3">
      <c r="A351" s="808" t="s">
        <v>4932</v>
      </c>
      <c r="B351" s="809">
        <v>203</v>
      </c>
      <c r="C351" s="787">
        <v>2</v>
      </c>
      <c r="D351" s="711">
        <f>อื่นๆ!O7</f>
        <v>720000</v>
      </c>
      <c r="E351" s="787"/>
      <c r="F351" s="788"/>
    </row>
    <row r="352" spans="1:7" ht="18.75" x14ac:dyDescent="0.3">
      <c r="A352" s="810" t="s">
        <v>4933</v>
      </c>
      <c r="B352" s="811">
        <v>279</v>
      </c>
      <c r="C352" s="787"/>
      <c r="D352" s="711"/>
      <c r="E352" s="787"/>
      <c r="F352" s="788"/>
    </row>
    <row r="353" spans="1:6" ht="18.75" x14ac:dyDescent="0.3">
      <c r="A353" s="777" t="s">
        <v>4934</v>
      </c>
      <c r="B353" s="786">
        <v>472</v>
      </c>
      <c r="C353" s="787">
        <v>4</v>
      </c>
      <c r="D353" s="711">
        <f>อื่นๆ!O9</f>
        <v>11556</v>
      </c>
      <c r="E353" s="787"/>
      <c r="F353" s="788"/>
    </row>
    <row r="354" spans="1:6" ht="18.75" x14ac:dyDescent="0.3">
      <c r="A354" s="789" t="s">
        <v>5000</v>
      </c>
      <c r="B354" s="790" t="s">
        <v>4935</v>
      </c>
      <c r="C354" s="787">
        <v>1</v>
      </c>
      <c r="D354" s="711">
        <f>อื่นๆ!F8</f>
        <v>18000</v>
      </c>
      <c r="E354" s="787"/>
      <c r="F354" s="788"/>
    </row>
    <row r="355" spans="1:6" ht="18.75" x14ac:dyDescent="0.3">
      <c r="A355" s="789" t="s">
        <v>4936</v>
      </c>
      <c r="B355" s="790" t="s">
        <v>4655</v>
      </c>
      <c r="C355" s="787">
        <v>4</v>
      </c>
      <c r="D355" s="711">
        <f>อื่นๆ!O16</f>
        <v>233000</v>
      </c>
      <c r="E355" s="787"/>
      <c r="F355" s="788"/>
    </row>
    <row r="356" spans="1:6" ht="18.75" x14ac:dyDescent="0.3">
      <c r="A356" s="793" t="s">
        <v>4937</v>
      </c>
      <c r="B356" s="809">
        <v>488</v>
      </c>
      <c r="C356" s="787"/>
      <c r="D356" s="711"/>
      <c r="E356" s="787"/>
      <c r="F356" s="788"/>
    </row>
    <row r="357" spans="1:6" ht="19.5" thickBot="1" x14ac:dyDescent="0.35">
      <c r="A357" s="794" t="s">
        <v>4938</v>
      </c>
      <c r="B357" s="795"/>
      <c r="C357" s="798">
        <f>SUM(C46:C356)</f>
        <v>1733</v>
      </c>
      <c r="D357" s="812">
        <f>SUM(D46:D356)</f>
        <v>51482455.509999909</v>
      </c>
      <c r="E357" s="798">
        <f>SUM(E46:E356)</f>
        <v>77</v>
      </c>
      <c r="F357" s="812">
        <f>SUM(F46:F356)</f>
        <v>209871.30541871922</v>
      </c>
    </row>
    <row r="358" spans="1:6" ht="18.75" thickTop="1" x14ac:dyDescent="0.25"/>
  </sheetData>
  <mergeCells count="7">
    <mergeCell ref="A1:F1"/>
    <mergeCell ref="A2:F2"/>
    <mergeCell ref="A3:F3"/>
    <mergeCell ref="A4:A5"/>
    <mergeCell ref="B4:B5"/>
    <mergeCell ref="C4:D4"/>
    <mergeCell ref="E4:F4"/>
  </mergeCells>
  <pageMargins left="0.59055118110236227" right="0.19685039370078741" top="0.74803149606299213" bottom="0.74803149606299213" header="0.31496062992125984" footer="0.31496062992125984"/>
  <pageSetup paperSize="9" scale="9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P871"/>
  <sheetViews>
    <sheetView tabSelected="1" topLeftCell="A862" zoomScale="106" zoomScaleNormal="106" workbookViewId="0">
      <selection activeCell="O722" sqref="O722"/>
    </sheetView>
  </sheetViews>
  <sheetFormatPr defaultRowHeight="14.25" x14ac:dyDescent="0.2"/>
  <cols>
    <col min="1" max="1" width="7.28515625" style="370" customWidth="1"/>
    <col min="2" max="2" width="42.140625" style="415" customWidth="1"/>
    <col min="3" max="3" width="16.7109375" style="415" customWidth="1"/>
    <col min="4" max="4" width="13.42578125" style="415" customWidth="1"/>
    <col min="5" max="5" width="14.7109375" style="415" customWidth="1"/>
    <col min="6" max="6" width="15.85546875" style="415" bestFit="1" customWidth="1"/>
    <col min="7" max="7" width="17.85546875" style="415" customWidth="1"/>
    <col min="8" max="13" width="3.5703125" style="415" customWidth="1"/>
    <col min="14" max="14" width="15.140625" style="415" customWidth="1"/>
    <col min="15" max="15" width="13.140625" style="415" bestFit="1" customWidth="1"/>
    <col min="16" max="16" width="11" style="415" bestFit="1" customWidth="1"/>
    <col min="17" max="16384" width="9.140625" style="415"/>
  </cols>
  <sheetData>
    <row r="1" spans="1:14" s="359" customFormat="1" ht="18.75" x14ac:dyDescent="0.3">
      <c r="A1" s="915" t="s">
        <v>185</v>
      </c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</row>
    <row r="2" spans="1:14" s="359" customFormat="1" ht="18.75" x14ac:dyDescent="0.3">
      <c r="A2" s="915" t="s">
        <v>186</v>
      </c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</row>
    <row r="3" spans="1:14" s="359" customFormat="1" ht="18.75" x14ac:dyDescent="0.3">
      <c r="A3" s="914" t="s">
        <v>36</v>
      </c>
      <c r="B3" s="914"/>
      <c r="C3" s="914"/>
      <c r="D3" s="914"/>
      <c r="E3" s="914"/>
      <c r="F3" s="914"/>
      <c r="G3" s="914"/>
      <c r="H3" s="914"/>
      <c r="I3" s="914"/>
      <c r="J3" s="914"/>
      <c r="K3" s="914"/>
      <c r="L3" s="914"/>
      <c r="M3" s="914"/>
      <c r="N3" s="914"/>
    </row>
    <row r="4" spans="1:14" s="336" customFormat="1" ht="21" x14ac:dyDescent="0.3">
      <c r="A4" s="916" t="s">
        <v>0</v>
      </c>
      <c r="B4" s="918" t="s">
        <v>1</v>
      </c>
      <c r="C4" s="920" t="s">
        <v>187</v>
      </c>
      <c r="D4" s="918" t="s">
        <v>188</v>
      </c>
      <c r="E4" s="922" t="s">
        <v>189</v>
      </c>
      <c r="F4" s="924" t="s">
        <v>2</v>
      </c>
      <c r="G4" s="926" t="s">
        <v>4</v>
      </c>
      <c r="H4" s="928" t="s">
        <v>190</v>
      </c>
      <c r="I4" s="928"/>
      <c r="J4" s="928"/>
      <c r="K4" s="928"/>
      <c r="L4" s="928"/>
      <c r="M4" s="928"/>
      <c r="N4" s="928"/>
    </row>
    <row r="5" spans="1:14" s="336" customFormat="1" ht="76.5" x14ac:dyDescent="0.3">
      <c r="A5" s="917"/>
      <c r="B5" s="919"/>
      <c r="C5" s="921"/>
      <c r="D5" s="919"/>
      <c r="E5" s="923"/>
      <c r="F5" s="925"/>
      <c r="G5" s="927"/>
      <c r="H5" s="433" t="s">
        <v>191</v>
      </c>
      <c r="I5" s="433" t="s">
        <v>192</v>
      </c>
      <c r="J5" s="433" t="s">
        <v>193</v>
      </c>
      <c r="K5" s="433" t="s">
        <v>194</v>
      </c>
      <c r="L5" s="433" t="s">
        <v>195</v>
      </c>
      <c r="M5" s="433" t="s">
        <v>196</v>
      </c>
      <c r="N5" s="434" t="s">
        <v>3</v>
      </c>
    </row>
    <row r="6" spans="1:14" s="373" customFormat="1" ht="37.5" x14ac:dyDescent="0.2">
      <c r="A6" s="32">
        <f>ROW()-ROW(สำนักงาน!$A$6)+1</f>
        <v>1</v>
      </c>
      <c r="B6" s="52" t="s">
        <v>2890</v>
      </c>
      <c r="C6" s="32" t="s">
        <v>2891</v>
      </c>
      <c r="D6" s="32" t="s">
        <v>2892</v>
      </c>
      <c r="E6" s="53" t="s">
        <v>2862</v>
      </c>
      <c r="F6" s="54">
        <v>4815</v>
      </c>
      <c r="G6" s="32" t="s">
        <v>2893</v>
      </c>
      <c r="H6" s="479" t="s">
        <v>4256</v>
      </c>
      <c r="I6" s="32"/>
      <c r="J6" s="32"/>
      <c r="K6" s="32"/>
      <c r="L6" s="32"/>
      <c r="M6" s="32"/>
      <c r="N6" s="285" t="s">
        <v>3868</v>
      </c>
    </row>
    <row r="7" spans="1:14" s="373" customFormat="1" ht="37.5" x14ac:dyDescent="0.2">
      <c r="A7" s="32">
        <f>ROW()-ROW(สำนักงาน!$A$6)+1</f>
        <v>2</v>
      </c>
      <c r="B7" s="52" t="s">
        <v>2890</v>
      </c>
      <c r="C7" s="32" t="s">
        <v>2894</v>
      </c>
      <c r="D7" s="32" t="s">
        <v>2895</v>
      </c>
      <c r="E7" s="53" t="s">
        <v>2862</v>
      </c>
      <c r="F7" s="54">
        <v>4815</v>
      </c>
      <c r="G7" s="32" t="s">
        <v>2893</v>
      </c>
      <c r="H7" s="479" t="s">
        <v>4256</v>
      </c>
      <c r="I7" s="32"/>
      <c r="J7" s="32"/>
      <c r="K7" s="32"/>
      <c r="L7" s="32"/>
      <c r="M7" s="32"/>
      <c r="N7" s="285" t="s">
        <v>3869</v>
      </c>
    </row>
    <row r="8" spans="1:14" s="373" customFormat="1" ht="37.5" x14ac:dyDescent="0.2">
      <c r="A8" s="32">
        <f>ROW()-ROW(สำนักงาน!$A$6)+1</f>
        <v>3</v>
      </c>
      <c r="B8" s="52" t="s">
        <v>2890</v>
      </c>
      <c r="C8" s="32" t="s">
        <v>2896</v>
      </c>
      <c r="D8" s="32" t="s">
        <v>2897</v>
      </c>
      <c r="E8" s="53" t="s">
        <v>2862</v>
      </c>
      <c r="F8" s="54">
        <v>5136</v>
      </c>
      <c r="G8" s="32" t="s">
        <v>2893</v>
      </c>
      <c r="H8" s="479" t="s">
        <v>4256</v>
      </c>
      <c r="I8" s="32"/>
      <c r="J8" s="32"/>
      <c r="K8" s="32"/>
      <c r="L8" s="32"/>
      <c r="M8" s="32"/>
      <c r="N8" s="285" t="s">
        <v>3870</v>
      </c>
    </row>
    <row r="9" spans="1:14" s="373" customFormat="1" ht="37.5" x14ac:dyDescent="0.2">
      <c r="A9" s="32">
        <f>ROW()-ROW(สำนักงาน!$A$6)+1</f>
        <v>4</v>
      </c>
      <c r="B9" s="52" t="s">
        <v>2890</v>
      </c>
      <c r="C9" s="32" t="s">
        <v>2898</v>
      </c>
      <c r="D9" s="32" t="s">
        <v>2899</v>
      </c>
      <c r="E9" s="53" t="s">
        <v>2862</v>
      </c>
      <c r="F9" s="54">
        <v>5136</v>
      </c>
      <c r="G9" s="32" t="s">
        <v>2893</v>
      </c>
      <c r="H9" s="479" t="s">
        <v>4256</v>
      </c>
      <c r="I9" s="32"/>
      <c r="J9" s="32"/>
      <c r="K9" s="32"/>
      <c r="L9" s="32"/>
      <c r="M9" s="32"/>
      <c r="N9" s="285" t="s">
        <v>3871</v>
      </c>
    </row>
    <row r="10" spans="1:14" s="373" customFormat="1" ht="37.5" x14ac:dyDescent="0.2">
      <c r="A10" s="32">
        <f>ROW()-ROW(สำนักงาน!$A$6)+1</f>
        <v>5</v>
      </c>
      <c r="B10" s="52" t="s">
        <v>2890</v>
      </c>
      <c r="C10" s="32" t="s">
        <v>2900</v>
      </c>
      <c r="D10" s="32" t="s">
        <v>2901</v>
      </c>
      <c r="E10" s="53" t="s">
        <v>2862</v>
      </c>
      <c r="F10" s="54">
        <v>5136</v>
      </c>
      <c r="G10" s="32" t="s">
        <v>2893</v>
      </c>
      <c r="H10" s="479" t="s">
        <v>4256</v>
      </c>
      <c r="I10" s="32"/>
      <c r="J10" s="32"/>
      <c r="K10" s="32"/>
      <c r="L10" s="32"/>
      <c r="M10" s="32"/>
      <c r="N10" s="285" t="s">
        <v>3844</v>
      </c>
    </row>
    <row r="11" spans="1:14" s="373" customFormat="1" ht="37.5" x14ac:dyDescent="0.2">
      <c r="A11" s="32">
        <f>ROW()-ROW(สำนักงาน!$A$6)+1</f>
        <v>6</v>
      </c>
      <c r="B11" s="52" t="s">
        <v>2890</v>
      </c>
      <c r="C11" s="32" t="s">
        <v>2902</v>
      </c>
      <c r="D11" s="32" t="s">
        <v>2903</v>
      </c>
      <c r="E11" s="53" t="s">
        <v>2862</v>
      </c>
      <c r="F11" s="54">
        <v>5136</v>
      </c>
      <c r="G11" s="32" t="s">
        <v>2893</v>
      </c>
      <c r="H11" s="479" t="s">
        <v>4256</v>
      </c>
      <c r="I11" s="32"/>
      <c r="J11" s="32"/>
      <c r="K11" s="32"/>
      <c r="L11" s="32"/>
      <c r="M11" s="32"/>
      <c r="N11" s="285" t="s">
        <v>3872</v>
      </c>
    </row>
    <row r="12" spans="1:14" s="373" customFormat="1" ht="37.5" x14ac:dyDescent="0.2">
      <c r="A12" s="32">
        <f>ROW()-ROW(สำนักงาน!$A$6)+1</f>
        <v>7</v>
      </c>
      <c r="B12" s="52" t="s">
        <v>2890</v>
      </c>
      <c r="C12" s="32" t="s">
        <v>2904</v>
      </c>
      <c r="D12" s="32" t="s">
        <v>2905</v>
      </c>
      <c r="E12" s="53" t="s">
        <v>2862</v>
      </c>
      <c r="F12" s="54">
        <v>5136</v>
      </c>
      <c r="G12" s="32" t="s">
        <v>2893</v>
      </c>
      <c r="H12" s="479" t="s">
        <v>4256</v>
      </c>
      <c r="I12" s="32"/>
      <c r="J12" s="32"/>
      <c r="K12" s="32"/>
      <c r="L12" s="32"/>
      <c r="M12" s="32"/>
      <c r="N12" s="285" t="s">
        <v>3868</v>
      </c>
    </row>
    <row r="13" spans="1:14" s="373" customFormat="1" ht="37.5" x14ac:dyDescent="0.2">
      <c r="A13" s="32">
        <f>ROW()-ROW(สำนักงาน!$A$6)+1</f>
        <v>8</v>
      </c>
      <c r="B13" s="52" t="s">
        <v>2890</v>
      </c>
      <c r="C13" s="32" t="s">
        <v>2906</v>
      </c>
      <c r="D13" s="32" t="s">
        <v>2907</v>
      </c>
      <c r="E13" s="53" t="s">
        <v>2862</v>
      </c>
      <c r="F13" s="54">
        <v>5136</v>
      </c>
      <c r="G13" s="32" t="s">
        <v>2893</v>
      </c>
      <c r="H13" s="479" t="s">
        <v>4256</v>
      </c>
      <c r="I13" s="32"/>
      <c r="J13" s="32"/>
      <c r="K13" s="32"/>
      <c r="L13" s="32"/>
      <c r="M13" s="32"/>
      <c r="N13" s="285" t="s">
        <v>3866</v>
      </c>
    </row>
    <row r="14" spans="1:14" s="373" customFormat="1" ht="37.5" x14ac:dyDescent="0.2">
      <c r="A14" s="32">
        <f>ROW()-ROW(สำนักงาน!$A$6)+1</f>
        <v>9</v>
      </c>
      <c r="B14" s="52" t="s">
        <v>2890</v>
      </c>
      <c r="C14" s="32" t="s">
        <v>2908</v>
      </c>
      <c r="D14" s="32" t="s">
        <v>2909</v>
      </c>
      <c r="E14" s="53" t="s">
        <v>2862</v>
      </c>
      <c r="F14" s="54">
        <v>5136</v>
      </c>
      <c r="G14" s="32" t="s">
        <v>2893</v>
      </c>
      <c r="H14" s="479" t="s">
        <v>4256</v>
      </c>
      <c r="I14" s="32"/>
      <c r="J14" s="32"/>
      <c r="K14" s="32"/>
      <c r="L14" s="32"/>
      <c r="M14" s="32"/>
      <c r="N14" s="285" t="s">
        <v>3873</v>
      </c>
    </row>
    <row r="15" spans="1:14" s="373" customFormat="1" ht="37.5" x14ac:dyDescent="0.2">
      <c r="A15" s="32">
        <f>ROW()-ROW(สำนักงาน!$A$6)+1</f>
        <v>10</v>
      </c>
      <c r="B15" s="52" t="s">
        <v>2890</v>
      </c>
      <c r="C15" s="32" t="s">
        <v>2910</v>
      </c>
      <c r="D15" s="32" t="s">
        <v>2911</v>
      </c>
      <c r="E15" s="53" t="s">
        <v>2862</v>
      </c>
      <c r="F15" s="54">
        <v>5136</v>
      </c>
      <c r="G15" s="32" t="s">
        <v>2893</v>
      </c>
      <c r="H15" s="479" t="s">
        <v>4256</v>
      </c>
      <c r="I15" s="32"/>
      <c r="J15" s="32"/>
      <c r="K15" s="32"/>
      <c r="L15" s="32"/>
      <c r="M15" s="32"/>
      <c r="N15" s="285" t="s">
        <v>3836</v>
      </c>
    </row>
    <row r="16" spans="1:14" s="373" customFormat="1" ht="37.5" x14ac:dyDescent="0.2">
      <c r="A16" s="32">
        <f>ROW()-ROW(สำนักงาน!$A$6)+1</f>
        <v>11</v>
      </c>
      <c r="B16" s="52" t="s">
        <v>2890</v>
      </c>
      <c r="C16" s="32" t="s">
        <v>2912</v>
      </c>
      <c r="D16" s="32" t="s">
        <v>2913</v>
      </c>
      <c r="E16" s="53" t="s">
        <v>2862</v>
      </c>
      <c r="F16" s="54">
        <v>5671</v>
      </c>
      <c r="G16" s="32" t="s">
        <v>2893</v>
      </c>
      <c r="H16" s="479" t="s">
        <v>4256</v>
      </c>
      <c r="I16" s="32"/>
      <c r="J16" s="32"/>
      <c r="K16" s="32"/>
      <c r="L16" s="32"/>
      <c r="M16" s="32"/>
      <c r="N16" s="285" t="s">
        <v>3835</v>
      </c>
    </row>
    <row r="17" spans="1:15" s="373" customFormat="1" ht="37.5" x14ac:dyDescent="0.2">
      <c r="A17" s="32">
        <f>ROW()-ROW(สำนักงาน!$A$6)+1</f>
        <v>12</v>
      </c>
      <c r="B17" s="52" t="s">
        <v>2890</v>
      </c>
      <c r="C17" s="32" t="s">
        <v>2914</v>
      </c>
      <c r="D17" s="32" t="s">
        <v>2915</v>
      </c>
      <c r="E17" s="53" t="s">
        <v>2862</v>
      </c>
      <c r="F17" s="54">
        <v>6206</v>
      </c>
      <c r="G17" s="32" t="s">
        <v>2893</v>
      </c>
      <c r="H17" s="479" t="s">
        <v>4256</v>
      </c>
      <c r="I17" s="32"/>
      <c r="J17" s="32"/>
      <c r="K17" s="32"/>
      <c r="L17" s="32"/>
      <c r="M17" s="32"/>
      <c r="N17" s="285" t="s">
        <v>3874</v>
      </c>
    </row>
    <row r="18" spans="1:15" s="373" customFormat="1" ht="18.75" x14ac:dyDescent="0.2">
      <c r="A18" s="32">
        <f>ROW()-ROW(สำนักงาน!$A$6)+1</f>
        <v>13</v>
      </c>
      <c r="B18" s="52" t="s">
        <v>2916</v>
      </c>
      <c r="C18" s="32" t="s">
        <v>2917</v>
      </c>
      <c r="D18" s="32" t="s">
        <v>2918</v>
      </c>
      <c r="E18" s="53" t="s">
        <v>2862</v>
      </c>
      <c r="F18" s="54">
        <v>2354</v>
      </c>
      <c r="G18" s="32" t="s">
        <v>2893</v>
      </c>
      <c r="H18" s="479" t="s">
        <v>4256</v>
      </c>
      <c r="I18" s="32"/>
      <c r="J18" s="32"/>
      <c r="K18" s="32"/>
      <c r="L18" s="32"/>
      <c r="M18" s="32"/>
      <c r="N18" s="285" t="s">
        <v>3874</v>
      </c>
    </row>
    <row r="19" spans="1:15" s="373" customFormat="1" ht="18.75" x14ac:dyDescent="0.2">
      <c r="A19" s="32">
        <f>ROW()-ROW(สำนักงาน!$A$6)+1</f>
        <v>14</v>
      </c>
      <c r="B19" s="52" t="s">
        <v>2916</v>
      </c>
      <c r="C19" s="32" t="s">
        <v>2919</v>
      </c>
      <c r="D19" s="32" t="s">
        <v>2920</v>
      </c>
      <c r="E19" s="53" t="s">
        <v>2862</v>
      </c>
      <c r="F19" s="54">
        <v>2354</v>
      </c>
      <c r="G19" s="32" t="s">
        <v>2893</v>
      </c>
      <c r="H19" s="479" t="s">
        <v>4256</v>
      </c>
      <c r="I19" s="32"/>
      <c r="J19" s="32"/>
      <c r="K19" s="32"/>
      <c r="L19" s="32"/>
      <c r="M19" s="32"/>
      <c r="N19" s="285" t="s">
        <v>3863</v>
      </c>
    </row>
    <row r="20" spans="1:15" s="373" customFormat="1" ht="18.75" x14ac:dyDescent="0.2">
      <c r="A20" s="32">
        <f>ROW()-ROW(สำนักงาน!$A$6)+1</f>
        <v>15</v>
      </c>
      <c r="B20" s="52" t="s">
        <v>2916</v>
      </c>
      <c r="C20" s="32" t="s">
        <v>2921</v>
      </c>
      <c r="D20" s="32" t="s">
        <v>2922</v>
      </c>
      <c r="E20" s="53" t="s">
        <v>2862</v>
      </c>
      <c r="F20" s="54">
        <v>2354</v>
      </c>
      <c r="G20" s="32" t="s">
        <v>2893</v>
      </c>
      <c r="H20" s="479" t="s">
        <v>4256</v>
      </c>
      <c r="I20" s="32"/>
      <c r="J20" s="32"/>
      <c r="K20" s="32"/>
      <c r="L20" s="32"/>
      <c r="M20" s="32"/>
      <c r="N20" s="285" t="s">
        <v>3863</v>
      </c>
    </row>
    <row r="21" spans="1:15" s="373" customFormat="1" ht="18.75" x14ac:dyDescent="0.2">
      <c r="A21" s="32">
        <f>ROW()-ROW(สำนักงาน!$A$6)+1</f>
        <v>16</v>
      </c>
      <c r="B21" s="52" t="s">
        <v>2916</v>
      </c>
      <c r="C21" s="32" t="s">
        <v>2923</v>
      </c>
      <c r="D21" s="32" t="s">
        <v>2924</v>
      </c>
      <c r="E21" s="53" t="s">
        <v>2862</v>
      </c>
      <c r="F21" s="54">
        <v>2354</v>
      </c>
      <c r="G21" s="32" t="s">
        <v>2893</v>
      </c>
      <c r="H21" s="479" t="s">
        <v>4256</v>
      </c>
      <c r="I21" s="32"/>
      <c r="J21" s="32"/>
      <c r="K21" s="32"/>
      <c r="L21" s="32"/>
      <c r="M21" s="32"/>
      <c r="N21" s="285" t="s">
        <v>3832</v>
      </c>
    </row>
    <row r="22" spans="1:15" s="373" customFormat="1" ht="56.25" x14ac:dyDescent="0.2">
      <c r="A22" s="32">
        <f>ROW()-ROW(สำนักงาน!$A$6)+1</f>
        <v>17</v>
      </c>
      <c r="B22" s="52" t="s">
        <v>2925</v>
      </c>
      <c r="C22" s="32" t="s">
        <v>2926</v>
      </c>
      <c r="D22" s="32" t="s">
        <v>2927</v>
      </c>
      <c r="E22" s="53" t="s">
        <v>2862</v>
      </c>
      <c r="F22" s="54">
        <v>1070</v>
      </c>
      <c r="G22" s="32" t="s">
        <v>2893</v>
      </c>
      <c r="H22" s="479" t="s">
        <v>4256</v>
      </c>
      <c r="I22" s="32"/>
      <c r="J22" s="32"/>
      <c r="K22" s="32"/>
      <c r="L22" s="32"/>
      <c r="M22" s="32"/>
      <c r="N22" s="716" t="s">
        <v>3875</v>
      </c>
    </row>
    <row r="23" spans="1:15" s="373" customFormat="1" ht="56.25" x14ac:dyDescent="0.2">
      <c r="A23" s="32">
        <f>ROW()-ROW(สำนักงาน!$A$6)+1</f>
        <v>18</v>
      </c>
      <c r="B23" s="52" t="s">
        <v>2928</v>
      </c>
      <c r="C23" s="32" t="s">
        <v>2929</v>
      </c>
      <c r="D23" s="32" t="s">
        <v>2930</v>
      </c>
      <c r="E23" s="53" t="s">
        <v>2862</v>
      </c>
      <c r="F23" s="54">
        <v>5029</v>
      </c>
      <c r="G23" s="32" t="s">
        <v>2893</v>
      </c>
      <c r="H23" s="479" t="s">
        <v>4256</v>
      </c>
      <c r="I23" s="32"/>
      <c r="J23" s="32"/>
      <c r="K23" s="32"/>
      <c r="L23" s="32"/>
      <c r="M23" s="32"/>
      <c r="N23" s="316"/>
    </row>
    <row r="24" spans="1:15" s="373" customFormat="1" ht="18.75" x14ac:dyDescent="0.2">
      <c r="A24" s="32">
        <f>ROW()-ROW(สำนักงาน!$A$6)+1</f>
        <v>19</v>
      </c>
      <c r="B24" s="52" t="s">
        <v>3343</v>
      </c>
      <c r="C24" s="32" t="s">
        <v>3344</v>
      </c>
      <c r="D24" s="32" t="s">
        <v>3345</v>
      </c>
      <c r="E24" s="53" t="s">
        <v>3346</v>
      </c>
      <c r="F24" s="54">
        <v>242035.87</v>
      </c>
      <c r="G24" s="32" t="s">
        <v>2863</v>
      </c>
      <c r="H24" s="479" t="s">
        <v>4256</v>
      </c>
      <c r="I24" s="32"/>
      <c r="J24" s="32"/>
      <c r="K24" s="32"/>
      <c r="L24" s="32"/>
      <c r="M24" s="32"/>
      <c r="N24" s="285"/>
      <c r="O24" s="747">
        <f>SUM(F6:F24)</f>
        <v>320145.87</v>
      </c>
    </row>
    <row r="25" spans="1:15" s="370" customFormat="1" ht="18.75" x14ac:dyDescent="0.2">
      <c r="A25" s="32">
        <f>ROW()-ROW(สำนักงาน!$A$6)+1</f>
        <v>20</v>
      </c>
      <c r="B25" s="114" t="s">
        <v>242</v>
      </c>
      <c r="C25" s="115" t="s">
        <v>243</v>
      </c>
      <c r="D25" s="115" t="s">
        <v>244</v>
      </c>
      <c r="E25" s="116">
        <v>11383</v>
      </c>
      <c r="F25" s="117">
        <v>1200</v>
      </c>
      <c r="G25" s="115" t="s">
        <v>220</v>
      </c>
      <c r="H25" s="115"/>
      <c r="I25" s="479"/>
      <c r="J25" s="479" t="s">
        <v>4256</v>
      </c>
      <c r="K25" s="118"/>
      <c r="L25" s="119"/>
      <c r="M25" s="120"/>
      <c r="N25" s="121" t="s">
        <v>245</v>
      </c>
    </row>
    <row r="26" spans="1:15" s="370" customFormat="1" ht="18.75" x14ac:dyDescent="0.2">
      <c r="A26" s="32">
        <f>ROW()-ROW(สำนักงาน!$A$6)+1</f>
        <v>21</v>
      </c>
      <c r="B26" s="143" t="s">
        <v>276</v>
      </c>
      <c r="C26" s="144" t="s">
        <v>277</v>
      </c>
      <c r="D26" s="144" t="s">
        <v>278</v>
      </c>
      <c r="E26" s="145">
        <v>14616</v>
      </c>
      <c r="F26" s="146">
        <v>3500</v>
      </c>
      <c r="G26" s="115" t="s">
        <v>220</v>
      </c>
      <c r="H26" s="479" t="s">
        <v>4256</v>
      </c>
      <c r="I26" s="144"/>
      <c r="J26" s="147"/>
      <c r="K26" s="147"/>
      <c r="L26" s="148"/>
      <c r="M26" s="149"/>
      <c r="N26" s="121" t="s">
        <v>279</v>
      </c>
    </row>
    <row r="27" spans="1:15" s="370" customFormat="1" ht="18.75" x14ac:dyDescent="0.2">
      <c r="A27" s="32">
        <f>ROW()-ROW(สำนักงาน!$A$6)+1</f>
        <v>22</v>
      </c>
      <c r="B27" s="171" t="s">
        <v>319</v>
      </c>
      <c r="C27" s="172" t="s">
        <v>320</v>
      </c>
      <c r="D27" s="172" t="s">
        <v>321</v>
      </c>
      <c r="E27" s="173">
        <v>16711</v>
      </c>
      <c r="F27" s="174">
        <v>8200</v>
      </c>
      <c r="G27" s="172" t="s">
        <v>220</v>
      </c>
      <c r="H27" s="172"/>
      <c r="I27" s="479"/>
      <c r="J27" s="479" t="s">
        <v>4256</v>
      </c>
      <c r="K27" s="175"/>
      <c r="L27" s="176"/>
      <c r="M27" s="177"/>
      <c r="N27" s="121" t="s">
        <v>322</v>
      </c>
    </row>
    <row r="28" spans="1:15" s="370" customFormat="1" ht="18.75" x14ac:dyDescent="0.2">
      <c r="A28" s="32">
        <f>ROW()-ROW(สำนักงาน!$A$6)+1</f>
        <v>23</v>
      </c>
      <c r="B28" s="185" t="s">
        <v>338</v>
      </c>
      <c r="C28" s="186" t="s">
        <v>339</v>
      </c>
      <c r="D28" s="186" t="s">
        <v>340</v>
      </c>
      <c r="E28" s="187">
        <v>16855</v>
      </c>
      <c r="F28" s="188">
        <v>2300</v>
      </c>
      <c r="G28" s="186" t="s">
        <v>6</v>
      </c>
      <c r="H28" s="32" t="s">
        <v>4256</v>
      </c>
      <c r="I28" s="186"/>
      <c r="J28" s="189"/>
      <c r="K28" s="189"/>
      <c r="L28" s="190"/>
      <c r="M28" s="191"/>
      <c r="N28" s="121" t="s">
        <v>309</v>
      </c>
    </row>
    <row r="29" spans="1:15" s="370" customFormat="1" ht="18.75" x14ac:dyDescent="0.2">
      <c r="A29" s="32">
        <f>ROW()-ROW(สำนักงาน!$A$6)+1</f>
        <v>24</v>
      </c>
      <c r="B29" s="185" t="s">
        <v>341</v>
      </c>
      <c r="C29" s="186" t="s">
        <v>342</v>
      </c>
      <c r="D29" s="186" t="s">
        <v>343</v>
      </c>
      <c r="E29" s="187">
        <v>16855</v>
      </c>
      <c r="F29" s="188">
        <v>3500</v>
      </c>
      <c r="G29" s="186" t="s">
        <v>220</v>
      </c>
      <c r="H29" s="32" t="s">
        <v>4256</v>
      </c>
      <c r="I29" s="186"/>
      <c r="J29" s="189"/>
      <c r="K29" s="189"/>
      <c r="L29" s="190"/>
      <c r="M29" s="191"/>
      <c r="N29" s="121" t="s">
        <v>344</v>
      </c>
    </row>
    <row r="30" spans="1:15" s="370" customFormat="1" ht="18.75" x14ac:dyDescent="0.2">
      <c r="A30" s="32">
        <f>ROW()-ROW(สำนักงาน!$A$6)+1</f>
        <v>25</v>
      </c>
      <c r="B30" s="185" t="s">
        <v>341</v>
      </c>
      <c r="C30" s="186" t="s">
        <v>345</v>
      </c>
      <c r="D30" s="186" t="s">
        <v>346</v>
      </c>
      <c r="E30" s="187">
        <v>16855</v>
      </c>
      <c r="F30" s="188">
        <v>3500</v>
      </c>
      <c r="G30" s="186" t="s">
        <v>220</v>
      </c>
      <c r="H30" s="32" t="s">
        <v>4256</v>
      </c>
      <c r="I30" s="186"/>
      <c r="J30" s="189"/>
      <c r="K30" s="189"/>
      <c r="L30" s="190"/>
      <c r="M30" s="191"/>
      <c r="N30" s="121" t="s">
        <v>344</v>
      </c>
    </row>
    <row r="31" spans="1:15" s="372" customFormat="1" ht="18.75" x14ac:dyDescent="0.3">
      <c r="A31" s="32">
        <f>ROW()-ROW(สำนักงาน!$A$6)+1</f>
        <v>26</v>
      </c>
      <c r="B31" s="481" t="s">
        <v>828</v>
      </c>
      <c r="C31" s="482" t="s">
        <v>829</v>
      </c>
      <c r="D31" s="482" t="s">
        <v>830</v>
      </c>
      <c r="E31" s="483">
        <v>17075</v>
      </c>
      <c r="F31" s="484">
        <v>8600</v>
      </c>
      <c r="G31" s="482" t="s">
        <v>264</v>
      </c>
      <c r="H31" s="371" t="s">
        <v>4256</v>
      </c>
      <c r="I31" s="486"/>
      <c r="J31" s="487"/>
      <c r="K31" s="487"/>
      <c r="L31" s="488"/>
      <c r="M31" s="489"/>
      <c r="N31" s="490"/>
    </row>
    <row r="32" spans="1:15" s="372" customFormat="1" ht="18.75" x14ac:dyDescent="0.3">
      <c r="A32" s="32">
        <f>ROW()-ROW(สำนักงาน!$A$6)+1</f>
        <v>27</v>
      </c>
      <c r="B32" s="481" t="s">
        <v>828</v>
      </c>
      <c r="C32" s="482" t="s">
        <v>831</v>
      </c>
      <c r="D32" s="482" t="s">
        <v>832</v>
      </c>
      <c r="E32" s="483">
        <v>17075</v>
      </c>
      <c r="F32" s="484">
        <v>8600</v>
      </c>
      <c r="G32" s="482" t="s">
        <v>264</v>
      </c>
      <c r="H32" s="371" t="s">
        <v>4256</v>
      </c>
      <c r="I32" s="491"/>
      <c r="J32" s="487"/>
      <c r="K32" s="487"/>
      <c r="L32" s="488"/>
      <c r="M32" s="489"/>
      <c r="N32" s="490"/>
    </row>
    <row r="33" spans="1:14" s="372" customFormat="1" ht="18.75" x14ac:dyDescent="0.3">
      <c r="A33" s="32">
        <f>ROW()-ROW(สำนักงาน!$A$6)+1</f>
        <v>28</v>
      </c>
      <c r="B33" s="481" t="s">
        <v>828</v>
      </c>
      <c r="C33" s="482" t="s">
        <v>833</v>
      </c>
      <c r="D33" s="482" t="s">
        <v>834</v>
      </c>
      <c r="E33" s="483">
        <v>17075</v>
      </c>
      <c r="F33" s="484">
        <v>8600</v>
      </c>
      <c r="G33" s="482" t="s">
        <v>264</v>
      </c>
      <c r="H33" s="371" t="s">
        <v>4256</v>
      </c>
      <c r="I33" s="491"/>
      <c r="J33" s="487"/>
      <c r="K33" s="487"/>
      <c r="L33" s="488"/>
      <c r="M33" s="489"/>
      <c r="N33" s="490"/>
    </row>
    <row r="34" spans="1:14" s="372" customFormat="1" ht="18.75" x14ac:dyDescent="0.3">
      <c r="A34" s="32">
        <f>ROW()-ROW(สำนักงาน!$A$6)+1</f>
        <v>29</v>
      </c>
      <c r="B34" s="82" t="s">
        <v>945</v>
      </c>
      <c r="C34" s="13" t="s">
        <v>946</v>
      </c>
      <c r="D34" s="13" t="s">
        <v>947</v>
      </c>
      <c r="E34" s="220" t="s">
        <v>948</v>
      </c>
      <c r="F34" s="221">
        <v>3500</v>
      </c>
      <c r="G34" s="345" t="s">
        <v>949</v>
      </c>
      <c r="H34" s="371" t="s">
        <v>4256</v>
      </c>
      <c r="I34" s="300"/>
      <c r="J34" s="303"/>
      <c r="K34" s="303"/>
      <c r="L34" s="304"/>
      <c r="M34" s="305"/>
      <c r="N34" s="306"/>
    </row>
    <row r="35" spans="1:14" s="372" customFormat="1" ht="18.75" x14ac:dyDescent="0.3">
      <c r="A35" s="32">
        <f>ROW()-ROW(สำนักงาน!$A$6)+1</f>
        <v>30</v>
      </c>
      <c r="B35" s="82" t="s">
        <v>950</v>
      </c>
      <c r="C35" s="13" t="s">
        <v>951</v>
      </c>
      <c r="D35" s="13" t="s">
        <v>952</v>
      </c>
      <c r="E35" s="220" t="s">
        <v>948</v>
      </c>
      <c r="F35" s="221">
        <v>6000</v>
      </c>
      <c r="G35" s="345" t="s">
        <v>949</v>
      </c>
      <c r="H35" s="371" t="s">
        <v>4256</v>
      </c>
      <c r="I35" s="300"/>
      <c r="J35" s="303"/>
      <c r="K35" s="303"/>
      <c r="L35" s="304"/>
      <c r="M35" s="305"/>
      <c r="N35" s="306"/>
    </row>
    <row r="36" spans="1:14" s="372" customFormat="1" ht="18.75" x14ac:dyDescent="0.3">
      <c r="A36" s="32">
        <f>ROW()-ROW(สำนักงาน!$A$6)+1</f>
        <v>31</v>
      </c>
      <c r="B36" s="82" t="s">
        <v>950</v>
      </c>
      <c r="C36" s="13" t="s">
        <v>953</v>
      </c>
      <c r="D36" s="13" t="s">
        <v>954</v>
      </c>
      <c r="E36" s="220" t="s">
        <v>948</v>
      </c>
      <c r="F36" s="221">
        <v>6000</v>
      </c>
      <c r="G36" s="345" t="s">
        <v>949</v>
      </c>
      <c r="H36" s="371" t="s">
        <v>4256</v>
      </c>
      <c r="I36" s="300"/>
      <c r="J36" s="303"/>
      <c r="K36" s="303"/>
      <c r="L36" s="304"/>
      <c r="M36" s="305"/>
      <c r="N36" s="306"/>
    </row>
    <row r="37" spans="1:14" s="372" customFormat="1" ht="18.75" x14ac:dyDescent="0.3">
      <c r="A37" s="32">
        <f>ROW()-ROW(สำนักงาน!$A$6)+1</f>
        <v>32</v>
      </c>
      <c r="B37" s="492" t="s">
        <v>1015</v>
      </c>
      <c r="C37" s="308" t="s">
        <v>1016</v>
      </c>
      <c r="D37" s="308" t="s">
        <v>1017</v>
      </c>
      <c r="E37" s="309">
        <v>21218</v>
      </c>
      <c r="F37" s="310">
        <v>3006.7</v>
      </c>
      <c r="G37" s="346" t="s">
        <v>949</v>
      </c>
      <c r="H37" s="371" t="s">
        <v>4256</v>
      </c>
      <c r="I37" s="321"/>
      <c r="J37" s="322"/>
      <c r="K37" s="322"/>
      <c r="L37" s="323"/>
      <c r="M37" s="324"/>
      <c r="N37" s="493"/>
    </row>
    <row r="38" spans="1:14" s="372" customFormat="1" ht="18.75" x14ac:dyDescent="0.3">
      <c r="A38" s="32">
        <f>ROW()-ROW(สำนักงาน!$A$6)+1</f>
        <v>33</v>
      </c>
      <c r="B38" s="492" t="s">
        <v>1015</v>
      </c>
      <c r="C38" s="308" t="s">
        <v>1018</v>
      </c>
      <c r="D38" s="308" t="s">
        <v>1019</v>
      </c>
      <c r="E38" s="309">
        <v>21218</v>
      </c>
      <c r="F38" s="310">
        <v>3006.7</v>
      </c>
      <c r="G38" s="346" t="s">
        <v>949</v>
      </c>
      <c r="H38" s="371" t="s">
        <v>4256</v>
      </c>
      <c r="I38" s="321"/>
      <c r="J38" s="322"/>
      <c r="K38" s="322"/>
      <c r="L38" s="323"/>
      <c r="M38" s="324"/>
      <c r="N38" s="493"/>
    </row>
    <row r="39" spans="1:14" s="372" customFormat="1" ht="18.75" x14ac:dyDescent="0.3">
      <c r="A39" s="32">
        <f>ROW()-ROW(สำนักงาน!$A$6)+1</f>
        <v>34</v>
      </c>
      <c r="B39" s="492" t="s">
        <v>1015</v>
      </c>
      <c r="C39" s="308" t="s">
        <v>1020</v>
      </c>
      <c r="D39" s="308" t="s">
        <v>1021</v>
      </c>
      <c r="E39" s="309">
        <v>21218</v>
      </c>
      <c r="F39" s="310">
        <v>3006.7</v>
      </c>
      <c r="G39" s="346" t="s">
        <v>949</v>
      </c>
      <c r="H39" s="371" t="s">
        <v>4256</v>
      </c>
      <c r="I39" s="321"/>
      <c r="J39" s="322"/>
      <c r="K39" s="322"/>
      <c r="L39" s="323"/>
      <c r="M39" s="324"/>
      <c r="N39" s="493"/>
    </row>
    <row r="40" spans="1:14" s="372" customFormat="1" ht="18.75" x14ac:dyDescent="0.3">
      <c r="A40" s="32">
        <f>ROW()-ROW(สำนักงาน!$A$6)+1</f>
        <v>35</v>
      </c>
      <c r="B40" s="492" t="s">
        <v>1015</v>
      </c>
      <c r="C40" s="308" t="s">
        <v>1022</v>
      </c>
      <c r="D40" s="308" t="s">
        <v>1023</v>
      </c>
      <c r="E40" s="309">
        <v>21218</v>
      </c>
      <c r="F40" s="310">
        <v>3006.7</v>
      </c>
      <c r="G40" s="346" t="s">
        <v>949</v>
      </c>
      <c r="H40" s="371" t="s">
        <v>4256</v>
      </c>
      <c r="I40" s="321"/>
      <c r="J40" s="322"/>
      <c r="K40" s="322"/>
      <c r="L40" s="323"/>
      <c r="M40" s="324"/>
      <c r="N40" s="493"/>
    </row>
    <row r="41" spans="1:14" s="372" customFormat="1" ht="18.75" x14ac:dyDescent="0.3">
      <c r="A41" s="32">
        <f>ROW()-ROW(สำนักงาน!$A$6)+1</f>
        <v>36</v>
      </c>
      <c r="B41" s="492" t="s">
        <v>1015</v>
      </c>
      <c r="C41" s="308" t="s">
        <v>1024</v>
      </c>
      <c r="D41" s="308" t="s">
        <v>1025</v>
      </c>
      <c r="E41" s="309">
        <v>21218</v>
      </c>
      <c r="F41" s="310">
        <v>3006.7</v>
      </c>
      <c r="G41" s="346" t="s">
        <v>949</v>
      </c>
      <c r="H41" s="371" t="s">
        <v>4256</v>
      </c>
      <c r="I41" s="321"/>
      <c r="J41" s="322"/>
      <c r="K41" s="322"/>
      <c r="L41" s="323"/>
      <c r="M41" s="324"/>
      <c r="N41" s="493"/>
    </row>
    <row r="42" spans="1:14" s="372" customFormat="1" ht="18.75" x14ac:dyDescent="0.3">
      <c r="A42" s="32">
        <f>ROW()-ROW(สำนักงาน!$A$6)+1</f>
        <v>37</v>
      </c>
      <c r="B42" s="307" t="s">
        <v>1026</v>
      </c>
      <c r="C42" s="308" t="s">
        <v>1027</v>
      </c>
      <c r="D42" s="308" t="s">
        <v>1028</v>
      </c>
      <c r="E42" s="309">
        <v>21218</v>
      </c>
      <c r="F42" s="310">
        <v>7029.9</v>
      </c>
      <c r="G42" s="346" t="s">
        <v>949</v>
      </c>
      <c r="H42" s="371" t="s">
        <v>4256</v>
      </c>
      <c r="I42" s="321"/>
      <c r="J42" s="322"/>
      <c r="K42" s="322"/>
      <c r="L42" s="323"/>
      <c r="M42" s="324"/>
      <c r="N42" s="493"/>
    </row>
    <row r="43" spans="1:14" s="372" customFormat="1" ht="18.75" x14ac:dyDescent="0.3">
      <c r="A43" s="32">
        <f>ROW()-ROW(สำนักงาน!$A$6)+1</f>
        <v>38</v>
      </c>
      <c r="B43" s="307" t="s">
        <v>1026</v>
      </c>
      <c r="C43" s="308" t="s">
        <v>1029</v>
      </c>
      <c r="D43" s="308" t="s">
        <v>1030</v>
      </c>
      <c r="E43" s="309">
        <v>21218</v>
      </c>
      <c r="F43" s="310">
        <v>7029.9</v>
      </c>
      <c r="G43" s="346" t="s">
        <v>949</v>
      </c>
      <c r="H43" s="371" t="s">
        <v>4256</v>
      </c>
      <c r="I43" s="321"/>
      <c r="J43" s="322"/>
      <c r="K43" s="322"/>
      <c r="L43" s="323"/>
      <c r="M43" s="324"/>
      <c r="N43" s="493"/>
    </row>
    <row r="44" spans="1:14" s="372" customFormat="1" ht="18.75" x14ac:dyDescent="0.3">
      <c r="A44" s="32">
        <f>ROW()-ROW(สำนักงาน!$A$6)+1</f>
        <v>39</v>
      </c>
      <c r="B44" s="307" t="s">
        <v>1026</v>
      </c>
      <c r="C44" s="308" t="s">
        <v>1031</v>
      </c>
      <c r="D44" s="308" t="s">
        <v>1032</v>
      </c>
      <c r="E44" s="309">
        <v>21218</v>
      </c>
      <c r="F44" s="310">
        <v>7029.9</v>
      </c>
      <c r="G44" s="346" t="s">
        <v>949</v>
      </c>
      <c r="H44" s="371" t="s">
        <v>4256</v>
      </c>
      <c r="I44" s="321"/>
      <c r="J44" s="322"/>
      <c r="K44" s="322"/>
      <c r="L44" s="323"/>
      <c r="M44" s="324"/>
      <c r="N44" s="493"/>
    </row>
    <row r="45" spans="1:14" s="372" customFormat="1" ht="18.75" x14ac:dyDescent="0.3">
      <c r="A45" s="32">
        <f>ROW()-ROW(สำนักงาน!$A$6)+1</f>
        <v>40</v>
      </c>
      <c r="B45" s="307" t="s">
        <v>1026</v>
      </c>
      <c r="C45" s="308" t="s">
        <v>1033</v>
      </c>
      <c r="D45" s="308" t="s">
        <v>1034</v>
      </c>
      <c r="E45" s="309">
        <v>21218</v>
      </c>
      <c r="F45" s="310">
        <v>7029.9</v>
      </c>
      <c r="G45" s="346" t="s">
        <v>949</v>
      </c>
      <c r="H45" s="371" t="s">
        <v>4256</v>
      </c>
      <c r="I45" s="321"/>
      <c r="J45" s="322"/>
      <c r="K45" s="322"/>
      <c r="L45" s="323"/>
      <c r="M45" s="324"/>
      <c r="N45" s="315"/>
    </row>
    <row r="46" spans="1:14" s="372" customFormat="1" ht="18.75" x14ac:dyDescent="0.3">
      <c r="A46" s="32">
        <f>ROW()-ROW(สำนักงาน!$A$6)+1</f>
        <v>41</v>
      </c>
      <c r="B46" s="307" t="s">
        <v>1026</v>
      </c>
      <c r="C46" s="308" t="s">
        <v>1035</v>
      </c>
      <c r="D46" s="308" t="s">
        <v>1036</v>
      </c>
      <c r="E46" s="309">
        <v>21218</v>
      </c>
      <c r="F46" s="310">
        <v>7029.9</v>
      </c>
      <c r="G46" s="346" t="s">
        <v>949</v>
      </c>
      <c r="H46" s="371" t="s">
        <v>4256</v>
      </c>
      <c r="I46" s="321"/>
      <c r="J46" s="322"/>
      <c r="K46" s="322"/>
      <c r="L46" s="323"/>
      <c r="M46" s="324"/>
      <c r="N46" s="315"/>
    </row>
    <row r="47" spans="1:14" s="372" customFormat="1" ht="18.75" x14ac:dyDescent="0.3">
      <c r="A47" s="32">
        <f>ROW()-ROW(สำนักงาน!$A$6)+1</f>
        <v>42</v>
      </c>
      <c r="B47" s="307" t="s">
        <v>1026</v>
      </c>
      <c r="C47" s="308" t="s">
        <v>1037</v>
      </c>
      <c r="D47" s="308" t="s">
        <v>1038</v>
      </c>
      <c r="E47" s="309">
        <v>21218</v>
      </c>
      <c r="F47" s="310">
        <v>7029.9</v>
      </c>
      <c r="G47" s="346" t="s">
        <v>949</v>
      </c>
      <c r="H47" s="371" t="s">
        <v>4256</v>
      </c>
      <c r="I47" s="321"/>
      <c r="J47" s="322"/>
      <c r="K47" s="322"/>
      <c r="L47" s="323"/>
      <c r="M47" s="324"/>
      <c r="N47" s="315"/>
    </row>
    <row r="48" spans="1:14" s="372" customFormat="1" ht="18.75" x14ac:dyDescent="0.3">
      <c r="A48" s="32">
        <f>ROW()-ROW(สำนักงาน!$A$6)+1</f>
        <v>43</v>
      </c>
      <c r="B48" s="307" t="s">
        <v>1026</v>
      </c>
      <c r="C48" s="308" t="s">
        <v>1039</v>
      </c>
      <c r="D48" s="308" t="s">
        <v>1040</v>
      </c>
      <c r="E48" s="309">
        <v>21218</v>
      </c>
      <c r="F48" s="310">
        <v>7029.9</v>
      </c>
      <c r="G48" s="346" t="s">
        <v>949</v>
      </c>
      <c r="H48" s="371" t="s">
        <v>4256</v>
      </c>
      <c r="I48" s="321"/>
      <c r="J48" s="322"/>
      <c r="K48" s="322"/>
      <c r="L48" s="323"/>
      <c r="M48" s="324"/>
      <c r="N48" s="315"/>
    </row>
    <row r="49" spans="1:15" s="372" customFormat="1" ht="18.75" x14ac:dyDescent="0.3">
      <c r="A49" s="32">
        <f>ROW()-ROW(สำนักงาน!$A$6)+1</f>
        <v>44</v>
      </c>
      <c r="B49" s="307" t="s">
        <v>1026</v>
      </c>
      <c r="C49" s="308" t="s">
        <v>1041</v>
      </c>
      <c r="D49" s="308" t="s">
        <v>1042</v>
      </c>
      <c r="E49" s="309">
        <v>21218</v>
      </c>
      <c r="F49" s="310">
        <v>7029.9</v>
      </c>
      <c r="G49" s="346" t="s">
        <v>949</v>
      </c>
      <c r="H49" s="371" t="s">
        <v>4256</v>
      </c>
      <c r="I49" s="321"/>
      <c r="J49" s="322"/>
      <c r="K49" s="322"/>
      <c r="L49" s="323"/>
      <c r="M49" s="324"/>
      <c r="N49" s="315"/>
    </row>
    <row r="50" spans="1:15" s="372" customFormat="1" ht="18.75" x14ac:dyDescent="0.3">
      <c r="A50" s="32">
        <f>ROW()-ROW(สำนักงาน!$A$6)+1</f>
        <v>45</v>
      </c>
      <c r="B50" s="307" t="s">
        <v>1043</v>
      </c>
      <c r="C50" s="308" t="s">
        <v>1044</v>
      </c>
      <c r="D50" s="308" t="s">
        <v>1045</v>
      </c>
      <c r="E50" s="309">
        <v>21218</v>
      </c>
      <c r="F50" s="310">
        <v>4975.5</v>
      </c>
      <c r="G50" s="346" t="s">
        <v>949</v>
      </c>
      <c r="H50" s="371" t="s">
        <v>4256</v>
      </c>
      <c r="I50" s="321"/>
      <c r="J50" s="322"/>
      <c r="K50" s="322"/>
      <c r="L50" s="323"/>
      <c r="M50" s="324"/>
      <c r="N50" s="315"/>
    </row>
    <row r="51" spans="1:15" s="372" customFormat="1" ht="18.75" x14ac:dyDescent="0.3">
      <c r="A51" s="32">
        <f>ROW()-ROW(สำนักงาน!$A$6)+1</f>
        <v>46</v>
      </c>
      <c r="B51" s="307" t="s">
        <v>1043</v>
      </c>
      <c r="C51" s="308" t="s">
        <v>1046</v>
      </c>
      <c r="D51" s="308" t="s">
        <v>1047</v>
      </c>
      <c r="E51" s="309">
        <v>21218</v>
      </c>
      <c r="F51" s="310">
        <v>4975.5</v>
      </c>
      <c r="G51" s="346" t="s">
        <v>949</v>
      </c>
      <c r="H51" s="371" t="s">
        <v>4256</v>
      </c>
      <c r="I51" s="321"/>
      <c r="J51" s="322"/>
      <c r="K51" s="322"/>
      <c r="L51" s="323"/>
      <c r="M51" s="324"/>
      <c r="N51" s="315"/>
    </row>
    <row r="52" spans="1:15" s="372" customFormat="1" ht="18.75" x14ac:dyDescent="0.3">
      <c r="A52" s="32">
        <f>ROW()-ROW(สำนักงาน!$A$6)+1</f>
        <v>47</v>
      </c>
      <c r="B52" s="307" t="s">
        <v>1043</v>
      </c>
      <c r="C52" s="308" t="s">
        <v>1048</v>
      </c>
      <c r="D52" s="308" t="s">
        <v>1049</v>
      </c>
      <c r="E52" s="309">
        <v>21218</v>
      </c>
      <c r="F52" s="310">
        <v>4975.5</v>
      </c>
      <c r="G52" s="346" t="s">
        <v>949</v>
      </c>
      <c r="H52" s="371" t="s">
        <v>4256</v>
      </c>
      <c r="I52" s="321"/>
      <c r="J52" s="322"/>
      <c r="K52" s="322"/>
      <c r="L52" s="323"/>
      <c r="M52" s="324"/>
      <c r="N52" s="315"/>
    </row>
    <row r="53" spans="1:15" s="372" customFormat="1" ht="18.75" x14ac:dyDescent="0.3">
      <c r="A53" s="32">
        <f>ROW()-ROW(สำนักงาน!$A$6)+1</f>
        <v>48</v>
      </c>
      <c r="B53" s="307" t="s">
        <v>1043</v>
      </c>
      <c r="C53" s="308" t="s">
        <v>1050</v>
      </c>
      <c r="D53" s="308" t="s">
        <v>1051</v>
      </c>
      <c r="E53" s="309">
        <v>21218</v>
      </c>
      <c r="F53" s="310">
        <v>4975.5</v>
      </c>
      <c r="G53" s="346" t="s">
        <v>949</v>
      </c>
      <c r="H53" s="371" t="s">
        <v>4256</v>
      </c>
      <c r="I53" s="321"/>
      <c r="J53" s="322"/>
      <c r="K53" s="322"/>
      <c r="L53" s="323"/>
      <c r="M53" s="324"/>
      <c r="N53" s="315"/>
    </row>
    <row r="54" spans="1:15" s="372" customFormat="1" ht="18.75" x14ac:dyDescent="0.3">
      <c r="A54" s="32">
        <f>ROW()-ROW(สำนักงาน!$A$6)+1</f>
        <v>49</v>
      </c>
      <c r="B54" s="307" t="s">
        <v>1043</v>
      </c>
      <c r="C54" s="308" t="s">
        <v>1052</v>
      </c>
      <c r="D54" s="308" t="s">
        <v>1053</v>
      </c>
      <c r="E54" s="309">
        <v>21218</v>
      </c>
      <c r="F54" s="310">
        <v>4975.5</v>
      </c>
      <c r="G54" s="346" t="s">
        <v>949</v>
      </c>
      <c r="H54" s="371" t="s">
        <v>4256</v>
      </c>
      <c r="I54" s="321"/>
      <c r="J54" s="322"/>
      <c r="K54" s="322"/>
      <c r="L54" s="323"/>
      <c r="M54" s="324"/>
      <c r="N54" s="315"/>
    </row>
    <row r="55" spans="1:15" s="372" customFormat="1" ht="18.75" x14ac:dyDescent="0.3">
      <c r="A55" s="32">
        <f>ROW()-ROW(สำนักงาน!$A$6)+1</f>
        <v>50</v>
      </c>
      <c r="B55" s="307" t="s">
        <v>1043</v>
      </c>
      <c r="C55" s="308" t="s">
        <v>1054</v>
      </c>
      <c r="D55" s="308" t="s">
        <v>1055</v>
      </c>
      <c r="E55" s="309">
        <v>21218</v>
      </c>
      <c r="F55" s="310">
        <v>4975.5</v>
      </c>
      <c r="G55" s="346" t="s">
        <v>949</v>
      </c>
      <c r="H55" s="371" t="s">
        <v>4256</v>
      </c>
      <c r="I55" s="321"/>
      <c r="J55" s="322"/>
      <c r="K55" s="322"/>
      <c r="L55" s="323"/>
      <c r="M55" s="324"/>
      <c r="N55" s="315"/>
    </row>
    <row r="56" spans="1:15" s="372" customFormat="1" ht="18.75" x14ac:dyDescent="0.3">
      <c r="A56" s="32">
        <f>ROW()-ROW(สำนักงาน!$A$6)+1</f>
        <v>51</v>
      </c>
      <c r="B56" s="307" t="s">
        <v>1230</v>
      </c>
      <c r="C56" s="308" t="s">
        <v>1231</v>
      </c>
      <c r="D56" s="308" t="s">
        <v>1232</v>
      </c>
      <c r="E56" s="319" t="s">
        <v>1233</v>
      </c>
      <c r="F56" s="310">
        <v>2500</v>
      </c>
      <c r="G56" s="308" t="s">
        <v>825</v>
      </c>
      <c r="H56" s="320" t="s">
        <v>4256</v>
      </c>
      <c r="I56" s="321"/>
      <c r="J56" s="322"/>
      <c r="K56" s="322"/>
      <c r="L56" s="323"/>
      <c r="M56" s="324"/>
      <c r="N56" s="494"/>
      <c r="O56" s="372" t="s">
        <v>5012</v>
      </c>
    </row>
    <row r="57" spans="1:15" s="372" customFormat="1" ht="18.75" x14ac:dyDescent="0.3">
      <c r="A57" s="32">
        <f>ROW()-ROW(สำนักงาน!$A$6)+1</f>
        <v>52</v>
      </c>
      <c r="B57" s="307" t="s">
        <v>1292</v>
      </c>
      <c r="C57" s="308" t="s">
        <v>1293</v>
      </c>
      <c r="D57" s="308" t="s">
        <v>1294</v>
      </c>
      <c r="E57" s="319" t="s">
        <v>1253</v>
      </c>
      <c r="F57" s="310">
        <v>6000</v>
      </c>
      <c r="G57" s="308" t="s">
        <v>825</v>
      </c>
      <c r="H57" s="320" t="s">
        <v>4256</v>
      </c>
      <c r="I57" s="321"/>
      <c r="J57" s="322"/>
      <c r="K57" s="322"/>
      <c r="L57" s="323"/>
      <c r="M57" s="324"/>
      <c r="N57" s="494"/>
    </row>
    <row r="58" spans="1:15" s="372" customFormat="1" ht="18.75" x14ac:dyDescent="0.3">
      <c r="A58" s="32">
        <f>ROW()-ROW(สำนักงาน!$A$6)+1</f>
        <v>53</v>
      </c>
      <c r="B58" s="307" t="s">
        <v>1292</v>
      </c>
      <c r="C58" s="308" t="s">
        <v>1295</v>
      </c>
      <c r="D58" s="308" t="s">
        <v>1296</v>
      </c>
      <c r="E58" s="319" t="s">
        <v>1253</v>
      </c>
      <c r="F58" s="310">
        <v>6000</v>
      </c>
      <c r="G58" s="308" t="s">
        <v>825</v>
      </c>
      <c r="H58" s="320" t="s">
        <v>4256</v>
      </c>
      <c r="I58" s="321"/>
      <c r="J58" s="322"/>
      <c r="K58" s="322"/>
      <c r="L58" s="323"/>
      <c r="M58" s="324"/>
      <c r="N58" s="494"/>
    </row>
    <row r="59" spans="1:15" s="372" customFormat="1" ht="18.75" x14ac:dyDescent="0.3">
      <c r="A59" s="32">
        <f>ROW()-ROW(สำนักงาน!$A$6)+1</f>
        <v>54</v>
      </c>
      <c r="B59" s="307" t="s">
        <v>1292</v>
      </c>
      <c r="C59" s="308" t="s">
        <v>1297</v>
      </c>
      <c r="D59" s="308" t="s">
        <v>1298</v>
      </c>
      <c r="E59" s="319" t="s">
        <v>1253</v>
      </c>
      <c r="F59" s="310">
        <v>6000</v>
      </c>
      <c r="G59" s="308" t="s">
        <v>825</v>
      </c>
      <c r="H59" s="320" t="s">
        <v>4256</v>
      </c>
      <c r="I59" s="321"/>
      <c r="J59" s="322"/>
      <c r="K59" s="322"/>
      <c r="L59" s="323"/>
      <c r="M59" s="324"/>
      <c r="N59" s="494"/>
    </row>
    <row r="60" spans="1:15" s="372" customFormat="1" ht="18.75" x14ac:dyDescent="0.3">
      <c r="A60" s="32">
        <f>ROW()-ROW(สำนักงาน!$A$6)+1</f>
        <v>55</v>
      </c>
      <c r="B60" s="307" t="s">
        <v>1292</v>
      </c>
      <c r="C60" s="308" t="s">
        <v>1299</v>
      </c>
      <c r="D60" s="308" t="s">
        <v>1300</v>
      </c>
      <c r="E60" s="319" t="s">
        <v>1253</v>
      </c>
      <c r="F60" s="310">
        <v>6000</v>
      </c>
      <c r="G60" s="308" t="s">
        <v>825</v>
      </c>
      <c r="H60" s="320" t="s">
        <v>4256</v>
      </c>
      <c r="I60" s="321"/>
      <c r="J60" s="322"/>
      <c r="K60" s="322"/>
      <c r="L60" s="323"/>
      <c r="M60" s="324"/>
      <c r="N60" s="494"/>
    </row>
    <row r="61" spans="1:15" s="372" customFormat="1" ht="18.75" x14ac:dyDescent="0.3">
      <c r="A61" s="32">
        <f>ROW()-ROW(สำนักงาน!$A$6)+1</f>
        <v>56</v>
      </c>
      <c r="B61" s="307" t="s">
        <v>1292</v>
      </c>
      <c r="C61" s="308" t="s">
        <v>1301</v>
      </c>
      <c r="D61" s="308" t="s">
        <v>1302</v>
      </c>
      <c r="E61" s="319" t="s">
        <v>1253</v>
      </c>
      <c r="F61" s="310">
        <v>6000</v>
      </c>
      <c r="G61" s="308" t="s">
        <v>825</v>
      </c>
      <c r="H61" s="320" t="s">
        <v>4256</v>
      </c>
      <c r="I61" s="321"/>
      <c r="J61" s="322"/>
      <c r="K61" s="322"/>
      <c r="L61" s="323"/>
      <c r="M61" s="324"/>
      <c r="N61" s="494"/>
    </row>
    <row r="62" spans="1:15" s="373" customFormat="1" ht="18.75" x14ac:dyDescent="0.2">
      <c r="A62" s="32">
        <f>ROW()-ROW(สำนักงาน!$A$6)+1</f>
        <v>57</v>
      </c>
      <c r="B62" s="52" t="s">
        <v>2411</v>
      </c>
      <c r="C62" s="32" t="s">
        <v>2412</v>
      </c>
      <c r="D62" s="32" t="s">
        <v>2413</v>
      </c>
      <c r="E62" s="53" t="s">
        <v>2414</v>
      </c>
      <c r="F62" s="31">
        <v>4500</v>
      </c>
      <c r="G62" s="32" t="s">
        <v>2383</v>
      </c>
      <c r="H62" s="479" t="s">
        <v>4256</v>
      </c>
      <c r="I62" s="32"/>
      <c r="J62" s="79"/>
      <c r="K62" s="79"/>
      <c r="L62" s="225"/>
      <c r="M62" s="226"/>
      <c r="N62" s="285"/>
    </row>
    <row r="63" spans="1:15" s="373" customFormat="1" ht="18.75" x14ac:dyDescent="0.2">
      <c r="A63" s="32">
        <f>ROW()-ROW(สำนักงาน!$A$6)+1</f>
        <v>58</v>
      </c>
      <c r="B63" s="52" t="s">
        <v>2411</v>
      </c>
      <c r="C63" s="32" t="s">
        <v>2415</v>
      </c>
      <c r="D63" s="32" t="s">
        <v>2416</v>
      </c>
      <c r="E63" s="53" t="s">
        <v>2414</v>
      </c>
      <c r="F63" s="31">
        <v>4500</v>
      </c>
      <c r="G63" s="32" t="s">
        <v>2383</v>
      </c>
      <c r="H63" s="479" t="s">
        <v>4256</v>
      </c>
      <c r="I63" s="32"/>
      <c r="J63" s="79"/>
      <c r="K63" s="79"/>
      <c r="L63" s="225"/>
      <c r="M63" s="226"/>
      <c r="N63" s="285" t="s">
        <v>3834</v>
      </c>
    </row>
    <row r="64" spans="1:15" s="373" customFormat="1" ht="18.75" x14ac:dyDescent="0.2">
      <c r="A64" s="32">
        <f>ROW()-ROW(สำนักงาน!$A$6)+1</f>
        <v>59</v>
      </c>
      <c r="B64" s="52" t="s">
        <v>2411</v>
      </c>
      <c r="C64" s="32" t="s">
        <v>2417</v>
      </c>
      <c r="D64" s="32" t="s">
        <v>2418</v>
      </c>
      <c r="E64" s="53" t="s">
        <v>2414</v>
      </c>
      <c r="F64" s="31">
        <v>4500</v>
      </c>
      <c r="G64" s="32" t="s">
        <v>2383</v>
      </c>
      <c r="H64" s="479" t="s">
        <v>4256</v>
      </c>
      <c r="I64" s="32"/>
      <c r="J64" s="79"/>
      <c r="K64" s="79"/>
      <c r="L64" s="225"/>
      <c r="M64" s="226"/>
      <c r="N64" s="285" t="s">
        <v>3835</v>
      </c>
    </row>
    <row r="65" spans="1:14" s="373" customFormat="1" ht="18.75" x14ac:dyDescent="0.2">
      <c r="A65" s="32">
        <f>ROW()-ROW(สำนักงาน!$A$6)+1</f>
        <v>60</v>
      </c>
      <c r="B65" s="52" t="s">
        <v>2411</v>
      </c>
      <c r="C65" s="32" t="s">
        <v>2419</v>
      </c>
      <c r="D65" s="32" t="s">
        <v>2420</v>
      </c>
      <c r="E65" s="53" t="s">
        <v>2414</v>
      </c>
      <c r="F65" s="31">
        <v>4500</v>
      </c>
      <c r="G65" s="32" t="s">
        <v>2383</v>
      </c>
      <c r="H65" s="479" t="s">
        <v>4256</v>
      </c>
      <c r="I65" s="32"/>
      <c r="J65" s="79"/>
      <c r="K65" s="79"/>
      <c r="L65" s="225"/>
      <c r="M65" s="226"/>
      <c r="N65" s="285" t="s">
        <v>3833</v>
      </c>
    </row>
    <row r="66" spans="1:14" s="373" customFormat="1" ht="18.75" x14ac:dyDescent="0.2">
      <c r="A66" s="32">
        <f>ROW()-ROW(สำนักงาน!$A$6)+1</f>
        <v>61</v>
      </c>
      <c r="B66" s="52" t="s">
        <v>2421</v>
      </c>
      <c r="C66" s="32" t="s">
        <v>2422</v>
      </c>
      <c r="D66" s="32" t="s">
        <v>2423</v>
      </c>
      <c r="E66" s="53" t="s">
        <v>2414</v>
      </c>
      <c r="F66" s="31">
        <v>36000</v>
      </c>
      <c r="G66" s="32" t="s">
        <v>2383</v>
      </c>
      <c r="H66" s="479" t="s">
        <v>4256</v>
      </c>
      <c r="I66" s="32"/>
      <c r="J66" s="79"/>
      <c r="K66" s="79"/>
      <c r="L66" s="225"/>
      <c r="M66" s="226"/>
      <c r="N66" s="285" t="s">
        <v>3836</v>
      </c>
    </row>
    <row r="67" spans="1:14" s="373" customFormat="1" ht="18.75" x14ac:dyDescent="0.2">
      <c r="A67" s="32">
        <f>ROW()-ROW(สำนักงาน!$A$6)+1</f>
        <v>62</v>
      </c>
      <c r="B67" s="52" t="s">
        <v>2424</v>
      </c>
      <c r="C67" s="32" t="s">
        <v>2425</v>
      </c>
      <c r="D67" s="32" t="s">
        <v>2426</v>
      </c>
      <c r="E67" s="53" t="s">
        <v>2414</v>
      </c>
      <c r="F67" s="31">
        <v>3200</v>
      </c>
      <c r="G67" s="32" t="s">
        <v>2383</v>
      </c>
      <c r="H67" s="479" t="s">
        <v>4256</v>
      </c>
      <c r="I67" s="32"/>
      <c r="J67" s="79"/>
      <c r="K67" s="79"/>
      <c r="L67" s="225"/>
      <c r="M67" s="226"/>
      <c r="N67" s="285"/>
    </row>
    <row r="68" spans="1:14" s="373" customFormat="1" ht="18.75" x14ac:dyDescent="0.2">
      <c r="A68" s="32">
        <f>ROW()-ROW(สำนักงาน!$A$6)+1</f>
        <v>63</v>
      </c>
      <c r="B68" s="52" t="s">
        <v>2931</v>
      </c>
      <c r="C68" s="32" t="s">
        <v>2932</v>
      </c>
      <c r="D68" s="32" t="s">
        <v>2933</v>
      </c>
      <c r="E68" s="53" t="s">
        <v>2862</v>
      </c>
      <c r="F68" s="54">
        <v>3745</v>
      </c>
      <c r="G68" s="32" t="s">
        <v>2893</v>
      </c>
      <c r="H68" s="479" t="s">
        <v>4256</v>
      </c>
      <c r="I68" s="32"/>
      <c r="J68" s="32"/>
      <c r="K68" s="32"/>
      <c r="L68" s="32"/>
      <c r="M68" s="32"/>
      <c r="N68" s="316"/>
    </row>
    <row r="69" spans="1:14" s="373" customFormat="1" ht="18.75" x14ac:dyDescent="0.2">
      <c r="A69" s="32">
        <f>ROW()-ROW(สำนักงาน!$A$6)+1</f>
        <v>64</v>
      </c>
      <c r="B69" s="52" t="s">
        <v>2931</v>
      </c>
      <c r="C69" s="32" t="s">
        <v>2934</v>
      </c>
      <c r="D69" s="32" t="s">
        <v>2935</v>
      </c>
      <c r="E69" s="53" t="s">
        <v>2862</v>
      </c>
      <c r="F69" s="54">
        <v>3745</v>
      </c>
      <c r="G69" s="32" t="s">
        <v>2893</v>
      </c>
      <c r="H69" s="479" t="s">
        <v>4256</v>
      </c>
      <c r="I69" s="32"/>
      <c r="J69" s="32"/>
      <c r="K69" s="32"/>
      <c r="L69" s="32"/>
      <c r="M69" s="32"/>
      <c r="N69" s="316" t="s">
        <v>3833</v>
      </c>
    </row>
    <row r="70" spans="1:14" s="373" customFormat="1" ht="18.75" x14ac:dyDescent="0.2">
      <c r="A70" s="32">
        <f>ROW()-ROW(สำนักงาน!$A$6)+1</f>
        <v>65</v>
      </c>
      <c r="B70" s="52" t="s">
        <v>2931</v>
      </c>
      <c r="C70" s="32" t="s">
        <v>2936</v>
      </c>
      <c r="D70" s="32" t="s">
        <v>2937</v>
      </c>
      <c r="E70" s="53" t="s">
        <v>2862</v>
      </c>
      <c r="F70" s="54">
        <v>3745</v>
      </c>
      <c r="G70" s="32" t="s">
        <v>2893</v>
      </c>
      <c r="H70" s="479" t="s">
        <v>4256</v>
      </c>
      <c r="I70" s="32"/>
      <c r="J70" s="32"/>
      <c r="K70" s="32"/>
      <c r="L70" s="32"/>
      <c r="M70" s="32"/>
      <c r="N70" s="316" t="s">
        <v>3833</v>
      </c>
    </row>
    <row r="71" spans="1:14" s="373" customFormat="1" ht="18.75" x14ac:dyDescent="0.2">
      <c r="A71" s="32">
        <f>ROW()-ROW(สำนักงาน!$A$6)+1</f>
        <v>66</v>
      </c>
      <c r="B71" s="52" t="s">
        <v>2931</v>
      </c>
      <c r="C71" s="32" t="s">
        <v>2938</v>
      </c>
      <c r="D71" s="32" t="s">
        <v>2939</v>
      </c>
      <c r="E71" s="53" t="s">
        <v>2862</v>
      </c>
      <c r="F71" s="54">
        <v>3745</v>
      </c>
      <c r="G71" s="32" t="s">
        <v>2893</v>
      </c>
      <c r="H71" s="479" t="s">
        <v>4256</v>
      </c>
      <c r="I71" s="32"/>
      <c r="J71" s="32"/>
      <c r="K71" s="32"/>
      <c r="L71" s="32"/>
      <c r="M71" s="32"/>
      <c r="N71" s="316"/>
    </row>
    <row r="72" spans="1:14" s="373" customFormat="1" ht="18.75" x14ac:dyDescent="0.2">
      <c r="A72" s="32">
        <f>ROW()-ROW(สำนักงาน!$A$6)+1</f>
        <v>67</v>
      </c>
      <c r="B72" s="52" t="s">
        <v>2940</v>
      </c>
      <c r="C72" s="32" t="s">
        <v>2941</v>
      </c>
      <c r="D72" s="32" t="s">
        <v>2942</v>
      </c>
      <c r="E72" s="53" t="s">
        <v>2862</v>
      </c>
      <c r="F72" s="54">
        <v>3745</v>
      </c>
      <c r="G72" s="32" t="s">
        <v>2893</v>
      </c>
      <c r="H72" s="479" t="s">
        <v>4256</v>
      </c>
      <c r="I72" s="32"/>
      <c r="J72" s="32"/>
      <c r="K72" s="32"/>
      <c r="L72" s="32"/>
      <c r="M72" s="32"/>
      <c r="N72" s="316"/>
    </row>
    <row r="73" spans="1:14" s="373" customFormat="1" ht="18.75" x14ac:dyDescent="0.2">
      <c r="A73" s="32">
        <f>ROW()-ROW(สำนักงาน!$A$6)+1</f>
        <v>68</v>
      </c>
      <c r="B73" s="52" t="s">
        <v>2940</v>
      </c>
      <c r="C73" s="32" t="s">
        <v>2943</v>
      </c>
      <c r="D73" s="32" t="s">
        <v>2944</v>
      </c>
      <c r="E73" s="53" t="s">
        <v>2862</v>
      </c>
      <c r="F73" s="54">
        <v>3745</v>
      </c>
      <c r="G73" s="32" t="s">
        <v>2893</v>
      </c>
      <c r="H73" s="479" t="s">
        <v>4256</v>
      </c>
      <c r="I73" s="32"/>
      <c r="J73" s="32"/>
      <c r="K73" s="32"/>
      <c r="L73" s="32"/>
      <c r="M73" s="32"/>
      <c r="N73" s="316" t="s">
        <v>3833</v>
      </c>
    </row>
    <row r="74" spans="1:14" s="373" customFormat="1" ht="56.25" x14ac:dyDescent="0.2">
      <c r="A74" s="32">
        <f>ROW()-ROW(สำนักงาน!$A$6)+1</f>
        <v>69</v>
      </c>
      <c r="B74" s="52" t="s">
        <v>2945</v>
      </c>
      <c r="C74" s="32" t="s">
        <v>2946</v>
      </c>
      <c r="D74" s="32" t="s">
        <v>2947</v>
      </c>
      <c r="E74" s="53" t="s">
        <v>2862</v>
      </c>
      <c r="F74" s="54">
        <v>4280</v>
      </c>
      <c r="G74" s="32" t="s">
        <v>2893</v>
      </c>
      <c r="H74" s="479" t="s">
        <v>4256</v>
      </c>
      <c r="I74" s="32"/>
      <c r="J74" s="32"/>
      <c r="K74" s="32"/>
      <c r="L74" s="32"/>
      <c r="M74" s="32"/>
      <c r="N74" s="316" t="s">
        <v>3835</v>
      </c>
    </row>
    <row r="75" spans="1:14" s="373" customFormat="1" ht="56.25" x14ac:dyDescent="0.2">
      <c r="A75" s="32">
        <f>ROW()-ROW(สำนักงาน!$A$6)+1</f>
        <v>70</v>
      </c>
      <c r="B75" s="52" t="s">
        <v>2945</v>
      </c>
      <c r="C75" s="32" t="s">
        <v>2948</v>
      </c>
      <c r="D75" s="32" t="s">
        <v>2949</v>
      </c>
      <c r="E75" s="53" t="s">
        <v>2862</v>
      </c>
      <c r="F75" s="54">
        <v>4280</v>
      </c>
      <c r="G75" s="32" t="s">
        <v>2893</v>
      </c>
      <c r="H75" s="479" t="s">
        <v>4256</v>
      </c>
      <c r="I75" s="32"/>
      <c r="J75" s="32"/>
      <c r="K75" s="32"/>
      <c r="L75" s="32"/>
      <c r="M75" s="32"/>
      <c r="N75" s="316" t="s">
        <v>3835</v>
      </c>
    </row>
    <row r="76" spans="1:14" s="373" customFormat="1" ht="56.25" x14ac:dyDescent="0.2">
      <c r="A76" s="32">
        <f>ROW()-ROW(สำนักงาน!$A$6)+1</f>
        <v>71</v>
      </c>
      <c r="B76" s="52" t="s">
        <v>2950</v>
      </c>
      <c r="C76" s="32" t="s">
        <v>2951</v>
      </c>
      <c r="D76" s="32" t="s">
        <v>2952</v>
      </c>
      <c r="E76" s="53" t="s">
        <v>2862</v>
      </c>
      <c r="F76" s="54">
        <v>4280</v>
      </c>
      <c r="G76" s="32" t="s">
        <v>2893</v>
      </c>
      <c r="H76" s="479" t="s">
        <v>4256</v>
      </c>
      <c r="I76" s="32"/>
      <c r="J76" s="32"/>
      <c r="K76" s="32"/>
      <c r="L76" s="32"/>
      <c r="M76" s="32"/>
      <c r="N76" s="316" t="s">
        <v>3835</v>
      </c>
    </row>
    <row r="77" spans="1:14" s="373" customFormat="1" ht="56.25" x14ac:dyDescent="0.2">
      <c r="A77" s="32">
        <f>ROW()-ROW(สำนักงาน!$A$6)+1</f>
        <v>72</v>
      </c>
      <c r="B77" s="52" t="s">
        <v>2953</v>
      </c>
      <c r="C77" s="32" t="s">
        <v>2954</v>
      </c>
      <c r="D77" s="32" t="s">
        <v>2955</v>
      </c>
      <c r="E77" s="53" t="s">
        <v>2862</v>
      </c>
      <c r="F77" s="54">
        <v>4280</v>
      </c>
      <c r="G77" s="32" t="s">
        <v>2893</v>
      </c>
      <c r="H77" s="479" t="s">
        <v>4256</v>
      </c>
      <c r="I77" s="32"/>
      <c r="J77" s="32"/>
      <c r="K77" s="32"/>
      <c r="L77" s="32"/>
      <c r="M77" s="32"/>
      <c r="N77" s="316" t="s">
        <v>3835</v>
      </c>
    </row>
    <row r="78" spans="1:14" s="373" customFormat="1" ht="56.25" x14ac:dyDescent="0.2">
      <c r="A78" s="32">
        <f>ROW()-ROW(สำนักงาน!$A$6)+1</f>
        <v>73</v>
      </c>
      <c r="B78" s="52" t="s">
        <v>2953</v>
      </c>
      <c r="C78" s="32" t="s">
        <v>2956</v>
      </c>
      <c r="D78" s="32" t="s">
        <v>2957</v>
      </c>
      <c r="E78" s="53" t="s">
        <v>2862</v>
      </c>
      <c r="F78" s="54">
        <v>4280</v>
      </c>
      <c r="G78" s="32" t="s">
        <v>2893</v>
      </c>
      <c r="H78" s="479" t="s">
        <v>4256</v>
      </c>
      <c r="I78" s="32"/>
      <c r="J78" s="32"/>
      <c r="K78" s="32"/>
      <c r="L78" s="32"/>
      <c r="M78" s="32"/>
      <c r="N78" s="316" t="s">
        <v>3835</v>
      </c>
    </row>
    <row r="79" spans="1:14" s="373" customFormat="1" ht="56.25" x14ac:dyDescent="0.2">
      <c r="A79" s="32">
        <f>ROW()-ROW(สำนักงาน!$A$6)+1</f>
        <v>74</v>
      </c>
      <c r="B79" s="52" t="s">
        <v>2953</v>
      </c>
      <c r="C79" s="32" t="s">
        <v>2958</v>
      </c>
      <c r="D79" s="32" t="s">
        <v>2959</v>
      </c>
      <c r="E79" s="53" t="s">
        <v>2862</v>
      </c>
      <c r="F79" s="54">
        <v>4280</v>
      </c>
      <c r="G79" s="32" t="s">
        <v>2893</v>
      </c>
      <c r="H79" s="479" t="s">
        <v>4256</v>
      </c>
      <c r="I79" s="32"/>
      <c r="J79" s="32"/>
      <c r="K79" s="32"/>
      <c r="L79" s="32"/>
      <c r="M79" s="32"/>
      <c r="N79" s="316" t="s">
        <v>3843</v>
      </c>
    </row>
    <row r="80" spans="1:14" s="373" customFormat="1" ht="56.25" x14ac:dyDescent="0.2">
      <c r="A80" s="32">
        <f>ROW()-ROW(สำนักงาน!$A$6)+1</f>
        <v>75</v>
      </c>
      <c r="B80" s="52" t="s">
        <v>2960</v>
      </c>
      <c r="C80" s="32" t="s">
        <v>2961</v>
      </c>
      <c r="D80" s="32" t="s">
        <v>2962</v>
      </c>
      <c r="E80" s="53" t="s">
        <v>2862</v>
      </c>
      <c r="F80" s="54">
        <v>4280</v>
      </c>
      <c r="G80" s="32" t="s">
        <v>2893</v>
      </c>
      <c r="H80" s="479" t="s">
        <v>4256</v>
      </c>
      <c r="I80" s="32"/>
      <c r="J80" s="32"/>
      <c r="K80" s="32"/>
      <c r="L80" s="32"/>
      <c r="M80" s="32"/>
      <c r="N80" s="316" t="s">
        <v>3835</v>
      </c>
    </row>
    <row r="81" spans="1:14" s="373" customFormat="1" ht="56.25" x14ac:dyDescent="0.2">
      <c r="A81" s="32">
        <f>ROW()-ROW(สำนักงาน!$A$6)+1</f>
        <v>76</v>
      </c>
      <c r="B81" s="52" t="s">
        <v>2963</v>
      </c>
      <c r="C81" s="32" t="s">
        <v>2964</v>
      </c>
      <c r="D81" s="32" t="s">
        <v>2965</v>
      </c>
      <c r="E81" s="53" t="s">
        <v>2862</v>
      </c>
      <c r="F81" s="54">
        <v>4280</v>
      </c>
      <c r="G81" s="32" t="s">
        <v>2893</v>
      </c>
      <c r="H81" s="479" t="s">
        <v>4256</v>
      </c>
      <c r="I81" s="32"/>
      <c r="J81" s="32"/>
      <c r="K81" s="32"/>
      <c r="L81" s="32"/>
      <c r="M81" s="32"/>
      <c r="N81" s="316" t="s">
        <v>3835</v>
      </c>
    </row>
    <row r="82" spans="1:14" s="373" customFormat="1" ht="37.5" x14ac:dyDescent="0.2">
      <c r="A82" s="32">
        <f>ROW()-ROW(สำนักงาน!$A$6)+1</f>
        <v>77</v>
      </c>
      <c r="B82" s="52" t="s">
        <v>2966</v>
      </c>
      <c r="C82" s="32" t="s">
        <v>2967</v>
      </c>
      <c r="D82" s="32" t="s">
        <v>2968</v>
      </c>
      <c r="E82" s="53" t="s">
        <v>2862</v>
      </c>
      <c r="F82" s="54">
        <v>2140</v>
      </c>
      <c r="G82" s="32" t="s">
        <v>2893</v>
      </c>
      <c r="H82" s="479" t="s">
        <v>4256</v>
      </c>
      <c r="I82" s="32"/>
      <c r="J82" s="32"/>
      <c r="K82" s="32"/>
      <c r="L82" s="32"/>
      <c r="M82" s="32"/>
      <c r="N82" s="316"/>
    </row>
    <row r="83" spans="1:14" s="373" customFormat="1" ht="37.5" x14ac:dyDescent="0.2">
      <c r="A83" s="32">
        <f>ROW()-ROW(สำนักงาน!$A$6)+1</f>
        <v>78</v>
      </c>
      <c r="B83" s="52" t="s">
        <v>2966</v>
      </c>
      <c r="C83" s="32" t="s">
        <v>2969</v>
      </c>
      <c r="D83" s="32" t="s">
        <v>2970</v>
      </c>
      <c r="E83" s="53" t="s">
        <v>2862</v>
      </c>
      <c r="F83" s="54">
        <v>2140</v>
      </c>
      <c r="G83" s="32" t="s">
        <v>2893</v>
      </c>
      <c r="H83" s="479" t="s">
        <v>4256</v>
      </c>
      <c r="I83" s="32"/>
      <c r="J83" s="32"/>
      <c r="K83" s="32"/>
      <c r="L83" s="32"/>
      <c r="M83" s="32"/>
      <c r="N83" s="316"/>
    </row>
    <row r="84" spans="1:14" s="373" customFormat="1" ht="37.5" x14ac:dyDescent="0.2">
      <c r="A84" s="32">
        <f>ROW()-ROW(สำนักงาน!$A$6)+1</f>
        <v>79</v>
      </c>
      <c r="B84" s="52" t="s">
        <v>2966</v>
      </c>
      <c r="C84" s="32" t="s">
        <v>2971</v>
      </c>
      <c r="D84" s="32" t="s">
        <v>2972</v>
      </c>
      <c r="E84" s="53" t="s">
        <v>2862</v>
      </c>
      <c r="F84" s="54">
        <v>2140</v>
      </c>
      <c r="G84" s="32" t="s">
        <v>2893</v>
      </c>
      <c r="H84" s="479" t="s">
        <v>4256</v>
      </c>
      <c r="I84" s="32"/>
      <c r="J84" s="32"/>
      <c r="K84" s="32"/>
      <c r="L84" s="32"/>
      <c r="M84" s="32"/>
      <c r="N84" s="316"/>
    </row>
    <row r="85" spans="1:14" s="373" customFormat="1" ht="37.5" x14ac:dyDescent="0.2">
      <c r="A85" s="32">
        <f>ROW()-ROW(สำนักงาน!$A$6)+1</f>
        <v>80</v>
      </c>
      <c r="B85" s="52" t="s">
        <v>2966</v>
      </c>
      <c r="C85" s="32" t="s">
        <v>2973</v>
      </c>
      <c r="D85" s="32" t="s">
        <v>2974</v>
      </c>
      <c r="E85" s="53" t="s">
        <v>2862</v>
      </c>
      <c r="F85" s="54">
        <v>2140</v>
      </c>
      <c r="G85" s="32" t="s">
        <v>2893</v>
      </c>
      <c r="H85" s="479" t="s">
        <v>4256</v>
      </c>
      <c r="I85" s="32"/>
      <c r="J85" s="32"/>
      <c r="K85" s="32"/>
      <c r="L85" s="32"/>
      <c r="M85" s="32"/>
      <c r="N85" s="316"/>
    </row>
    <row r="86" spans="1:14" s="373" customFormat="1" ht="37.5" x14ac:dyDescent="0.2">
      <c r="A86" s="32">
        <f>ROW()-ROW(สำนักงาน!$A$6)+1</f>
        <v>81</v>
      </c>
      <c r="B86" s="52" t="s">
        <v>2966</v>
      </c>
      <c r="C86" s="32" t="s">
        <v>2975</v>
      </c>
      <c r="D86" s="32" t="s">
        <v>2976</v>
      </c>
      <c r="E86" s="53" t="s">
        <v>2862</v>
      </c>
      <c r="F86" s="54">
        <v>2140</v>
      </c>
      <c r="G86" s="32" t="s">
        <v>2893</v>
      </c>
      <c r="H86" s="479" t="s">
        <v>4256</v>
      </c>
      <c r="I86" s="32"/>
      <c r="J86" s="32"/>
      <c r="K86" s="32"/>
      <c r="L86" s="32"/>
      <c r="M86" s="32"/>
      <c r="N86" s="316"/>
    </row>
    <row r="87" spans="1:14" s="373" customFormat="1" ht="37.5" x14ac:dyDescent="0.2">
      <c r="A87" s="32">
        <f>ROW()-ROW(สำนักงาน!$A$6)+1</f>
        <v>82</v>
      </c>
      <c r="B87" s="52" t="s">
        <v>2966</v>
      </c>
      <c r="C87" s="32" t="s">
        <v>2977</v>
      </c>
      <c r="D87" s="32" t="s">
        <v>2978</v>
      </c>
      <c r="E87" s="53" t="s">
        <v>2862</v>
      </c>
      <c r="F87" s="54">
        <v>2140</v>
      </c>
      <c r="G87" s="32" t="s">
        <v>2893</v>
      </c>
      <c r="H87" s="479" t="s">
        <v>4256</v>
      </c>
      <c r="I87" s="32"/>
      <c r="J87" s="32"/>
      <c r="K87" s="32"/>
      <c r="L87" s="32"/>
      <c r="M87" s="32"/>
      <c r="N87" s="316"/>
    </row>
    <row r="88" spans="1:14" s="373" customFormat="1" ht="37.5" x14ac:dyDescent="0.2">
      <c r="A88" s="32">
        <f>ROW()-ROW(สำนักงาน!$A$6)+1</f>
        <v>83</v>
      </c>
      <c r="B88" s="52" t="s">
        <v>2966</v>
      </c>
      <c r="C88" s="32" t="s">
        <v>2979</v>
      </c>
      <c r="D88" s="32" t="s">
        <v>2980</v>
      </c>
      <c r="E88" s="53" t="s">
        <v>2862</v>
      </c>
      <c r="F88" s="54">
        <v>2140</v>
      </c>
      <c r="G88" s="32" t="s">
        <v>2893</v>
      </c>
      <c r="H88" s="479" t="s">
        <v>4256</v>
      </c>
      <c r="I88" s="32"/>
      <c r="J88" s="32"/>
      <c r="K88" s="32"/>
      <c r="L88" s="32"/>
      <c r="M88" s="32"/>
      <c r="N88" s="316"/>
    </row>
    <row r="89" spans="1:14" s="373" customFormat="1" ht="37.5" x14ac:dyDescent="0.2">
      <c r="A89" s="32">
        <f>ROW()-ROW(สำนักงาน!$A$6)+1</f>
        <v>84</v>
      </c>
      <c r="B89" s="52" t="s">
        <v>2966</v>
      </c>
      <c r="C89" s="32" t="s">
        <v>2981</v>
      </c>
      <c r="D89" s="32" t="s">
        <v>2982</v>
      </c>
      <c r="E89" s="53" t="s">
        <v>2862</v>
      </c>
      <c r="F89" s="54">
        <v>2140</v>
      </c>
      <c r="G89" s="32" t="s">
        <v>2893</v>
      </c>
      <c r="H89" s="479" t="s">
        <v>4256</v>
      </c>
      <c r="I89" s="32"/>
      <c r="J89" s="32"/>
      <c r="K89" s="32"/>
      <c r="L89" s="32"/>
      <c r="M89" s="32"/>
      <c r="N89" s="316"/>
    </row>
    <row r="90" spans="1:14" s="373" customFormat="1" ht="37.5" x14ac:dyDescent="0.2">
      <c r="A90" s="32">
        <f>ROW()-ROW(สำนักงาน!$A$6)+1</f>
        <v>85</v>
      </c>
      <c r="B90" s="52" t="s">
        <v>2966</v>
      </c>
      <c r="C90" s="32" t="s">
        <v>2983</v>
      </c>
      <c r="D90" s="32" t="s">
        <v>2984</v>
      </c>
      <c r="E90" s="53" t="s">
        <v>2862</v>
      </c>
      <c r="F90" s="54">
        <v>2140</v>
      </c>
      <c r="G90" s="32" t="s">
        <v>2893</v>
      </c>
      <c r="H90" s="479" t="s">
        <v>4256</v>
      </c>
      <c r="I90" s="32"/>
      <c r="J90" s="32"/>
      <c r="K90" s="32"/>
      <c r="L90" s="32"/>
      <c r="M90" s="32"/>
      <c r="N90" s="316"/>
    </row>
    <row r="91" spans="1:14" s="373" customFormat="1" ht="37.5" x14ac:dyDescent="0.2">
      <c r="A91" s="32">
        <f>ROW()-ROW(สำนักงาน!$A$6)+1</f>
        <v>86</v>
      </c>
      <c r="B91" s="52" t="s">
        <v>2966</v>
      </c>
      <c r="C91" s="32" t="s">
        <v>2985</v>
      </c>
      <c r="D91" s="32" t="s">
        <v>2986</v>
      </c>
      <c r="E91" s="53" t="s">
        <v>2862</v>
      </c>
      <c r="F91" s="54">
        <v>2140</v>
      </c>
      <c r="G91" s="32" t="s">
        <v>2893</v>
      </c>
      <c r="H91" s="479" t="s">
        <v>4256</v>
      </c>
      <c r="I91" s="32"/>
      <c r="J91" s="32"/>
      <c r="K91" s="32"/>
      <c r="L91" s="32"/>
      <c r="M91" s="32"/>
      <c r="N91" s="316"/>
    </row>
    <row r="92" spans="1:14" s="373" customFormat="1" ht="37.5" x14ac:dyDescent="0.2">
      <c r="A92" s="32">
        <f>ROW()-ROW(สำนักงาน!$A$6)+1</f>
        <v>87</v>
      </c>
      <c r="B92" s="52" t="s">
        <v>2966</v>
      </c>
      <c r="C92" s="32" t="s">
        <v>2987</v>
      </c>
      <c r="D92" s="32" t="s">
        <v>2988</v>
      </c>
      <c r="E92" s="53" t="s">
        <v>2862</v>
      </c>
      <c r="F92" s="54">
        <v>2140</v>
      </c>
      <c r="G92" s="32" t="s">
        <v>2893</v>
      </c>
      <c r="H92" s="479" t="s">
        <v>4256</v>
      </c>
      <c r="I92" s="32"/>
      <c r="J92" s="32"/>
      <c r="K92" s="32"/>
      <c r="L92" s="32"/>
      <c r="M92" s="32"/>
      <c r="N92" s="316"/>
    </row>
    <row r="93" spans="1:14" s="373" customFormat="1" ht="37.5" x14ac:dyDescent="0.2">
      <c r="A93" s="32">
        <f>ROW()-ROW(สำนักงาน!$A$6)+1</f>
        <v>88</v>
      </c>
      <c r="B93" s="52" t="s">
        <v>2966</v>
      </c>
      <c r="C93" s="32" t="s">
        <v>2989</v>
      </c>
      <c r="D93" s="32" t="s">
        <v>2990</v>
      </c>
      <c r="E93" s="53" t="s">
        <v>2862</v>
      </c>
      <c r="F93" s="54">
        <v>2140</v>
      </c>
      <c r="G93" s="32" t="s">
        <v>2893</v>
      </c>
      <c r="H93" s="479" t="s">
        <v>4256</v>
      </c>
      <c r="I93" s="32"/>
      <c r="J93" s="32"/>
      <c r="K93" s="32"/>
      <c r="L93" s="32"/>
      <c r="M93" s="32"/>
      <c r="N93" s="316"/>
    </row>
    <row r="94" spans="1:14" s="373" customFormat="1" ht="37.5" x14ac:dyDescent="0.2">
      <c r="A94" s="32">
        <f>ROW()-ROW(สำนักงาน!$A$6)+1</f>
        <v>89</v>
      </c>
      <c r="B94" s="52" t="s">
        <v>2966</v>
      </c>
      <c r="C94" s="32" t="s">
        <v>2991</v>
      </c>
      <c r="D94" s="32" t="s">
        <v>2992</v>
      </c>
      <c r="E94" s="53" t="s">
        <v>2862</v>
      </c>
      <c r="F94" s="54">
        <v>2140</v>
      </c>
      <c r="G94" s="32" t="s">
        <v>2893</v>
      </c>
      <c r="H94" s="479" t="s">
        <v>4256</v>
      </c>
      <c r="I94" s="32"/>
      <c r="J94" s="32"/>
      <c r="K94" s="32"/>
      <c r="L94" s="32"/>
      <c r="M94" s="32"/>
      <c r="N94" s="316"/>
    </row>
    <row r="95" spans="1:14" s="373" customFormat="1" ht="37.5" x14ac:dyDescent="0.2">
      <c r="A95" s="32">
        <f>ROW()-ROW(สำนักงาน!$A$6)+1</f>
        <v>90</v>
      </c>
      <c r="B95" s="52" t="s">
        <v>2966</v>
      </c>
      <c r="C95" s="32" t="s">
        <v>2993</v>
      </c>
      <c r="D95" s="32" t="s">
        <v>2994</v>
      </c>
      <c r="E95" s="53" t="s">
        <v>2862</v>
      </c>
      <c r="F95" s="54">
        <v>2140</v>
      </c>
      <c r="G95" s="32" t="s">
        <v>2893</v>
      </c>
      <c r="H95" s="479" t="s">
        <v>4256</v>
      </c>
      <c r="I95" s="32"/>
      <c r="J95" s="32"/>
      <c r="K95" s="32"/>
      <c r="L95" s="32"/>
      <c r="M95" s="32"/>
      <c r="N95" s="316"/>
    </row>
    <row r="96" spans="1:14" s="373" customFormat="1" ht="37.5" x14ac:dyDescent="0.2">
      <c r="A96" s="32">
        <f>ROW()-ROW(สำนักงาน!$A$6)+1</f>
        <v>91</v>
      </c>
      <c r="B96" s="52" t="s">
        <v>2966</v>
      </c>
      <c r="C96" s="32" t="s">
        <v>2995</v>
      </c>
      <c r="D96" s="32" t="s">
        <v>2996</v>
      </c>
      <c r="E96" s="53" t="s">
        <v>2862</v>
      </c>
      <c r="F96" s="54">
        <v>2140</v>
      </c>
      <c r="G96" s="32" t="s">
        <v>2893</v>
      </c>
      <c r="H96" s="479" t="s">
        <v>4256</v>
      </c>
      <c r="I96" s="32"/>
      <c r="J96" s="32"/>
      <c r="K96" s="32"/>
      <c r="L96" s="32"/>
      <c r="M96" s="32"/>
      <c r="N96" s="316"/>
    </row>
    <row r="97" spans="1:14" s="373" customFormat="1" ht="37.5" x14ac:dyDescent="0.2">
      <c r="A97" s="32">
        <f>ROW()-ROW(สำนักงาน!$A$6)+1</f>
        <v>92</v>
      </c>
      <c r="B97" s="52" t="s">
        <v>2966</v>
      </c>
      <c r="C97" s="32" t="s">
        <v>2997</v>
      </c>
      <c r="D97" s="32" t="s">
        <v>2998</v>
      </c>
      <c r="E97" s="53" t="s">
        <v>2862</v>
      </c>
      <c r="F97" s="54">
        <v>2140</v>
      </c>
      <c r="G97" s="32" t="s">
        <v>2893</v>
      </c>
      <c r="H97" s="479" t="s">
        <v>4256</v>
      </c>
      <c r="I97" s="32"/>
      <c r="J97" s="32"/>
      <c r="K97" s="32"/>
      <c r="L97" s="32"/>
      <c r="M97" s="32"/>
      <c r="N97" s="316"/>
    </row>
    <row r="98" spans="1:14" s="373" customFormat="1" ht="37.5" x14ac:dyDescent="0.2">
      <c r="A98" s="32">
        <f>ROW()-ROW(สำนักงาน!$A$6)+1</f>
        <v>93</v>
      </c>
      <c r="B98" s="52" t="s">
        <v>2966</v>
      </c>
      <c r="C98" s="32" t="s">
        <v>2999</v>
      </c>
      <c r="D98" s="32" t="s">
        <v>3000</v>
      </c>
      <c r="E98" s="53" t="s">
        <v>2862</v>
      </c>
      <c r="F98" s="54">
        <v>2140</v>
      </c>
      <c r="G98" s="32" t="s">
        <v>2893</v>
      </c>
      <c r="H98" s="479" t="s">
        <v>4256</v>
      </c>
      <c r="I98" s="32"/>
      <c r="J98" s="32"/>
      <c r="K98" s="32"/>
      <c r="L98" s="32"/>
      <c r="M98" s="32"/>
      <c r="N98" s="316"/>
    </row>
    <row r="99" spans="1:14" s="373" customFormat="1" ht="37.5" x14ac:dyDescent="0.2">
      <c r="A99" s="32">
        <f>ROW()-ROW(สำนักงาน!$A$6)+1</f>
        <v>94</v>
      </c>
      <c r="B99" s="52" t="s">
        <v>2966</v>
      </c>
      <c r="C99" s="32" t="s">
        <v>3001</v>
      </c>
      <c r="D99" s="32" t="s">
        <v>3002</v>
      </c>
      <c r="E99" s="53" t="s">
        <v>2862</v>
      </c>
      <c r="F99" s="54">
        <v>2140</v>
      </c>
      <c r="G99" s="32" t="s">
        <v>2893</v>
      </c>
      <c r="H99" s="479" t="s">
        <v>4256</v>
      </c>
      <c r="I99" s="32"/>
      <c r="J99" s="32"/>
      <c r="K99" s="32"/>
      <c r="L99" s="32"/>
      <c r="M99" s="32"/>
      <c r="N99" s="316"/>
    </row>
    <row r="100" spans="1:14" s="373" customFormat="1" ht="37.5" x14ac:dyDescent="0.2">
      <c r="A100" s="32">
        <f>ROW()-ROW(สำนักงาน!$A$6)+1</f>
        <v>95</v>
      </c>
      <c r="B100" s="52" t="s">
        <v>2966</v>
      </c>
      <c r="C100" s="32" t="s">
        <v>3003</v>
      </c>
      <c r="D100" s="32" t="s">
        <v>3004</v>
      </c>
      <c r="E100" s="53" t="s">
        <v>2862</v>
      </c>
      <c r="F100" s="54">
        <v>2140</v>
      </c>
      <c r="G100" s="32" t="s">
        <v>2893</v>
      </c>
      <c r="H100" s="479" t="s">
        <v>4256</v>
      </c>
      <c r="I100" s="32"/>
      <c r="J100" s="32"/>
      <c r="K100" s="32"/>
      <c r="L100" s="32"/>
      <c r="M100" s="32"/>
      <c r="N100" s="316"/>
    </row>
    <row r="101" spans="1:14" s="373" customFormat="1" ht="37.5" x14ac:dyDescent="0.2">
      <c r="A101" s="32">
        <f>ROW()-ROW(สำนักงาน!$A$6)+1</f>
        <v>96</v>
      </c>
      <c r="B101" s="52" t="s">
        <v>2966</v>
      </c>
      <c r="C101" s="32" t="s">
        <v>3005</v>
      </c>
      <c r="D101" s="32" t="s">
        <v>3006</v>
      </c>
      <c r="E101" s="53" t="s">
        <v>2862</v>
      </c>
      <c r="F101" s="54">
        <v>2140</v>
      </c>
      <c r="G101" s="32" t="s">
        <v>2893</v>
      </c>
      <c r="H101" s="479" t="s">
        <v>4256</v>
      </c>
      <c r="I101" s="32"/>
      <c r="J101" s="32"/>
      <c r="K101" s="32"/>
      <c r="L101" s="32"/>
      <c r="M101" s="32"/>
      <c r="N101" s="316"/>
    </row>
    <row r="102" spans="1:14" s="373" customFormat="1" ht="37.5" x14ac:dyDescent="0.2">
      <c r="A102" s="32">
        <f>ROW()-ROW(สำนักงาน!$A$6)+1</f>
        <v>97</v>
      </c>
      <c r="B102" s="52" t="s">
        <v>3007</v>
      </c>
      <c r="C102" s="32" t="s">
        <v>3008</v>
      </c>
      <c r="D102" s="32" t="s">
        <v>3009</v>
      </c>
      <c r="E102" s="53" t="s">
        <v>2862</v>
      </c>
      <c r="F102" s="54">
        <v>3210</v>
      </c>
      <c r="G102" s="32" t="s">
        <v>2893</v>
      </c>
      <c r="H102" s="479" t="s">
        <v>4256</v>
      </c>
      <c r="I102" s="32"/>
      <c r="J102" s="32"/>
      <c r="K102" s="32"/>
      <c r="L102" s="32"/>
      <c r="M102" s="32"/>
      <c r="N102" s="285" t="s">
        <v>3854</v>
      </c>
    </row>
    <row r="103" spans="1:14" s="373" customFormat="1" ht="37.5" x14ac:dyDescent="0.2">
      <c r="A103" s="32">
        <f>ROW()-ROW(สำนักงาน!$A$6)+1</f>
        <v>98</v>
      </c>
      <c r="B103" s="52" t="s">
        <v>3007</v>
      </c>
      <c r="C103" s="32" t="s">
        <v>3010</v>
      </c>
      <c r="D103" s="32" t="s">
        <v>3011</v>
      </c>
      <c r="E103" s="53" t="s">
        <v>2862</v>
      </c>
      <c r="F103" s="54">
        <v>3210</v>
      </c>
      <c r="G103" s="32" t="s">
        <v>2893</v>
      </c>
      <c r="H103" s="479" t="s">
        <v>4256</v>
      </c>
      <c r="I103" s="32"/>
      <c r="J103" s="32"/>
      <c r="K103" s="32"/>
      <c r="L103" s="32"/>
      <c r="M103" s="32"/>
      <c r="N103" s="285" t="s">
        <v>3854</v>
      </c>
    </row>
    <row r="104" spans="1:14" s="373" customFormat="1" ht="37.5" x14ac:dyDescent="0.2">
      <c r="A104" s="32">
        <f>ROW()-ROW(สำนักงาน!$A$6)+1</f>
        <v>99</v>
      </c>
      <c r="B104" s="52" t="s">
        <v>3007</v>
      </c>
      <c r="C104" s="32" t="s">
        <v>3012</v>
      </c>
      <c r="D104" s="32" t="s">
        <v>3013</v>
      </c>
      <c r="E104" s="53" t="s">
        <v>2862</v>
      </c>
      <c r="F104" s="54">
        <v>3210</v>
      </c>
      <c r="G104" s="32" t="s">
        <v>2893</v>
      </c>
      <c r="H104" s="479" t="s">
        <v>4256</v>
      </c>
      <c r="I104" s="32"/>
      <c r="J104" s="32"/>
      <c r="K104" s="32"/>
      <c r="L104" s="32"/>
      <c r="M104" s="32"/>
      <c r="N104" s="285" t="s">
        <v>3854</v>
      </c>
    </row>
    <row r="105" spans="1:14" s="373" customFormat="1" ht="37.5" x14ac:dyDescent="0.2">
      <c r="A105" s="32">
        <f>ROW()-ROW(สำนักงาน!$A$6)+1</f>
        <v>100</v>
      </c>
      <c r="B105" s="52" t="s">
        <v>3007</v>
      </c>
      <c r="C105" s="32" t="s">
        <v>3014</v>
      </c>
      <c r="D105" s="32" t="s">
        <v>3015</v>
      </c>
      <c r="E105" s="53" t="s">
        <v>2862</v>
      </c>
      <c r="F105" s="54">
        <v>3210</v>
      </c>
      <c r="G105" s="32" t="s">
        <v>2893</v>
      </c>
      <c r="H105" s="479" t="s">
        <v>4256</v>
      </c>
      <c r="I105" s="32"/>
      <c r="J105" s="32"/>
      <c r="K105" s="32"/>
      <c r="L105" s="32"/>
      <c r="M105" s="32"/>
      <c r="N105" s="285" t="s">
        <v>3854</v>
      </c>
    </row>
    <row r="106" spans="1:14" s="401" customFormat="1" ht="21" x14ac:dyDescent="0.2">
      <c r="A106" s="32">
        <f>ROW()-ROW(สำนักงาน!$A$6)+1</f>
        <v>101</v>
      </c>
      <c r="B106" s="80" t="s">
        <v>1549</v>
      </c>
      <c r="C106" s="13" t="s">
        <v>1550</v>
      </c>
      <c r="D106" s="13" t="s">
        <v>1551</v>
      </c>
      <c r="E106" s="53" t="s">
        <v>1552</v>
      </c>
      <c r="F106" s="31">
        <v>2300</v>
      </c>
      <c r="G106" s="32" t="s">
        <v>21</v>
      </c>
      <c r="H106" s="32" t="s">
        <v>4256</v>
      </c>
      <c r="I106" s="32"/>
      <c r="J106" s="32"/>
      <c r="K106" s="32"/>
      <c r="L106" s="32"/>
      <c r="M106" s="32"/>
      <c r="N106" s="32"/>
    </row>
    <row r="107" spans="1:14" s="401" customFormat="1" ht="21" x14ac:dyDescent="0.2">
      <c r="A107" s="32">
        <f>ROW()-ROW(สำนักงาน!$A$6)+1</f>
        <v>102</v>
      </c>
      <c r="B107" s="80" t="s">
        <v>1549</v>
      </c>
      <c r="C107" s="13" t="s">
        <v>1553</v>
      </c>
      <c r="D107" s="13" t="s">
        <v>1554</v>
      </c>
      <c r="E107" s="53" t="s">
        <v>1552</v>
      </c>
      <c r="F107" s="31">
        <v>2300</v>
      </c>
      <c r="G107" s="32" t="s">
        <v>21</v>
      </c>
      <c r="H107" s="32" t="s">
        <v>4256</v>
      </c>
      <c r="I107" s="32"/>
      <c r="J107" s="32"/>
      <c r="K107" s="32"/>
      <c r="L107" s="32"/>
      <c r="M107" s="32"/>
      <c r="N107" s="81"/>
    </row>
    <row r="108" spans="1:14" s="401" customFormat="1" ht="21" x14ac:dyDescent="0.2">
      <c r="A108" s="32">
        <f>ROW()-ROW(สำนักงาน!$A$6)+1</f>
        <v>103</v>
      </c>
      <c r="B108" s="80" t="s">
        <v>1549</v>
      </c>
      <c r="C108" s="13" t="s">
        <v>1555</v>
      </c>
      <c r="D108" s="13" t="s">
        <v>1556</v>
      </c>
      <c r="E108" s="53" t="s">
        <v>1552</v>
      </c>
      <c r="F108" s="31">
        <v>2300</v>
      </c>
      <c r="G108" s="32" t="s">
        <v>21</v>
      </c>
      <c r="H108" s="32" t="s">
        <v>4256</v>
      </c>
      <c r="I108" s="32"/>
      <c r="J108" s="32"/>
      <c r="K108" s="32"/>
      <c r="L108" s="32"/>
      <c r="M108" s="32"/>
      <c r="N108" s="81"/>
    </row>
    <row r="109" spans="1:14" s="401" customFormat="1" ht="21" x14ac:dyDescent="0.2">
      <c r="A109" s="32">
        <f>ROW()-ROW(สำนักงาน!$A$6)+1</f>
        <v>104</v>
      </c>
      <c r="B109" s="80" t="s">
        <v>1549</v>
      </c>
      <c r="C109" s="13" t="s">
        <v>1557</v>
      </c>
      <c r="D109" s="13" t="s">
        <v>1558</v>
      </c>
      <c r="E109" s="53" t="s">
        <v>1552</v>
      </c>
      <c r="F109" s="31">
        <v>2300</v>
      </c>
      <c r="G109" s="32" t="s">
        <v>21</v>
      </c>
      <c r="H109" s="32" t="s">
        <v>4256</v>
      </c>
      <c r="I109" s="32"/>
      <c r="J109" s="32"/>
      <c r="K109" s="32"/>
      <c r="L109" s="32"/>
      <c r="M109" s="32"/>
      <c r="N109" s="81"/>
    </row>
    <row r="110" spans="1:14" s="401" customFormat="1" ht="21" x14ac:dyDescent="0.2">
      <c r="A110" s="32">
        <f>ROW()-ROW(สำนักงาน!$A$6)+1</f>
        <v>105</v>
      </c>
      <c r="B110" s="80" t="s">
        <v>1549</v>
      </c>
      <c r="C110" s="13" t="s">
        <v>1559</v>
      </c>
      <c r="D110" s="13" t="s">
        <v>1560</v>
      </c>
      <c r="E110" s="53" t="s">
        <v>1552</v>
      </c>
      <c r="F110" s="31">
        <v>2300</v>
      </c>
      <c r="G110" s="32" t="s">
        <v>21</v>
      </c>
      <c r="H110" s="32" t="s">
        <v>4256</v>
      </c>
      <c r="I110" s="32"/>
      <c r="J110" s="32"/>
      <c r="K110" s="32"/>
      <c r="L110" s="32"/>
      <c r="M110" s="32"/>
      <c r="N110" s="81"/>
    </row>
    <row r="111" spans="1:14" s="401" customFormat="1" ht="21" x14ac:dyDescent="0.2">
      <c r="A111" s="32">
        <f>ROW()-ROW(สำนักงาน!$A$6)+1</f>
        <v>106</v>
      </c>
      <c r="B111" s="80" t="s">
        <v>1549</v>
      </c>
      <c r="C111" s="13" t="s">
        <v>1561</v>
      </c>
      <c r="D111" s="13" t="s">
        <v>1562</v>
      </c>
      <c r="E111" s="53" t="s">
        <v>1552</v>
      </c>
      <c r="F111" s="31">
        <v>2300</v>
      </c>
      <c r="G111" s="32" t="s">
        <v>21</v>
      </c>
      <c r="H111" s="32" t="s">
        <v>4256</v>
      </c>
      <c r="I111" s="32"/>
      <c r="J111" s="32"/>
      <c r="K111" s="32"/>
      <c r="L111" s="32"/>
      <c r="M111" s="32"/>
      <c r="N111" s="81"/>
    </row>
    <row r="112" spans="1:14" s="401" customFormat="1" ht="21" x14ac:dyDescent="0.2">
      <c r="A112" s="32">
        <f>ROW()-ROW(สำนักงาน!$A$6)+1</f>
        <v>107</v>
      </c>
      <c r="B112" s="80" t="s">
        <v>1549</v>
      </c>
      <c r="C112" s="13" t="s">
        <v>1563</v>
      </c>
      <c r="D112" s="13" t="s">
        <v>1564</v>
      </c>
      <c r="E112" s="53" t="s">
        <v>1552</v>
      </c>
      <c r="F112" s="31">
        <v>2300</v>
      </c>
      <c r="G112" s="32" t="s">
        <v>21</v>
      </c>
      <c r="H112" s="32" t="s">
        <v>4256</v>
      </c>
      <c r="I112" s="32"/>
      <c r="J112" s="32"/>
      <c r="K112" s="32"/>
      <c r="L112" s="32"/>
      <c r="M112" s="32"/>
      <c r="N112" s="81"/>
    </row>
    <row r="113" spans="1:14" s="401" customFormat="1" ht="21" x14ac:dyDescent="0.2">
      <c r="A113" s="32">
        <f>ROW()-ROW(สำนักงาน!$A$6)+1</f>
        <v>108</v>
      </c>
      <c r="B113" s="80" t="s">
        <v>1549</v>
      </c>
      <c r="C113" s="13" t="s">
        <v>1565</v>
      </c>
      <c r="D113" s="13" t="s">
        <v>1566</v>
      </c>
      <c r="E113" s="53" t="s">
        <v>1552</v>
      </c>
      <c r="F113" s="31">
        <v>2300</v>
      </c>
      <c r="G113" s="32" t="s">
        <v>21</v>
      </c>
      <c r="H113" s="32" t="s">
        <v>4256</v>
      </c>
      <c r="I113" s="32"/>
      <c r="J113" s="32"/>
      <c r="K113" s="32"/>
      <c r="L113" s="32"/>
      <c r="M113" s="32"/>
      <c r="N113" s="81"/>
    </row>
    <row r="114" spans="1:14" s="401" customFormat="1" ht="21" x14ac:dyDescent="0.2">
      <c r="A114" s="32">
        <f>ROW()-ROW(สำนักงาน!$A$6)+1</f>
        <v>109</v>
      </c>
      <c r="B114" s="80" t="s">
        <v>1549</v>
      </c>
      <c r="C114" s="13" t="s">
        <v>1567</v>
      </c>
      <c r="D114" s="13" t="s">
        <v>1568</v>
      </c>
      <c r="E114" s="53" t="s">
        <v>1552</v>
      </c>
      <c r="F114" s="31">
        <v>2300</v>
      </c>
      <c r="G114" s="32" t="s">
        <v>21</v>
      </c>
      <c r="H114" s="32" t="s">
        <v>4256</v>
      </c>
      <c r="I114" s="32"/>
      <c r="J114" s="32"/>
      <c r="K114" s="32"/>
      <c r="L114" s="32"/>
      <c r="M114" s="32"/>
      <c r="N114" s="81"/>
    </row>
    <row r="115" spans="1:14" s="401" customFormat="1" ht="21" x14ac:dyDescent="0.2">
      <c r="A115" s="32">
        <f>ROW()-ROW(สำนักงาน!$A$6)+1</f>
        <v>110</v>
      </c>
      <c r="B115" s="80" t="s">
        <v>1549</v>
      </c>
      <c r="C115" s="13" t="s">
        <v>1569</v>
      </c>
      <c r="D115" s="13" t="s">
        <v>1570</v>
      </c>
      <c r="E115" s="53" t="s">
        <v>1552</v>
      </c>
      <c r="F115" s="31">
        <v>2300</v>
      </c>
      <c r="G115" s="32" t="s">
        <v>21</v>
      </c>
      <c r="H115" s="32" t="s">
        <v>4256</v>
      </c>
      <c r="I115" s="32"/>
      <c r="J115" s="32"/>
      <c r="K115" s="32"/>
      <c r="L115" s="32"/>
      <c r="M115" s="32"/>
      <c r="N115" s="81"/>
    </row>
    <row r="116" spans="1:14" s="401" customFormat="1" ht="21" x14ac:dyDescent="0.2">
      <c r="A116" s="32">
        <f>ROW()-ROW(สำนักงาน!$A$6)+1</f>
        <v>111</v>
      </c>
      <c r="B116" s="80" t="s">
        <v>1549</v>
      </c>
      <c r="C116" s="13" t="s">
        <v>1571</v>
      </c>
      <c r="D116" s="13" t="s">
        <v>1572</v>
      </c>
      <c r="E116" s="53" t="s">
        <v>1552</v>
      </c>
      <c r="F116" s="31">
        <v>2300</v>
      </c>
      <c r="G116" s="32" t="s">
        <v>21</v>
      </c>
      <c r="H116" s="32" t="s">
        <v>4256</v>
      </c>
      <c r="I116" s="32"/>
      <c r="J116" s="32"/>
      <c r="K116" s="32"/>
      <c r="L116" s="32"/>
      <c r="M116" s="32"/>
      <c r="N116" s="81"/>
    </row>
    <row r="117" spans="1:14" s="401" customFormat="1" ht="21" x14ac:dyDescent="0.2">
      <c r="A117" s="32">
        <f>ROW()-ROW(สำนักงาน!$A$6)+1</f>
        <v>112</v>
      </c>
      <c r="B117" s="80" t="s">
        <v>1549</v>
      </c>
      <c r="C117" s="13" t="s">
        <v>1573</v>
      </c>
      <c r="D117" s="13" t="s">
        <v>1574</v>
      </c>
      <c r="E117" s="53" t="s">
        <v>1552</v>
      </c>
      <c r="F117" s="31">
        <v>2300</v>
      </c>
      <c r="G117" s="32" t="s">
        <v>21</v>
      </c>
      <c r="H117" s="32" t="s">
        <v>4256</v>
      </c>
      <c r="I117" s="32"/>
      <c r="J117" s="32"/>
      <c r="K117" s="32"/>
      <c r="L117" s="32"/>
      <c r="M117" s="32"/>
      <c r="N117" s="81"/>
    </row>
    <row r="118" spans="1:14" s="401" customFormat="1" ht="21" x14ac:dyDescent="0.2">
      <c r="A118" s="32">
        <f>ROW()-ROW(สำนักงาน!$A$6)+1</f>
        <v>113</v>
      </c>
      <c r="B118" s="80" t="s">
        <v>1549</v>
      </c>
      <c r="C118" s="13" t="s">
        <v>1575</v>
      </c>
      <c r="D118" s="13" t="s">
        <v>1576</v>
      </c>
      <c r="E118" s="53" t="s">
        <v>1552</v>
      </c>
      <c r="F118" s="31">
        <v>2300</v>
      </c>
      <c r="G118" s="32" t="s">
        <v>21</v>
      </c>
      <c r="H118" s="32" t="s">
        <v>4256</v>
      </c>
      <c r="I118" s="32"/>
      <c r="J118" s="32"/>
      <c r="K118" s="32"/>
      <c r="L118" s="32"/>
      <c r="M118" s="32"/>
      <c r="N118" s="81"/>
    </row>
    <row r="119" spans="1:14" s="401" customFormat="1" ht="21" x14ac:dyDescent="0.2">
      <c r="A119" s="32">
        <f>ROW()-ROW(สำนักงาน!$A$6)+1</f>
        <v>114</v>
      </c>
      <c r="B119" s="80" t="s">
        <v>1549</v>
      </c>
      <c r="C119" s="13" t="s">
        <v>1577</v>
      </c>
      <c r="D119" s="13" t="s">
        <v>1578</v>
      </c>
      <c r="E119" s="53" t="s">
        <v>1552</v>
      </c>
      <c r="F119" s="31">
        <v>2300</v>
      </c>
      <c r="G119" s="32" t="s">
        <v>21</v>
      </c>
      <c r="H119" s="32" t="s">
        <v>4256</v>
      </c>
      <c r="I119" s="32"/>
      <c r="J119" s="32"/>
      <c r="K119" s="32"/>
      <c r="L119" s="32"/>
      <c r="M119" s="32"/>
      <c r="N119" s="81"/>
    </row>
    <row r="120" spans="1:14" s="401" customFormat="1" ht="21" x14ac:dyDescent="0.2">
      <c r="A120" s="32">
        <f>ROW()-ROW(สำนักงาน!$A$6)+1</f>
        <v>115</v>
      </c>
      <c r="B120" s="80" t="s">
        <v>1549</v>
      </c>
      <c r="C120" s="13" t="s">
        <v>1579</v>
      </c>
      <c r="D120" s="13" t="s">
        <v>1580</v>
      </c>
      <c r="E120" s="53" t="s">
        <v>1552</v>
      </c>
      <c r="F120" s="31">
        <v>2300</v>
      </c>
      <c r="G120" s="32" t="s">
        <v>21</v>
      </c>
      <c r="H120" s="32" t="s">
        <v>4256</v>
      </c>
      <c r="I120" s="32"/>
      <c r="J120" s="32"/>
      <c r="K120" s="32"/>
      <c r="L120" s="32"/>
      <c r="M120" s="32"/>
      <c r="N120" s="81"/>
    </row>
    <row r="121" spans="1:14" s="401" customFormat="1" ht="21" x14ac:dyDescent="0.2">
      <c r="A121" s="32">
        <f>ROW()-ROW(สำนักงาน!$A$6)+1</f>
        <v>116</v>
      </c>
      <c r="B121" s="80" t="s">
        <v>1549</v>
      </c>
      <c r="C121" s="13" t="s">
        <v>1581</v>
      </c>
      <c r="D121" s="13" t="s">
        <v>1582</v>
      </c>
      <c r="E121" s="53" t="s">
        <v>1552</v>
      </c>
      <c r="F121" s="31">
        <v>2300</v>
      </c>
      <c r="G121" s="32" t="s">
        <v>21</v>
      </c>
      <c r="H121" s="32" t="s">
        <v>4256</v>
      </c>
      <c r="I121" s="32"/>
      <c r="J121" s="32"/>
      <c r="K121" s="32"/>
      <c r="L121" s="32"/>
      <c r="M121" s="32"/>
      <c r="N121" s="81"/>
    </row>
    <row r="122" spans="1:14" s="401" customFormat="1" ht="21" x14ac:dyDescent="0.2">
      <c r="A122" s="32">
        <f>ROW()-ROW(สำนักงาน!$A$6)+1</f>
        <v>117</v>
      </c>
      <c r="B122" s="80" t="s">
        <v>1549</v>
      </c>
      <c r="C122" s="13" t="s">
        <v>1583</v>
      </c>
      <c r="D122" s="13" t="s">
        <v>1584</v>
      </c>
      <c r="E122" s="53" t="s">
        <v>1552</v>
      </c>
      <c r="F122" s="31">
        <v>2300</v>
      </c>
      <c r="G122" s="32" t="s">
        <v>21</v>
      </c>
      <c r="H122" s="32" t="s">
        <v>4256</v>
      </c>
      <c r="I122" s="32"/>
      <c r="J122" s="32"/>
      <c r="K122" s="32"/>
      <c r="L122" s="32"/>
      <c r="M122" s="32"/>
      <c r="N122" s="81"/>
    </row>
    <row r="123" spans="1:14" s="401" customFormat="1" ht="21" x14ac:dyDescent="0.2">
      <c r="A123" s="32">
        <f>ROW()-ROW(สำนักงาน!$A$6)+1</f>
        <v>118</v>
      </c>
      <c r="B123" s="80" t="s">
        <v>1549</v>
      </c>
      <c r="C123" s="13" t="s">
        <v>1585</v>
      </c>
      <c r="D123" s="13" t="s">
        <v>1586</v>
      </c>
      <c r="E123" s="53" t="s">
        <v>1552</v>
      </c>
      <c r="F123" s="31">
        <v>2300</v>
      </c>
      <c r="G123" s="32" t="s">
        <v>21</v>
      </c>
      <c r="H123" s="32" t="s">
        <v>4256</v>
      </c>
      <c r="I123" s="32"/>
      <c r="J123" s="32"/>
      <c r="K123" s="32"/>
      <c r="L123" s="32"/>
      <c r="M123" s="32"/>
      <c r="N123" s="81"/>
    </row>
    <row r="124" spans="1:14" s="401" customFormat="1" ht="21" x14ac:dyDescent="0.2">
      <c r="A124" s="32">
        <f>ROW()-ROW(สำนักงาน!$A$6)+1</f>
        <v>119</v>
      </c>
      <c r="B124" s="80" t="s">
        <v>1549</v>
      </c>
      <c r="C124" s="13" t="s">
        <v>1587</v>
      </c>
      <c r="D124" s="13" t="s">
        <v>1588</v>
      </c>
      <c r="E124" s="53" t="s">
        <v>1552</v>
      </c>
      <c r="F124" s="31">
        <v>2300</v>
      </c>
      <c r="G124" s="32" t="s">
        <v>21</v>
      </c>
      <c r="H124" s="32" t="s">
        <v>4256</v>
      </c>
      <c r="I124" s="32"/>
      <c r="J124" s="32"/>
      <c r="K124" s="32"/>
      <c r="L124" s="32"/>
      <c r="M124" s="32"/>
      <c r="N124" s="81"/>
    </row>
    <row r="125" spans="1:14" s="401" customFormat="1" ht="21" x14ac:dyDescent="0.2">
      <c r="A125" s="32">
        <f>ROW()-ROW(สำนักงาน!$A$6)+1</f>
        <v>120</v>
      </c>
      <c r="B125" s="55" t="s">
        <v>1589</v>
      </c>
      <c r="C125" s="13" t="s">
        <v>1590</v>
      </c>
      <c r="D125" s="13" t="s">
        <v>1591</v>
      </c>
      <c r="E125" s="53" t="s">
        <v>1592</v>
      </c>
      <c r="F125" s="31">
        <v>7500</v>
      </c>
      <c r="G125" s="32" t="s">
        <v>21</v>
      </c>
      <c r="H125" s="32" t="s">
        <v>4256</v>
      </c>
      <c r="I125" s="32"/>
      <c r="J125" s="32"/>
      <c r="K125" s="32"/>
      <c r="L125" s="32"/>
      <c r="M125" s="32"/>
      <c r="N125" s="81"/>
    </row>
    <row r="126" spans="1:14" s="401" customFormat="1" ht="21" x14ac:dyDescent="0.2">
      <c r="A126" s="32">
        <f>ROW()-ROW(สำนักงาน!$A$6)+1</f>
        <v>121</v>
      </c>
      <c r="B126" s="55" t="s">
        <v>319</v>
      </c>
      <c r="C126" s="13" t="s">
        <v>1593</v>
      </c>
      <c r="D126" s="13" t="s">
        <v>1594</v>
      </c>
      <c r="E126" s="53" t="s">
        <v>1592</v>
      </c>
      <c r="F126" s="31">
        <v>4000</v>
      </c>
      <c r="G126" s="32" t="s">
        <v>21</v>
      </c>
      <c r="H126" s="32" t="s">
        <v>4256</v>
      </c>
      <c r="I126" s="32"/>
      <c r="J126" s="32"/>
      <c r="K126" s="32"/>
      <c r="L126" s="32"/>
      <c r="M126" s="32"/>
      <c r="N126" s="81"/>
    </row>
    <row r="127" spans="1:14" s="401" customFormat="1" ht="21" x14ac:dyDescent="0.2">
      <c r="A127" s="32">
        <f>ROW()-ROW(สำนักงาน!$A$6)+1</f>
        <v>122</v>
      </c>
      <c r="B127" s="55" t="s">
        <v>1595</v>
      </c>
      <c r="C127" s="13" t="s">
        <v>1596</v>
      </c>
      <c r="D127" s="13" t="s">
        <v>1597</v>
      </c>
      <c r="E127" s="53" t="s">
        <v>1592</v>
      </c>
      <c r="F127" s="31">
        <v>19500</v>
      </c>
      <c r="G127" s="32" t="s">
        <v>21</v>
      </c>
      <c r="H127" s="32" t="s">
        <v>4256</v>
      </c>
      <c r="I127" s="32"/>
      <c r="J127" s="32"/>
      <c r="K127" s="32"/>
      <c r="L127" s="32"/>
      <c r="M127" s="32"/>
      <c r="N127" s="81"/>
    </row>
    <row r="128" spans="1:14" s="372" customFormat="1" ht="18.75" x14ac:dyDescent="0.3">
      <c r="A128" s="32">
        <f>ROW()-ROW(สำนักงาน!$A$6)+1</f>
        <v>123</v>
      </c>
      <c r="B128" s="55" t="s">
        <v>1369</v>
      </c>
      <c r="C128" s="308" t="s">
        <v>1370</v>
      </c>
      <c r="D128" s="13" t="s">
        <v>1371</v>
      </c>
      <c r="E128" s="319">
        <v>23766</v>
      </c>
      <c r="F128" s="310">
        <v>2300</v>
      </c>
      <c r="G128" s="308" t="s">
        <v>825</v>
      </c>
      <c r="H128" s="326" t="s">
        <v>4256</v>
      </c>
      <c r="I128" s="332"/>
      <c r="J128" s="332"/>
      <c r="K128" s="332"/>
      <c r="L128" s="332"/>
      <c r="M128" s="332"/>
      <c r="N128" s="355"/>
    </row>
    <row r="129" spans="1:14" s="372" customFormat="1" ht="18.75" x14ac:dyDescent="0.3">
      <c r="A129" s="32">
        <f>ROW()-ROW(สำนักงาน!$A$6)+1</f>
        <v>124</v>
      </c>
      <c r="B129" s="55" t="s">
        <v>1369</v>
      </c>
      <c r="C129" s="308" t="s">
        <v>1372</v>
      </c>
      <c r="D129" s="13" t="s">
        <v>1373</v>
      </c>
      <c r="E129" s="319">
        <v>23766</v>
      </c>
      <c r="F129" s="310">
        <v>2300</v>
      </c>
      <c r="G129" s="308" t="s">
        <v>825</v>
      </c>
      <c r="H129" s="326" t="s">
        <v>4256</v>
      </c>
      <c r="I129" s="332"/>
      <c r="J129" s="332"/>
      <c r="K129" s="332"/>
      <c r="L129" s="332"/>
      <c r="M129" s="332"/>
      <c r="N129" s="355"/>
    </row>
    <row r="130" spans="1:14" s="372" customFormat="1" ht="18.75" x14ac:dyDescent="0.3">
      <c r="A130" s="32">
        <f>ROW()-ROW(สำนักงาน!$A$6)+1</f>
        <v>125</v>
      </c>
      <c r="B130" s="55" t="s">
        <v>1369</v>
      </c>
      <c r="C130" s="308" t="s">
        <v>1374</v>
      </c>
      <c r="D130" s="13" t="s">
        <v>1375</v>
      </c>
      <c r="E130" s="319">
        <v>23766</v>
      </c>
      <c r="F130" s="310">
        <v>2300</v>
      </c>
      <c r="G130" s="308" t="s">
        <v>825</v>
      </c>
      <c r="H130" s="326" t="s">
        <v>4256</v>
      </c>
      <c r="I130" s="332"/>
      <c r="J130" s="332"/>
      <c r="K130" s="332"/>
      <c r="L130" s="332"/>
      <c r="M130" s="332"/>
      <c r="N130" s="355"/>
    </row>
    <row r="131" spans="1:14" s="372" customFormat="1" ht="18.75" x14ac:dyDescent="0.3">
      <c r="A131" s="32">
        <f>ROW()-ROW(สำนักงาน!$A$6)+1</f>
        <v>126</v>
      </c>
      <c r="B131" s="55" t="s">
        <v>1369</v>
      </c>
      <c r="C131" s="308" t="s">
        <v>1376</v>
      </c>
      <c r="D131" s="13" t="s">
        <v>1377</v>
      </c>
      <c r="E131" s="319">
        <v>23766</v>
      </c>
      <c r="F131" s="310">
        <v>2300</v>
      </c>
      <c r="G131" s="308" t="s">
        <v>825</v>
      </c>
      <c r="H131" s="326" t="s">
        <v>4256</v>
      </c>
      <c r="I131" s="332"/>
      <c r="J131" s="332"/>
      <c r="K131" s="332"/>
      <c r="L131" s="332"/>
      <c r="M131" s="332"/>
      <c r="N131" s="355"/>
    </row>
    <row r="132" spans="1:14" s="372" customFormat="1" ht="18.75" x14ac:dyDescent="0.3">
      <c r="A132" s="32">
        <f>ROW()-ROW(สำนักงาน!$A$6)+1</f>
        <v>127</v>
      </c>
      <c r="B132" s="55" t="s">
        <v>1369</v>
      </c>
      <c r="C132" s="308" t="s">
        <v>1378</v>
      </c>
      <c r="D132" s="13" t="s">
        <v>1379</v>
      </c>
      <c r="E132" s="319">
        <v>23766</v>
      </c>
      <c r="F132" s="310">
        <v>2300</v>
      </c>
      <c r="G132" s="308" t="s">
        <v>825</v>
      </c>
      <c r="H132" s="326" t="s">
        <v>4256</v>
      </c>
      <c r="I132" s="332"/>
      <c r="J132" s="332"/>
      <c r="K132" s="332"/>
      <c r="L132" s="332"/>
      <c r="M132" s="332"/>
      <c r="N132" s="355"/>
    </row>
    <row r="133" spans="1:14" s="372" customFormat="1" ht="18.75" x14ac:dyDescent="0.3">
      <c r="A133" s="32">
        <f>ROW()-ROW(สำนักงาน!$A$6)+1</f>
        <v>128</v>
      </c>
      <c r="B133" s="55" t="s">
        <v>1369</v>
      </c>
      <c r="C133" s="308" t="s">
        <v>1380</v>
      </c>
      <c r="D133" s="13" t="s">
        <v>1381</v>
      </c>
      <c r="E133" s="319">
        <v>23766</v>
      </c>
      <c r="F133" s="310">
        <v>2300</v>
      </c>
      <c r="G133" s="308" t="s">
        <v>825</v>
      </c>
      <c r="H133" s="326" t="s">
        <v>4256</v>
      </c>
      <c r="I133" s="332"/>
      <c r="J133" s="332"/>
      <c r="K133" s="332"/>
      <c r="L133" s="332"/>
      <c r="M133" s="332"/>
      <c r="N133" s="355"/>
    </row>
    <row r="134" spans="1:14" s="372" customFormat="1" ht="18.75" x14ac:dyDescent="0.3">
      <c r="A134" s="32">
        <f>ROW()-ROW(สำนักงาน!$A$6)+1</f>
        <v>129</v>
      </c>
      <c r="B134" s="55" t="s">
        <v>1369</v>
      </c>
      <c r="C134" s="308" t="s">
        <v>1382</v>
      </c>
      <c r="D134" s="13" t="s">
        <v>1383</v>
      </c>
      <c r="E134" s="319">
        <v>23766</v>
      </c>
      <c r="F134" s="310">
        <v>2300</v>
      </c>
      <c r="G134" s="308" t="s">
        <v>825</v>
      </c>
      <c r="H134" s="326" t="s">
        <v>4256</v>
      </c>
      <c r="I134" s="332"/>
      <c r="J134" s="332"/>
      <c r="K134" s="332"/>
      <c r="L134" s="332"/>
      <c r="M134" s="332"/>
      <c r="N134" s="355"/>
    </row>
    <row r="135" spans="1:14" s="372" customFormat="1" ht="18.75" x14ac:dyDescent="0.3">
      <c r="A135" s="32">
        <f>ROW()-ROW(สำนักงาน!$A$6)+1</f>
        <v>130</v>
      </c>
      <c r="B135" s="55" t="s">
        <v>1369</v>
      </c>
      <c r="C135" s="308" t="s">
        <v>1384</v>
      </c>
      <c r="D135" s="13" t="s">
        <v>1385</v>
      </c>
      <c r="E135" s="319">
        <v>23766</v>
      </c>
      <c r="F135" s="310">
        <v>2300</v>
      </c>
      <c r="G135" s="308" t="s">
        <v>825</v>
      </c>
      <c r="H135" s="326" t="s">
        <v>4256</v>
      </c>
      <c r="I135" s="332"/>
      <c r="J135" s="332"/>
      <c r="K135" s="332"/>
      <c r="L135" s="332"/>
      <c r="M135" s="332"/>
      <c r="N135" s="355"/>
    </row>
    <row r="136" spans="1:14" s="372" customFormat="1" ht="18.75" x14ac:dyDescent="0.3">
      <c r="A136" s="32">
        <f>ROW()-ROW(สำนักงาน!$A$6)+1</f>
        <v>131</v>
      </c>
      <c r="B136" s="55" t="s">
        <v>1369</v>
      </c>
      <c r="C136" s="308" t="s">
        <v>1386</v>
      </c>
      <c r="D136" s="13" t="s">
        <v>1387</v>
      </c>
      <c r="E136" s="319">
        <v>23766</v>
      </c>
      <c r="F136" s="310">
        <v>2300</v>
      </c>
      <c r="G136" s="308" t="s">
        <v>825</v>
      </c>
      <c r="H136" s="326" t="s">
        <v>4256</v>
      </c>
      <c r="I136" s="332"/>
      <c r="J136" s="332"/>
      <c r="K136" s="332"/>
      <c r="L136" s="332"/>
      <c r="M136" s="332"/>
      <c r="N136" s="355"/>
    </row>
    <row r="137" spans="1:14" s="372" customFormat="1" ht="18.75" x14ac:dyDescent="0.3">
      <c r="A137" s="32">
        <f>ROW()-ROW(สำนักงาน!$A$6)+1</f>
        <v>132</v>
      </c>
      <c r="B137" s="55" t="s">
        <v>1369</v>
      </c>
      <c r="C137" s="308" t="s">
        <v>1388</v>
      </c>
      <c r="D137" s="13" t="s">
        <v>1389</v>
      </c>
      <c r="E137" s="319">
        <v>23766</v>
      </c>
      <c r="F137" s="310">
        <v>2300</v>
      </c>
      <c r="G137" s="308" t="s">
        <v>825</v>
      </c>
      <c r="H137" s="326" t="s">
        <v>4256</v>
      </c>
      <c r="I137" s="332"/>
      <c r="J137" s="332"/>
      <c r="K137" s="332"/>
      <c r="L137" s="332"/>
      <c r="M137" s="332"/>
      <c r="N137" s="355"/>
    </row>
    <row r="138" spans="1:14" s="370" customFormat="1" ht="18.75" x14ac:dyDescent="0.2">
      <c r="A138" s="32">
        <f>ROW()-ROW(สำนักงาน!$A$6)+1</f>
        <v>133</v>
      </c>
      <c r="B138" s="79" t="s">
        <v>796</v>
      </c>
      <c r="C138" s="386" t="s">
        <v>797</v>
      </c>
      <c r="D138" s="32" t="s">
        <v>798</v>
      </c>
      <c r="E138" s="53">
        <v>24216</v>
      </c>
      <c r="F138" s="643">
        <v>6900</v>
      </c>
      <c r="G138" s="32" t="s">
        <v>737</v>
      </c>
      <c r="H138" s="326" t="s">
        <v>4256</v>
      </c>
      <c r="I138" s="32"/>
      <c r="J138" s="32"/>
      <c r="K138" s="32"/>
      <c r="L138" s="32"/>
      <c r="M138" s="32"/>
      <c r="N138" s="56" t="s">
        <v>426</v>
      </c>
    </row>
    <row r="139" spans="1:14" s="370" customFormat="1" ht="18.75" x14ac:dyDescent="0.2">
      <c r="A139" s="32">
        <f>ROW()-ROW(สำนักงาน!$A$6)+1</f>
        <v>134</v>
      </c>
      <c r="B139" s="79" t="s">
        <v>796</v>
      </c>
      <c r="C139" s="277" t="s">
        <v>800</v>
      </c>
      <c r="D139" s="32" t="s">
        <v>801</v>
      </c>
      <c r="E139" s="53">
        <v>24216</v>
      </c>
      <c r="F139" s="643">
        <v>6900</v>
      </c>
      <c r="G139" s="32" t="s">
        <v>737</v>
      </c>
      <c r="H139" s="326" t="s">
        <v>4256</v>
      </c>
      <c r="I139" s="32"/>
      <c r="J139" s="32"/>
      <c r="K139" s="32"/>
      <c r="L139" s="32"/>
      <c r="M139" s="32"/>
      <c r="N139" s="56" t="s">
        <v>4324</v>
      </c>
    </row>
    <row r="140" spans="1:14" s="370" customFormat="1" ht="18.75" x14ac:dyDescent="0.2">
      <c r="A140" s="32">
        <f>ROW()-ROW(สำนักงาน!$A$6)+1</f>
        <v>135</v>
      </c>
      <c r="B140" s="79" t="s">
        <v>803</v>
      </c>
      <c r="C140" s="386" t="s">
        <v>804</v>
      </c>
      <c r="D140" s="32" t="s">
        <v>805</v>
      </c>
      <c r="E140" s="53">
        <v>24216</v>
      </c>
      <c r="F140" s="643">
        <v>2590</v>
      </c>
      <c r="G140" s="32" t="s">
        <v>737</v>
      </c>
      <c r="H140" s="326" t="s">
        <v>4256</v>
      </c>
      <c r="I140" s="32"/>
      <c r="J140" s="32"/>
      <c r="K140" s="32"/>
      <c r="L140" s="32"/>
      <c r="M140" s="32"/>
      <c r="N140" s="56" t="s">
        <v>4320</v>
      </c>
    </row>
    <row r="141" spans="1:14" s="370" customFormat="1" ht="18.75" x14ac:dyDescent="0.2">
      <c r="A141" s="32">
        <f>ROW()-ROW(สำนักงาน!$A$6)+1</f>
        <v>136</v>
      </c>
      <c r="B141" s="423" t="s">
        <v>93</v>
      </c>
      <c r="C141" s="393" t="s">
        <v>4060</v>
      </c>
      <c r="D141" s="393" t="s">
        <v>94</v>
      </c>
      <c r="E141" s="34">
        <v>243642</v>
      </c>
      <c r="F141" s="54">
        <v>4000</v>
      </c>
      <c r="G141" s="393" t="s">
        <v>241</v>
      </c>
      <c r="H141" s="32" t="s">
        <v>4256</v>
      </c>
      <c r="I141" s="32"/>
      <c r="J141" s="32"/>
      <c r="K141" s="32"/>
      <c r="L141" s="32"/>
      <c r="M141" s="32"/>
      <c r="N141" s="56" t="s">
        <v>446</v>
      </c>
    </row>
    <row r="142" spans="1:14" s="370" customFormat="1" ht="18.75" x14ac:dyDescent="0.2">
      <c r="A142" s="32">
        <f>ROW()-ROW(สำนักงาน!$A$6)+1</f>
        <v>137</v>
      </c>
      <c r="B142" s="423" t="s">
        <v>93</v>
      </c>
      <c r="C142" s="393" t="s">
        <v>4061</v>
      </c>
      <c r="D142" s="393" t="s">
        <v>95</v>
      </c>
      <c r="E142" s="34">
        <v>243642</v>
      </c>
      <c r="F142" s="54">
        <v>4000</v>
      </c>
      <c r="G142" s="393" t="s">
        <v>241</v>
      </c>
      <c r="H142" s="32" t="s">
        <v>4256</v>
      </c>
      <c r="I142" s="32"/>
      <c r="J142" s="32"/>
      <c r="K142" s="32"/>
      <c r="L142" s="32"/>
      <c r="M142" s="32"/>
      <c r="N142" s="56" t="s">
        <v>4323</v>
      </c>
    </row>
    <row r="143" spans="1:14" s="370" customFormat="1" ht="18.75" x14ac:dyDescent="0.2">
      <c r="A143" s="32">
        <f>ROW()-ROW(สำนักงาน!$A$6)+1</f>
        <v>138</v>
      </c>
      <c r="B143" s="423" t="s">
        <v>93</v>
      </c>
      <c r="C143" s="393" t="s">
        <v>4062</v>
      </c>
      <c r="D143" s="393" t="s">
        <v>96</v>
      </c>
      <c r="E143" s="34">
        <v>243642</v>
      </c>
      <c r="F143" s="54">
        <v>4000</v>
      </c>
      <c r="G143" s="393" t="s">
        <v>241</v>
      </c>
      <c r="H143" s="32" t="s">
        <v>4256</v>
      </c>
      <c r="I143" s="32"/>
      <c r="J143" s="32"/>
      <c r="K143" s="32"/>
      <c r="L143" s="32"/>
      <c r="M143" s="32"/>
      <c r="N143" s="56" t="s">
        <v>4313</v>
      </c>
    </row>
    <row r="144" spans="1:14" s="370" customFormat="1" ht="18.75" x14ac:dyDescent="0.2">
      <c r="A144" s="32">
        <f>ROW()-ROW(สำนักงาน!$A$6)+1</f>
        <v>139</v>
      </c>
      <c r="B144" s="423" t="s">
        <v>93</v>
      </c>
      <c r="C144" s="393" t="s">
        <v>4063</v>
      </c>
      <c r="D144" s="393" t="s">
        <v>97</v>
      </c>
      <c r="E144" s="34">
        <v>243642</v>
      </c>
      <c r="F144" s="54">
        <v>4000</v>
      </c>
      <c r="G144" s="393" t="s">
        <v>241</v>
      </c>
      <c r="H144" s="32" t="s">
        <v>4256</v>
      </c>
      <c r="I144" s="32"/>
      <c r="J144" s="32"/>
      <c r="K144" s="32"/>
      <c r="L144" s="32"/>
      <c r="M144" s="32"/>
      <c r="N144" s="56" t="s">
        <v>4320</v>
      </c>
    </row>
    <row r="145" spans="1:14" s="370" customFormat="1" ht="18.75" x14ac:dyDescent="0.2">
      <c r="A145" s="32">
        <f>ROW()-ROW(สำนักงาน!$A$6)+1</f>
        <v>140</v>
      </c>
      <c r="B145" s="423" t="s">
        <v>93</v>
      </c>
      <c r="C145" s="393" t="s">
        <v>4064</v>
      </c>
      <c r="D145" s="393" t="s">
        <v>98</v>
      </c>
      <c r="E145" s="34">
        <v>243642</v>
      </c>
      <c r="F145" s="54">
        <v>4000</v>
      </c>
      <c r="G145" s="393" t="s">
        <v>3789</v>
      </c>
      <c r="H145" s="32" t="s">
        <v>4256</v>
      </c>
      <c r="I145" s="32"/>
      <c r="J145" s="32"/>
      <c r="K145" s="32"/>
      <c r="L145" s="32"/>
      <c r="M145" s="32"/>
      <c r="N145" s="56" t="s">
        <v>3917</v>
      </c>
    </row>
    <row r="146" spans="1:14" s="370" customFormat="1" ht="18.75" x14ac:dyDescent="0.2">
      <c r="A146" s="32">
        <f>ROW()-ROW(สำนักงาน!$A$6)+1</f>
        <v>141</v>
      </c>
      <c r="B146" s="423" t="s">
        <v>93</v>
      </c>
      <c r="C146" s="393" t="s">
        <v>4065</v>
      </c>
      <c r="D146" s="393" t="s">
        <v>99</v>
      </c>
      <c r="E146" s="34">
        <v>243642</v>
      </c>
      <c r="F146" s="54">
        <v>4000</v>
      </c>
      <c r="G146" s="393" t="s">
        <v>241</v>
      </c>
      <c r="H146" s="32" t="s">
        <v>4256</v>
      </c>
      <c r="I146" s="32"/>
      <c r="J146" s="32"/>
      <c r="K146" s="32"/>
      <c r="L146" s="32"/>
      <c r="M146" s="32"/>
      <c r="N146" s="56" t="s">
        <v>4253</v>
      </c>
    </row>
    <row r="147" spans="1:14" s="370" customFormat="1" ht="18.75" x14ac:dyDescent="0.2">
      <c r="A147" s="32">
        <f>ROW()-ROW(สำนักงาน!$A$6)+1</f>
        <v>142</v>
      </c>
      <c r="B147" s="423" t="s">
        <v>93</v>
      </c>
      <c r="C147" s="393" t="s">
        <v>4066</v>
      </c>
      <c r="D147" s="393" t="s">
        <v>100</v>
      </c>
      <c r="E147" s="34">
        <v>243642</v>
      </c>
      <c r="F147" s="54">
        <v>4000</v>
      </c>
      <c r="G147" s="393" t="s">
        <v>241</v>
      </c>
      <c r="H147" s="32" t="s">
        <v>4256</v>
      </c>
      <c r="I147" s="32"/>
      <c r="J147" s="32"/>
      <c r="K147" s="32"/>
      <c r="L147" s="32"/>
      <c r="M147" s="32"/>
      <c r="N147" s="56" t="s">
        <v>4319</v>
      </c>
    </row>
    <row r="148" spans="1:14" s="370" customFormat="1" ht="18.75" x14ac:dyDescent="0.2">
      <c r="A148" s="32">
        <f>ROW()-ROW(สำนักงาน!$A$6)+1</f>
        <v>143</v>
      </c>
      <c r="B148" s="423" t="s">
        <v>93</v>
      </c>
      <c r="C148" s="393" t="s">
        <v>4067</v>
      </c>
      <c r="D148" s="393" t="s">
        <v>101</v>
      </c>
      <c r="E148" s="34">
        <v>243642</v>
      </c>
      <c r="F148" s="54">
        <v>4000</v>
      </c>
      <c r="G148" s="393" t="s">
        <v>241</v>
      </c>
      <c r="H148" s="32" t="s">
        <v>4256</v>
      </c>
      <c r="I148" s="32"/>
      <c r="J148" s="32"/>
      <c r="K148" s="32"/>
      <c r="L148" s="32"/>
      <c r="M148" s="32"/>
      <c r="N148" s="56" t="s">
        <v>493</v>
      </c>
    </row>
    <row r="149" spans="1:14" s="370" customFormat="1" ht="18.75" x14ac:dyDescent="0.2">
      <c r="A149" s="32">
        <f>ROW()-ROW(สำนักงาน!$A$6)+1</f>
        <v>144</v>
      </c>
      <c r="B149" s="423" t="s">
        <v>93</v>
      </c>
      <c r="C149" s="393" t="s">
        <v>4068</v>
      </c>
      <c r="D149" s="393" t="s">
        <v>102</v>
      </c>
      <c r="E149" s="34">
        <v>243642</v>
      </c>
      <c r="F149" s="54">
        <v>4000</v>
      </c>
      <c r="G149" s="393" t="s">
        <v>241</v>
      </c>
      <c r="H149" s="32" t="s">
        <v>4256</v>
      </c>
      <c r="I149" s="32"/>
      <c r="J149" s="32"/>
      <c r="K149" s="32"/>
      <c r="L149" s="32"/>
      <c r="M149" s="32"/>
      <c r="N149" s="56" t="s">
        <v>4316</v>
      </c>
    </row>
    <row r="150" spans="1:14" s="370" customFormat="1" ht="18.75" x14ac:dyDescent="0.2">
      <c r="A150" s="32">
        <f>ROW()-ROW(สำนักงาน!$A$6)+1</f>
        <v>145</v>
      </c>
      <c r="B150" s="423" t="s">
        <v>93</v>
      </c>
      <c r="C150" s="393" t="s">
        <v>4069</v>
      </c>
      <c r="D150" s="393" t="s">
        <v>103</v>
      </c>
      <c r="E150" s="34">
        <v>243642</v>
      </c>
      <c r="F150" s="54">
        <v>4000</v>
      </c>
      <c r="G150" s="393" t="s">
        <v>241</v>
      </c>
      <c r="H150" s="32" t="s">
        <v>4256</v>
      </c>
      <c r="I150" s="32"/>
      <c r="J150" s="32"/>
      <c r="K150" s="32"/>
      <c r="L150" s="32"/>
      <c r="M150" s="32"/>
      <c r="N150" s="56" t="s">
        <v>523</v>
      </c>
    </row>
    <row r="151" spans="1:14" s="370" customFormat="1" ht="18.75" x14ac:dyDescent="0.2">
      <c r="A151" s="32">
        <f>ROW()-ROW(สำนักงาน!$A$6)+1</f>
        <v>146</v>
      </c>
      <c r="B151" s="423" t="s">
        <v>93</v>
      </c>
      <c r="C151" s="393" t="s">
        <v>4070</v>
      </c>
      <c r="D151" s="393" t="s">
        <v>104</v>
      </c>
      <c r="E151" s="34">
        <v>243642</v>
      </c>
      <c r="F151" s="54">
        <v>4000</v>
      </c>
      <c r="G151" s="393" t="s">
        <v>241</v>
      </c>
      <c r="H151" s="32" t="s">
        <v>4256</v>
      </c>
      <c r="I151" s="32"/>
      <c r="J151" s="32"/>
      <c r="K151" s="32"/>
      <c r="L151" s="32"/>
      <c r="M151" s="32"/>
      <c r="N151" s="56" t="s">
        <v>484</v>
      </c>
    </row>
    <row r="152" spans="1:14" s="370" customFormat="1" ht="18.75" x14ac:dyDescent="0.2">
      <c r="A152" s="32">
        <f>ROW()-ROW(สำนักงาน!$A$6)+1</f>
        <v>147</v>
      </c>
      <c r="B152" s="423" t="s">
        <v>93</v>
      </c>
      <c r="C152" s="393" t="s">
        <v>4071</v>
      </c>
      <c r="D152" s="393" t="s">
        <v>105</v>
      </c>
      <c r="E152" s="34">
        <v>243642</v>
      </c>
      <c r="F152" s="54">
        <v>4000</v>
      </c>
      <c r="G152" s="393" t="s">
        <v>241</v>
      </c>
      <c r="H152" s="32" t="s">
        <v>4256</v>
      </c>
      <c r="I152" s="32"/>
      <c r="J152" s="32"/>
      <c r="K152" s="32"/>
      <c r="L152" s="32"/>
      <c r="M152" s="32"/>
      <c r="N152" s="56" t="s">
        <v>4325</v>
      </c>
    </row>
    <row r="153" spans="1:14" s="370" customFormat="1" ht="18.75" x14ac:dyDescent="0.2">
      <c r="A153" s="32">
        <f>ROW()-ROW(สำนักงาน!$A$6)+1</f>
        <v>148</v>
      </c>
      <c r="B153" s="423" t="s">
        <v>93</v>
      </c>
      <c r="C153" s="393" t="s">
        <v>4072</v>
      </c>
      <c r="D153" s="393" t="s">
        <v>106</v>
      </c>
      <c r="E153" s="34">
        <v>243642</v>
      </c>
      <c r="F153" s="54">
        <v>4000</v>
      </c>
      <c r="G153" s="393" t="s">
        <v>241</v>
      </c>
      <c r="H153" s="32" t="s">
        <v>4256</v>
      </c>
      <c r="I153" s="32"/>
      <c r="J153" s="32"/>
      <c r="K153" s="32"/>
      <c r="L153" s="32"/>
      <c r="M153" s="32"/>
      <c r="N153" s="56" t="s">
        <v>4327</v>
      </c>
    </row>
    <row r="154" spans="1:14" s="370" customFormat="1" ht="18.75" x14ac:dyDescent="0.2">
      <c r="A154" s="32">
        <f>ROW()-ROW(สำนักงาน!$A$6)+1</f>
        <v>149</v>
      </c>
      <c r="B154" s="423" t="s">
        <v>93</v>
      </c>
      <c r="C154" s="393" t="s">
        <v>4073</v>
      </c>
      <c r="D154" s="393" t="s">
        <v>107</v>
      </c>
      <c r="E154" s="34">
        <v>243642</v>
      </c>
      <c r="F154" s="54">
        <v>4000</v>
      </c>
      <c r="G154" s="393" t="s">
        <v>241</v>
      </c>
      <c r="H154" s="32" t="s">
        <v>4256</v>
      </c>
      <c r="I154" s="32"/>
      <c r="J154" s="32"/>
      <c r="K154" s="32"/>
      <c r="L154" s="32"/>
      <c r="M154" s="32"/>
      <c r="N154" s="56" t="s">
        <v>291</v>
      </c>
    </row>
    <row r="155" spans="1:14" s="370" customFormat="1" ht="18.75" x14ac:dyDescent="0.2">
      <c r="A155" s="32">
        <f>ROW()-ROW(สำนักงาน!$A$6)+1</f>
        <v>150</v>
      </c>
      <c r="B155" s="423" t="s">
        <v>3790</v>
      </c>
      <c r="C155" s="393" t="s">
        <v>4074</v>
      </c>
      <c r="D155" s="393" t="s">
        <v>108</v>
      </c>
      <c r="E155" s="34">
        <v>243642</v>
      </c>
      <c r="F155" s="54">
        <v>4000</v>
      </c>
      <c r="G155" s="393" t="s">
        <v>241</v>
      </c>
      <c r="H155" s="32" t="s">
        <v>4256</v>
      </c>
      <c r="I155" s="32"/>
      <c r="J155" s="32"/>
      <c r="K155" s="32"/>
      <c r="L155" s="32"/>
      <c r="M155" s="32"/>
      <c r="N155" s="56" t="s">
        <v>360</v>
      </c>
    </row>
    <row r="156" spans="1:14" s="370" customFormat="1" ht="18.75" x14ac:dyDescent="0.2">
      <c r="A156" s="32">
        <f>ROW()-ROW(สำนักงาน!$A$6)+1</f>
        <v>151</v>
      </c>
      <c r="B156" s="423" t="s">
        <v>3790</v>
      </c>
      <c r="C156" s="393" t="s">
        <v>4075</v>
      </c>
      <c r="D156" s="393" t="s">
        <v>109</v>
      </c>
      <c r="E156" s="34">
        <v>243642</v>
      </c>
      <c r="F156" s="54">
        <v>4000</v>
      </c>
      <c r="G156" s="393" t="s">
        <v>241</v>
      </c>
      <c r="H156" s="32" t="s">
        <v>4256</v>
      </c>
      <c r="I156" s="32"/>
      <c r="J156" s="32"/>
      <c r="K156" s="32"/>
      <c r="L156" s="32"/>
      <c r="M156" s="32"/>
      <c r="N156" s="56" t="s">
        <v>499</v>
      </c>
    </row>
    <row r="157" spans="1:14" s="370" customFormat="1" ht="18.75" x14ac:dyDescent="0.2">
      <c r="A157" s="32">
        <f>ROW()-ROW(สำนักงาน!$A$6)+1</f>
        <v>152</v>
      </c>
      <c r="B157" s="423" t="s">
        <v>3790</v>
      </c>
      <c r="C157" s="393" t="s">
        <v>4076</v>
      </c>
      <c r="D157" s="393" t="s">
        <v>110</v>
      </c>
      <c r="E157" s="34">
        <v>243642</v>
      </c>
      <c r="F157" s="54">
        <v>4000</v>
      </c>
      <c r="G157" s="393" t="s">
        <v>241</v>
      </c>
      <c r="H157" s="32" t="s">
        <v>4256</v>
      </c>
      <c r="I157" s="32"/>
      <c r="J157" s="32"/>
      <c r="K157" s="32"/>
      <c r="L157" s="32"/>
      <c r="M157" s="32"/>
      <c r="N157" s="56" t="s">
        <v>4299</v>
      </c>
    </row>
    <row r="158" spans="1:14" s="370" customFormat="1" ht="18.75" x14ac:dyDescent="0.2">
      <c r="A158" s="32">
        <f>ROW()-ROW(สำนักงาน!$A$6)+1</f>
        <v>153</v>
      </c>
      <c r="B158" s="423" t="s">
        <v>3790</v>
      </c>
      <c r="C158" s="393" t="s">
        <v>4077</v>
      </c>
      <c r="D158" s="393" t="s">
        <v>111</v>
      </c>
      <c r="E158" s="34">
        <v>243642</v>
      </c>
      <c r="F158" s="54">
        <v>4000</v>
      </c>
      <c r="G158" s="393" t="s">
        <v>241</v>
      </c>
      <c r="H158" s="32" t="s">
        <v>4256</v>
      </c>
      <c r="I158" s="32"/>
      <c r="J158" s="32"/>
      <c r="K158" s="32"/>
      <c r="L158" s="32"/>
      <c r="M158" s="32"/>
      <c r="N158" s="56" t="s">
        <v>223</v>
      </c>
    </row>
    <row r="159" spans="1:14" s="370" customFormat="1" ht="18.75" x14ac:dyDescent="0.2">
      <c r="A159" s="32">
        <f>ROW()-ROW(สำนักงาน!$A$6)+1</f>
        <v>154</v>
      </c>
      <c r="B159" s="423" t="s">
        <v>3790</v>
      </c>
      <c r="C159" s="393" t="s">
        <v>4078</v>
      </c>
      <c r="D159" s="393" t="s">
        <v>112</v>
      </c>
      <c r="E159" s="34">
        <v>243642</v>
      </c>
      <c r="F159" s="54">
        <v>4000</v>
      </c>
      <c r="G159" s="393" t="s">
        <v>241</v>
      </c>
      <c r="H159" s="32" t="s">
        <v>4256</v>
      </c>
      <c r="I159" s="32"/>
      <c r="J159" s="32"/>
      <c r="K159" s="32"/>
      <c r="L159" s="32"/>
      <c r="M159" s="32"/>
      <c r="N159" s="56" t="s">
        <v>334</v>
      </c>
    </row>
    <row r="160" spans="1:14" s="370" customFormat="1" ht="18.75" x14ac:dyDescent="0.2">
      <c r="A160" s="32">
        <f>ROW()-ROW(สำนักงาน!$A$6)+1</f>
        <v>155</v>
      </c>
      <c r="B160" s="423" t="s">
        <v>3790</v>
      </c>
      <c r="C160" s="393" t="s">
        <v>4079</v>
      </c>
      <c r="D160" s="393" t="s">
        <v>113</v>
      </c>
      <c r="E160" s="34">
        <v>243642</v>
      </c>
      <c r="F160" s="54">
        <v>4000</v>
      </c>
      <c r="G160" s="393" t="s">
        <v>241</v>
      </c>
      <c r="H160" s="32" t="s">
        <v>4256</v>
      </c>
      <c r="I160" s="32"/>
      <c r="J160" s="32"/>
      <c r="K160" s="32"/>
      <c r="L160" s="32"/>
      <c r="M160" s="32"/>
      <c r="N160" s="56" t="s">
        <v>295</v>
      </c>
    </row>
    <row r="161" spans="1:15" s="370" customFormat="1" ht="18.75" x14ac:dyDescent="0.2">
      <c r="A161" s="32">
        <f>ROW()-ROW(สำนักงาน!$A$6)+1</f>
        <v>156</v>
      </c>
      <c r="B161" s="423" t="s">
        <v>3790</v>
      </c>
      <c r="C161" s="393" t="s">
        <v>4080</v>
      </c>
      <c r="D161" s="393" t="s">
        <v>114</v>
      </c>
      <c r="E161" s="34">
        <v>243642</v>
      </c>
      <c r="F161" s="54">
        <v>4000</v>
      </c>
      <c r="G161" s="393" t="s">
        <v>241</v>
      </c>
      <c r="H161" s="32" t="s">
        <v>4256</v>
      </c>
      <c r="I161" s="32"/>
      <c r="J161" s="32"/>
      <c r="K161" s="32"/>
      <c r="L161" s="32"/>
      <c r="M161" s="32"/>
      <c r="N161" s="56" t="s">
        <v>4328</v>
      </c>
    </row>
    <row r="162" spans="1:15" s="370" customFormat="1" ht="18.75" x14ac:dyDescent="0.2">
      <c r="A162" s="32">
        <f>ROW()-ROW(สำนักงาน!$A$6)+1</f>
        <v>157</v>
      </c>
      <c r="B162" s="423" t="s">
        <v>3790</v>
      </c>
      <c r="C162" s="393" t="s">
        <v>4081</v>
      </c>
      <c r="D162" s="393" t="s">
        <v>115</v>
      </c>
      <c r="E162" s="34">
        <v>243642</v>
      </c>
      <c r="F162" s="54">
        <v>4000</v>
      </c>
      <c r="G162" s="393" t="s">
        <v>241</v>
      </c>
      <c r="H162" s="32" t="s">
        <v>4256</v>
      </c>
      <c r="I162" s="32"/>
      <c r="J162" s="32"/>
      <c r="K162" s="32"/>
      <c r="L162" s="32"/>
      <c r="M162" s="32"/>
      <c r="N162" s="56" t="s">
        <v>279</v>
      </c>
    </row>
    <row r="163" spans="1:15" s="370" customFormat="1" ht="18.75" x14ac:dyDescent="0.2">
      <c r="A163" s="32">
        <f>ROW()-ROW(สำนักงาน!$A$6)+1</f>
        <v>158</v>
      </c>
      <c r="B163" s="423" t="s">
        <v>3790</v>
      </c>
      <c r="C163" s="393" t="s">
        <v>4082</v>
      </c>
      <c r="D163" s="393" t="s">
        <v>116</v>
      </c>
      <c r="E163" s="34">
        <v>243642</v>
      </c>
      <c r="F163" s="54">
        <v>4000</v>
      </c>
      <c r="G163" s="393" t="s">
        <v>241</v>
      </c>
      <c r="H163" s="32" t="s">
        <v>4256</v>
      </c>
      <c r="I163" s="32"/>
      <c r="J163" s="32"/>
      <c r="K163" s="32"/>
      <c r="L163" s="32"/>
      <c r="M163" s="32"/>
      <c r="N163" s="56" t="s">
        <v>4329</v>
      </c>
    </row>
    <row r="164" spans="1:15" s="370" customFormat="1" ht="18.75" x14ac:dyDescent="0.2">
      <c r="A164" s="32">
        <f>ROW()-ROW(สำนักงาน!$A$6)+1</f>
        <v>159</v>
      </c>
      <c r="B164" s="423" t="s">
        <v>3790</v>
      </c>
      <c r="C164" s="393" t="s">
        <v>4083</v>
      </c>
      <c r="D164" s="393" t="s">
        <v>117</v>
      </c>
      <c r="E164" s="34">
        <v>243642</v>
      </c>
      <c r="F164" s="54">
        <v>4000</v>
      </c>
      <c r="G164" s="393" t="s">
        <v>241</v>
      </c>
      <c r="H164" s="32" t="s">
        <v>4256</v>
      </c>
      <c r="I164" s="32"/>
      <c r="J164" s="32"/>
      <c r="K164" s="32"/>
      <c r="L164" s="32"/>
      <c r="M164" s="32"/>
      <c r="N164" s="56" t="s">
        <v>4254</v>
      </c>
    </row>
    <row r="165" spans="1:15" s="370" customFormat="1" ht="18.75" x14ac:dyDescent="0.2">
      <c r="A165" s="32">
        <f>ROW()-ROW(สำนักงาน!$A$6)+1</f>
        <v>160</v>
      </c>
      <c r="B165" s="423" t="s">
        <v>3790</v>
      </c>
      <c r="C165" s="393" t="s">
        <v>4084</v>
      </c>
      <c r="D165" s="393" t="s">
        <v>118</v>
      </c>
      <c r="E165" s="34">
        <v>243642</v>
      </c>
      <c r="F165" s="54">
        <v>4000</v>
      </c>
      <c r="G165" s="393" t="s">
        <v>241</v>
      </c>
      <c r="H165" s="32" t="s">
        <v>4256</v>
      </c>
      <c r="I165" s="32"/>
      <c r="J165" s="32"/>
      <c r="K165" s="32"/>
      <c r="L165" s="32"/>
      <c r="M165" s="32"/>
      <c r="N165" s="56" t="s">
        <v>4330</v>
      </c>
    </row>
    <row r="166" spans="1:15" s="370" customFormat="1" ht="18.75" x14ac:dyDescent="0.2">
      <c r="A166" s="32">
        <f>ROW()-ROW(สำนักงาน!$A$6)+1</f>
        <v>161</v>
      </c>
      <c r="B166" s="423" t="s">
        <v>3791</v>
      </c>
      <c r="C166" s="393" t="s">
        <v>4085</v>
      </c>
      <c r="D166" s="393" t="s">
        <v>119</v>
      </c>
      <c r="E166" s="34">
        <v>243642</v>
      </c>
      <c r="F166" s="54">
        <v>4000</v>
      </c>
      <c r="G166" s="393" t="s">
        <v>241</v>
      </c>
      <c r="H166" s="32" t="s">
        <v>4256</v>
      </c>
      <c r="I166" s="32"/>
      <c r="J166" s="32"/>
      <c r="K166" s="32"/>
      <c r="L166" s="32"/>
      <c r="M166" s="32"/>
      <c r="N166" s="56" t="s">
        <v>4255</v>
      </c>
    </row>
    <row r="167" spans="1:15" s="370" customFormat="1" ht="18.75" x14ac:dyDescent="0.2">
      <c r="A167" s="32">
        <f>ROW()-ROW(สำนักงาน!$A$6)+1</f>
        <v>162</v>
      </c>
      <c r="B167" s="423" t="s">
        <v>3791</v>
      </c>
      <c r="C167" s="393" t="s">
        <v>4086</v>
      </c>
      <c r="D167" s="393" t="s">
        <v>120</v>
      </c>
      <c r="E167" s="34">
        <v>243642</v>
      </c>
      <c r="F167" s="54">
        <v>4000</v>
      </c>
      <c r="G167" s="393" t="s">
        <v>241</v>
      </c>
      <c r="H167" s="32" t="s">
        <v>4256</v>
      </c>
      <c r="I167" s="32"/>
      <c r="J167" s="32"/>
      <c r="K167" s="32"/>
      <c r="L167" s="32"/>
      <c r="M167" s="32"/>
      <c r="N167" s="316" t="s">
        <v>4971</v>
      </c>
    </row>
    <row r="168" spans="1:15" s="370" customFormat="1" ht="18.75" x14ac:dyDescent="0.2">
      <c r="A168" s="32">
        <f>ROW()-ROW(สำนักงาน!$A$6)+1</f>
        <v>163</v>
      </c>
      <c r="B168" s="423" t="s">
        <v>3790</v>
      </c>
      <c r="C168" s="393" t="s">
        <v>4087</v>
      </c>
      <c r="D168" s="393" t="s">
        <v>121</v>
      </c>
      <c r="E168" s="34">
        <v>243642</v>
      </c>
      <c r="F168" s="54">
        <v>4000</v>
      </c>
      <c r="G168" s="393" t="s">
        <v>241</v>
      </c>
      <c r="H168" s="32" t="s">
        <v>4256</v>
      </c>
      <c r="I168" s="32"/>
      <c r="J168" s="32"/>
      <c r="K168" s="32"/>
      <c r="L168" s="32"/>
      <c r="M168" s="32"/>
      <c r="N168" s="316" t="s">
        <v>4971</v>
      </c>
    </row>
    <row r="169" spans="1:15" s="370" customFormat="1" ht="18.75" x14ac:dyDescent="0.2">
      <c r="A169" s="32">
        <f>ROW()-ROW(สำนักงาน!$A$6)+1</f>
        <v>164</v>
      </c>
      <c r="B169" s="423" t="s">
        <v>3790</v>
      </c>
      <c r="C169" s="393" t="s">
        <v>4088</v>
      </c>
      <c r="D169" s="393" t="s">
        <v>122</v>
      </c>
      <c r="E169" s="34">
        <v>243642</v>
      </c>
      <c r="F169" s="54">
        <v>4000</v>
      </c>
      <c r="G169" s="393" t="s">
        <v>241</v>
      </c>
      <c r="H169" s="32" t="s">
        <v>4256</v>
      </c>
      <c r="I169" s="32"/>
      <c r="J169" s="32"/>
      <c r="K169" s="32"/>
      <c r="L169" s="32"/>
      <c r="M169" s="32"/>
      <c r="N169" s="56" t="s">
        <v>4318</v>
      </c>
    </row>
    <row r="170" spans="1:15" s="370" customFormat="1" ht="18.75" x14ac:dyDescent="0.2">
      <c r="A170" s="32">
        <f>ROW()-ROW(สำนักงาน!$A$6)+1</f>
        <v>165</v>
      </c>
      <c r="B170" s="423" t="s">
        <v>3790</v>
      </c>
      <c r="C170" s="393" t="s">
        <v>4089</v>
      </c>
      <c r="D170" s="393" t="s">
        <v>123</v>
      </c>
      <c r="E170" s="34">
        <v>243642</v>
      </c>
      <c r="F170" s="54">
        <v>4000</v>
      </c>
      <c r="G170" s="393" t="s">
        <v>241</v>
      </c>
      <c r="H170" s="32" t="s">
        <v>4256</v>
      </c>
      <c r="I170" s="32"/>
      <c r="J170" s="32"/>
      <c r="K170" s="32"/>
      <c r="L170" s="32"/>
      <c r="M170" s="32"/>
      <c r="N170" s="316" t="s">
        <v>4971</v>
      </c>
    </row>
    <row r="171" spans="1:15" s="370" customFormat="1" ht="18.75" x14ac:dyDescent="0.2">
      <c r="A171" s="32">
        <f>ROW()-ROW(สำนักงาน!$A$6)+1</f>
        <v>166</v>
      </c>
      <c r="B171" s="423" t="s">
        <v>3790</v>
      </c>
      <c r="C171" s="393" t="s">
        <v>4090</v>
      </c>
      <c r="D171" s="393" t="s">
        <v>124</v>
      </c>
      <c r="E171" s="34">
        <v>243642</v>
      </c>
      <c r="F171" s="54">
        <v>4000</v>
      </c>
      <c r="G171" s="393" t="s">
        <v>241</v>
      </c>
      <c r="H171" s="32" t="s">
        <v>4256</v>
      </c>
      <c r="I171" s="32"/>
      <c r="J171" s="32"/>
      <c r="K171" s="32"/>
      <c r="L171" s="32"/>
      <c r="M171" s="32"/>
      <c r="N171" s="316" t="s">
        <v>4971</v>
      </c>
    </row>
    <row r="172" spans="1:15" s="370" customFormat="1" ht="18.75" x14ac:dyDescent="0.2">
      <c r="A172" s="32">
        <f>ROW()-ROW(สำนักงาน!$A$6)+1</f>
        <v>167</v>
      </c>
      <c r="B172" s="423" t="s">
        <v>3790</v>
      </c>
      <c r="C172" s="393" t="s">
        <v>4091</v>
      </c>
      <c r="D172" s="393" t="s">
        <v>125</v>
      </c>
      <c r="E172" s="34">
        <v>243642</v>
      </c>
      <c r="F172" s="54">
        <v>4000</v>
      </c>
      <c r="G172" s="393" t="s">
        <v>241</v>
      </c>
      <c r="H172" s="32" t="s">
        <v>4256</v>
      </c>
      <c r="I172" s="32"/>
      <c r="J172" s="32"/>
      <c r="K172" s="32"/>
      <c r="L172" s="32"/>
      <c r="M172" s="32"/>
      <c r="N172" s="56" t="s">
        <v>825</v>
      </c>
    </row>
    <row r="173" spans="1:15" s="400" customFormat="1" ht="56.25" customHeight="1" x14ac:dyDescent="0.3">
      <c r="A173" s="32">
        <f>ROW()-ROW(สำนักงาน!$A$6)+1</f>
        <v>168</v>
      </c>
      <c r="B173" s="394" t="s">
        <v>140</v>
      </c>
      <c r="C173" s="395" t="s">
        <v>3792</v>
      </c>
      <c r="D173" s="277" t="s">
        <v>141</v>
      </c>
      <c r="E173" s="396">
        <v>243705</v>
      </c>
      <c r="F173" s="397">
        <v>2300</v>
      </c>
      <c r="G173" s="398" t="s">
        <v>18</v>
      </c>
      <c r="H173" s="32" t="s">
        <v>4256</v>
      </c>
      <c r="I173" s="399"/>
      <c r="J173" s="399"/>
      <c r="K173" s="399"/>
      <c r="L173" s="399"/>
      <c r="M173" s="399"/>
      <c r="N173" s="2" t="s">
        <v>38</v>
      </c>
      <c r="O173" s="644" t="s">
        <v>38</v>
      </c>
    </row>
    <row r="174" spans="1:15" s="400" customFormat="1" ht="37.5" x14ac:dyDescent="0.3">
      <c r="A174" s="32">
        <f>ROW()-ROW(สำนักงาน!$A$6)+1</f>
        <v>169</v>
      </c>
      <c r="B174" s="394" t="s">
        <v>140</v>
      </c>
      <c r="C174" s="395" t="s">
        <v>3793</v>
      </c>
      <c r="D174" s="277" t="s">
        <v>142</v>
      </c>
      <c r="E174" s="396">
        <v>243705</v>
      </c>
      <c r="F174" s="397">
        <v>2300</v>
      </c>
      <c r="G174" s="398" t="s">
        <v>18</v>
      </c>
      <c r="H174" s="32" t="s">
        <v>4256</v>
      </c>
      <c r="I174" s="399"/>
      <c r="J174" s="399"/>
      <c r="K174" s="399"/>
      <c r="L174" s="399"/>
      <c r="M174" s="399"/>
      <c r="N174" s="2" t="s">
        <v>38</v>
      </c>
      <c r="O174" s="644" t="s">
        <v>38</v>
      </c>
    </row>
    <row r="175" spans="1:15" s="400" customFormat="1" ht="37.5" x14ac:dyDescent="0.3">
      <c r="A175" s="32">
        <f>ROW()-ROW(สำนักงาน!$A$6)+1</f>
        <v>170</v>
      </c>
      <c r="B175" s="394" t="s">
        <v>140</v>
      </c>
      <c r="C175" s="395" t="s">
        <v>3794</v>
      </c>
      <c r="D175" s="277" t="s">
        <v>143</v>
      </c>
      <c r="E175" s="396">
        <v>243705</v>
      </c>
      <c r="F175" s="397">
        <v>2300</v>
      </c>
      <c r="G175" s="398" t="s">
        <v>18</v>
      </c>
      <c r="H175" s="32" t="s">
        <v>4256</v>
      </c>
      <c r="I175" s="399"/>
      <c r="J175" s="399"/>
      <c r="K175" s="399"/>
      <c r="L175" s="399"/>
      <c r="M175" s="399"/>
      <c r="N175" s="2" t="s">
        <v>38</v>
      </c>
      <c r="O175" s="644" t="s">
        <v>38</v>
      </c>
    </row>
    <row r="176" spans="1:15" s="400" customFormat="1" ht="37.5" x14ac:dyDescent="0.3">
      <c r="A176" s="32">
        <f>ROW()-ROW(สำนักงาน!$A$6)+1</f>
        <v>171</v>
      </c>
      <c r="B176" s="394" t="s">
        <v>140</v>
      </c>
      <c r="C176" s="395" t="s">
        <v>3795</v>
      </c>
      <c r="D176" s="277" t="s">
        <v>144</v>
      </c>
      <c r="E176" s="396">
        <v>243705</v>
      </c>
      <c r="F176" s="397">
        <v>2300</v>
      </c>
      <c r="G176" s="398" t="s">
        <v>18</v>
      </c>
      <c r="H176" s="32" t="s">
        <v>4256</v>
      </c>
      <c r="I176" s="399"/>
      <c r="J176" s="399"/>
      <c r="K176" s="399"/>
      <c r="L176" s="399"/>
      <c r="M176" s="399"/>
      <c r="N176" s="2" t="s">
        <v>38</v>
      </c>
      <c r="O176" s="644" t="s">
        <v>38</v>
      </c>
    </row>
    <row r="177" spans="1:16" s="400" customFormat="1" ht="37.5" x14ac:dyDescent="0.3">
      <c r="A177" s="32">
        <f>ROW()-ROW(สำนักงาน!$A$6)+1</f>
        <v>172</v>
      </c>
      <c r="B177" s="394" t="s">
        <v>140</v>
      </c>
      <c r="C177" s="395" t="s">
        <v>3796</v>
      </c>
      <c r="D177" s="277" t="s">
        <v>145</v>
      </c>
      <c r="E177" s="396">
        <v>243705</v>
      </c>
      <c r="F177" s="397">
        <v>2300</v>
      </c>
      <c r="G177" s="398" t="s">
        <v>18</v>
      </c>
      <c r="H177" s="32" t="s">
        <v>4256</v>
      </c>
      <c r="I177" s="399"/>
      <c r="J177" s="399"/>
      <c r="K177" s="399"/>
      <c r="L177" s="399"/>
      <c r="M177" s="399"/>
      <c r="N177" s="2" t="s">
        <v>38</v>
      </c>
      <c r="O177" s="644" t="s">
        <v>38</v>
      </c>
    </row>
    <row r="178" spans="1:16" s="400" customFormat="1" ht="37.5" x14ac:dyDescent="0.3">
      <c r="A178" s="32">
        <f>ROW()-ROW(สำนักงาน!$A$6)+1</f>
        <v>173</v>
      </c>
      <c r="B178" s="394" t="s">
        <v>140</v>
      </c>
      <c r="C178" s="395" t="s">
        <v>3797</v>
      </c>
      <c r="D178" s="277" t="s">
        <v>146</v>
      </c>
      <c r="E178" s="396">
        <v>243705</v>
      </c>
      <c r="F178" s="397">
        <v>2300</v>
      </c>
      <c r="G178" s="398" t="s">
        <v>18</v>
      </c>
      <c r="H178" s="32" t="s">
        <v>4256</v>
      </c>
      <c r="I178" s="399"/>
      <c r="J178" s="399"/>
      <c r="K178" s="399"/>
      <c r="L178" s="399"/>
      <c r="M178" s="399"/>
      <c r="N178" s="2" t="s">
        <v>38</v>
      </c>
      <c r="O178" s="644" t="s">
        <v>38</v>
      </c>
    </row>
    <row r="179" spans="1:16" s="400" customFormat="1" ht="37.5" x14ac:dyDescent="0.3">
      <c r="A179" s="32">
        <f>ROW()-ROW(สำนักงาน!$A$6)+1</f>
        <v>174</v>
      </c>
      <c r="B179" s="394" t="s">
        <v>140</v>
      </c>
      <c r="C179" s="395" t="s">
        <v>3798</v>
      </c>
      <c r="D179" s="277" t="s">
        <v>147</v>
      </c>
      <c r="E179" s="396">
        <v>243705</v>
      </c>
      <c r="F179" s="397">
        <v>2300</v>
      </c>
      <c r="G179" s="398" t="s">
        <v>18</v>
      </c>
      <c r="H179" s="32" t="s">
        <v>4256</v>
      </c>
      <c r="I179" s="399"/>
      <c r="J179" s="399"/>
      <c r="K179" s="399"/>
      <c r="L179" s="399"/>
      <c r="M179" s="399"/>
      <c r="N179" s="2" t="s">
        <v>38</v>
      </c>
      <c r="O179" s="644" t="s">
        <v>38</v>
      </c>
    </row>
    <row r="180" spans="1:16" s="400" customFormat="1" ht="37.5" x14ac:dyDescent="0.3">
      <c r="A180" s="32">
        <f>ROW()-ROW(สำนักงาน!$A$6)+1</f>
        <v>175</v>
      </c>
      <c r="B180" s="394" t="s">
        <v>140</v>
      </c>
      <c r="C180" s="395" t="s">
        <v>3799</v>
      </c>
      <c r="D180" s="277" t="s">
        <v>148</v>
      </c>
      <c r="E180" s="396">
        <v>243705</v>
      </c>
      <c r="F180" s="397">
        <v>2300</v>
      </c>
      <c r="G180" s="398" t="s">
        <v>18</v>
      </c>
      <c r="H180" s="32" t="s">
        <v>4256</v>
      </c>
      <c r="I180" s="399"/>
      <c r="J180" s="399"/>
      <c r="K180" s="399"/>
      <c r="L180" s="399"/>
      <c r="M180" s="399"/>
      <c r="N180" s="2" t="s">
        <v>38</v>
      </c>
      <c r="O180" s="644" t="s">
        <v>38</v>
      </c>
    </row>
    <row r="181" spans="1:16" s="400" customFormat="1" ht="37.5" x14ac:dyDescent="0.3">
      <c r="A181" s="32">
        <f>ROW()-ROW(สำนักงาน!$A$6)+1</f>
        <v>176</v>
      </c>
      <c r="B181" s="394" t="s">
        <v>140</v>
      </c>
      <c r="C181" s="395" t="s">
        <v>3800</v>
      </c>
      <c r="D181" s="277" t="s">
        <v>149</v>
      </c>
      <c r="E181" s="396">
        <v>243705</v>
      </c>
      <c r="F181" s="397">
        <v>2300</v>
      </c>
      <c r="G181" s="398" t="s">
        <v>18</v>
      </c>
      <c r="H181" s="32" t="s">
        <v>4256</v>
      </c>
      <c r="I181" s="399"/>
      <c r="J181" s="399"/>
      <c r="K181" s="399"/>
      <c r="L181" s="399"/>
      <c r="M181" s="399"/>
      <c r="N181" s="2" t="s">
        <v>38</v>
      </c>
      <c r="O181" s="644" t="s">
        <v>38</v>
      </c>
    </row>
    <row r="182" spans="1:16" s="400" customFormat="1" ht="37.5" x14ac:dyDescent="0.3">
      <c r="A182" s="32">
        <f>ROW()-ROW(สำนักงาน!$A$6)+1</f>
        <v>177</v>
      </c>
      <c r="B182" s="394" t="s">
        <v>140</v>
      </c>
      <c r="C182" s="395" t="s">
        <v>3801</v>
      </c>
      <c r="D182" s="277" t="s">
        <v>150</v>
      </c>
      <c r="E182" s="396">
        <v>243705</v>
      </c>
      <c r="F182" s="397">
        <v>2300</v>
      </c>
      <c r="G182" s="398" t="s">
        <v>18</v>
      </c>
      <c r="H182" s="32" t="s">
        <v>4256</v>
      </c>
      <c r="I182" s="399"/>
      <c r="J182" s="399"/>
      <c r="K182" s="399"/>
      <c r="L182" s="399"/>
      <c r="M182" s="399"/>
      <c r="N182" s="2" t="s">
        <v>38</v>
      </c>
      <c r="O182" s="644" t="s">
        <v>38</v>
      </c>
      <c r="P182" s="762">
        <f>SUM(F25:F182)</f>
        <v>631765.69999999995</v>
      </c>
    </row>
    <row r="183" spans="1:16" s="372" customFormat="1" ht="37.5" x14ac:dyDescent="0.3">
      <c r="A183" s="32">
        <f>ROW()-ROW(สำนักงาน!$A$6)+1</f>
        <v>178</v>
      </c>
      <c r="B183" s="496" t="s">
        <v>930</v>
      </c>
      <c r="C183" s="497" t="s">
        <v>931</v>
      </c>
      <c r="D183" s="498" t="s">
        <v>932</v>
      </c>
      <c r="E183" s="499">
        <v>17333</v>
      </c>
      <c r="F183" s="500">
        <v>5500</v>
      </c>
      <c r="G183" s="501" t="s">
        <v>264</v>
      </c>
      <c r="H183" s="371" t="s">
        <v>4256</v>
      </c>
      <c r="I183" s="502"/>
      <c r="J183" s="503"/>
      <c r="K183" s="503"/>
      <c r="L183" s="504"/>
      <c r="M183" s="505"/>
      <c r="N183" s="506"/>
    </row>
    <row r="184" spans="1:16" s="372" customFormat="1" ht="37.5" x14ac:dyDescent="0.3">
      <c r="A184" s="32">
        <f>ROW()-ROW(สำนักงาน!$A$6)+1</f>
        <v>179</v>
      </c>
      <c r="B184" s="496" t="s">
        <v>930</v>
      </c>
      <c r="C184" s="497" t="s">
        <v>933</v>
      </c>
      <c r="D184" s="498" t="s">
        <v>934</v>
      </c>
      <c r="E184" s="499">
        <v>17333</v>
      </c>
      <c r="F184" s="500">
        <v>5500</v>
      </c>
      <c r="G184" s="501" t="s">
        <v>264</v>
      </c>
      <c r="H184" s="371" t="s">
        <v>4256</v>
      </c>
      <c r="I184" s="502"/>
      <c r="J184" s="503"/>
      <c r="K184" s="503"/>
      <c r="L184" s="504"/>
      <c r="M184" s="505"/>
      <c r="N184" s="506"/>
    </row>
    <row r="185" spans="1:16" s="372" customFormat="1" ht="37.5" x14ac:dyDescent="0.3">
      <c r="A185" s="32">
        <f>ROW()-ROW(สำนักงาน!$A$6)+1</f>
        <v>180</v>
      </c>
      <c r="B185" s="496" t="s">
        <v>930</v>
      </c>
      <c r="C185" s="507" t="s">
        <v>935</v>
      </c>
      <c r="D185" s="508" t="s">
        <v>936</v>
      </c>
      <c r="E185" s="509">
        <v>17333</v>
      </c>
      <c r="F185" s="510">
        <v>5500</v>
      </c>
      <c r="G185" s="511" t="s">
        <v>264</v>
      </c>
      <c r="H185" s="371" t="s">
        <v>4256</v>
      </c>
      <c r="I185" s="512"/>
      <c r="J185" s="513"/>
      <c r="K185" s="513"/>
      <c r="L185" s="514"/>
      <c r="M185" s="515"/>
      <c r="N185" s="516"/>
    </row>
    <row r="186" spans="1:16" s="401" customFormat="1" ht="21" x14ac:dyDescent="0.2">
      <c r="A186" s="32">
        <f>ROW()-ROW(สำนักงาน!$A$6)+1</f>
        <v>181</v>
      </c>
      <c r="B186" s="71" t="s">
        <v>1489</v>
      </c>
      <c r="C186" s="72" t="s">
        <v>1490</v>
      </c>
      <c r="D186" s="72" t="s">
        <v>1491</v>
      </c>
      <c r="E186" s="73">
        <v>17439</v>
      </c>
      <c r="F186" s="74">
        <v>2300</v>
      </c>
      <c r="G186" s="72" t="s">
        <v>1492</v>
      </c>
      <c r="H186" s="32" t="s">
        <v>4256</v>
      </c>
      <c r="I186" s="32"/>
      <c r="J186" s="32"/>
      <c r="K186" s="32"/>
      <c r="L186" s="32"/>
      <c r="M186" s="32"/>
      <c r="N186" s="252"/>
    </row>
    <row r="187" spans="1:16" s="372" customFormat="1" ht="18.75" x14ac:dyDescent="0.3">
      <c r="A187" s="32">
        <f>ROW()-ROW(สำนักงาน!$A$6)+1</f>
        <v>182</v>
      </c>
      <c r="B187" s="82" t="s">
        <v>955</v>
      </c>
      <c r="C187" s="13" t="s">
        <v>956</v>
      </c>
      <c r="D187" s="13" t="s">
        <v>957</v>
      </c>
      <c r="E187" s="220" t="s">
        <v>948</v>
      </c>
      <c r="F187" s="221">
        <v>3770</v>
      </c>
      <c r="G187" s="345" t="s">
        <v>949</v>
      </c>
      <c r="H187" s="300"/>
      <c r="I187" s="371" t="s">
        <v>4256</v>
      </c>
      <c r="J187" s="303"/>
      <c r="K187" s="303"/>
      <c r="L187" s="304"/>
      <c r="M187" s="305"/>
      <c r="N187" s="306"/>
    </row>
    <row r="188" spans="1:16" s="372" customFormat="1" ht="18.75" x14ac:dyDescent="0.3">
      <c r="A188" s="32">
        <f>ROW()-ROW(สำนักงาน!$A$6)+1</f>
        <v>183</v>
      </c>
      <c r="B188" s="82" t="s">
        <v>955</v>
      </c>
      <c r="C188" s="13" t="s">
        <v>958</v>
      </c>
      <c r="D188" s="13" t="s">
        <v>959</v>
      </c>
      <c r="E188" s="220" t="s">
        <v>948</v>
      </c>
      <c r="F188" s="221">
        <v>3770</v>
      </c>
      <c r="G188" s="345" t="s">
        <v>949</v>
      </c>
      <c r="H188" s="300"/>
      <c r="I188" s="371" t="s">
        <v>4256</v>
      </c>
      <c r="J188" s="303"/>
      <c r="K188" s="303"/>
      <c r="L188" s="304"/>
      <c r="M188" s="305"/>
      <c r="N188" s="306"/>
    </row>
    <row r="189" spans="1:16" s="372" customFormat="1" ht="18.75" x14ac:dyDescent="0.3">
      <c r="A189" s="32">
        <f>ROW()-ROW(สำนักงาน!$A$6)+1</f>
        <v>184</v>
      </c>
      <c r="B189" s="307" t="s">
        <v>1056</v>
      </c>
      <c r="C189" s="308" t="s">
        <v>1057</v>
      </c>
      <c r="D189" s="308" t="s">
        <v>1058</v>
      </c>
      <c r="E189" s="309">
        <v>21218</v>
      </c>
      <c r="F189" s="310">
        <v>8667</v>
      </c>
      <c r="G189" s="346" t="s">
        <v>949</v>
      </c>
      <c r="H189" s="371" t="s">
        <v>4256</v>
      </c>
      <c r="I189" s="321"/>
      <c r="J189" s="322"/>
      <c r="K189" s="322"/>
      <c r="L189" s="323"/>
      <c r="M189" s="324"/>
      <c r="N189" s="315"/>
    </row>
    <row r="190" spans="1:16" s="372" customFormat="1" ht="18.75" x14ac:dyDescent="0.3">
      <c r="A190" s="32">
        <f>ROW()-ROW(สำนักงาน!$A$6)+1</f>
        <v>185</v>
      </c>
      <c r="B190" s="307" t="s">
        <v>1056</v>
      </c>
      <c r="C190" s="308" t="s">
        <v>1059</v>
      </c>
      <c r="D190" s="308" t="s">
        <v>1060</v>
      </c>
      <c r="E190" s="309">
        <v>21218</v>
      </c>
      <c r="F190" s="310">
        <v>8667</v>
      </c>
      <c r="G190" s="346" t="s">
        <v>949</v>
      </c>
      <c r="H190" s="371" t="s">
        <v>4256</v>
      </c>
      <c r="I190" s="321"/>
      <c r="J190" s="322"/>
      <c r="K190" s="322"/>
      <c r="L190" s="323"/>
      <c r="M190" s="324"/>
      <c r="N190" s="315"/>
    </row>
    <row r="191" spans="1:16" s="372" customFormat="1" ht="18.75" x14ac:dyDescent="0.3">
      <c r="A191" s="32">
        <f>ROW()-ROW(สำนักงาน!$A$6)+1</f>
        <v>186</v>
      </c>
      <c r="B191" s="307" t="s">
        <v>1056</v>
      </c>
      <c r="C191" s="308" t="s">
        <v>1061</v>
      </c>
      <c r="D191" s="308" t="s">
        <v>1062</v>
      </c>
      <c r="E191" s="309">
        <v>21218</v>
      </c>
      <c r="F191" s="310">
        <v>8667</v>
      </c>
      <c r="G191" s="346" t="s">
        <v>949</v>
      </c>
      <c r="H191" s="371" t="s">
        <v>4256</v>
      </c>
      <c r="I191" s="321"/>
      <c r="J191" s="322"/>
      <c r="K191" s="322"/>
      <c r="L191" s="323"/>
      <c r="M191" s="324"/>
      <c r="N191" s="315"/>
    </row>
    <row r="192" spans="1:16" s="372" customFormat="1" ht="18.75" x14ac:dyDescent="0.3">
      <c r="A192" s="32">
        <f>ROW()-ROW(สำนักงาน!$A$6)+1</f>
        <v>187</v>
      </c>
      <c r="B192" s="517" t="s">
        <v>1063</v>
      </c>
      <c r="C192" s="308" t="s">
        <v>1064</v>
      </c>
      <c r="D192" s="518" t="s">
        <v>1065</v>
      </c>
      <c r="E192" s="309">
        <v>21218</v>
      </c>
      <c r="F192" s="519">
        <v>513.6</v>
      </c>
      <c r="G192" s="520" t="s">
        <v>949</v>
      </c>
      <c r="H192" s="371" t="s">
        <v>4256</v>
      </c>
      <c r="I192" s="521"/>
      <c r="J192" s="522"/>
      <c r="K192" s="522"/>
      <c r="L192" s="523"/>
      <c r="M192" s="524"/>
      <c r="N192" s="315"/>
    </row>
    <row r="193" spans="1:14" s="372" customFormat="1" ht="18.75" x14ac:dyDescent="0.3">
      <c r="A193" s="32">
        <f>ROW()-ROW(สำนักงาน!$A$6)+1</f>
        <v>188</v>
      </c>
      <c r="B193" s="307" t="s">
        <v>1063</v>
      </c>
      <c r="C193" s="308" t="s">
        <v>1066</v>
      </c>
      <c r="D193" s="308" t="s">
        <v>1067</v>
      </c>
      <c r="E193" s="309">
        <v>21218</v>
      </c>
      <c r="F193" s="310">
        <v>513.6</v>
      </c>
      <c r="G193" s="346" t="s">
        <v>949</v>
      </c>
      <c r="H193" s="371" t="s">
        <v>4256</v>
      </c>
      <c r="I193" s="321"/>
      <c r="J193" s="322"/>
      <c r="K193" s="322"/>
      <c r="L193" s="323"/>
      <c r="M193" s="324"/>
      <c r="N193" s="315"/>
    </row>
    <row r="194" spans="1:14" s="372" customFormat="1" ht="18.75" x14ac:dyDescent="0.3">
      <c r="A194" s="32">
        <f>ROW()-ROW(สำนักงาน!$A$6)+1</f>
        <v>189</v>
      </c>
      <c r="B194" s="307" t="s">
        <v>1063</v>
      </c>
      <c r="C194" s="308" t="s">
        <v>1068</v>
      </c>
      <c r="D194" s="308" t="s">
        <v>1069</v>
      </c>
      <c r="E194" s="309">
        <v>21218</v>
      </c>
      <c r="F194" s="310">
        <v>513.6</v>
      </c>
      <c r="G194" s="346" t="s">
        <v>949</v>
      </c>
      <c r="H194" s="371" t="s">
        <v>4256</v>
      </c>
      <c r="I194" s="321"/>
      <c r="J194" s="322"/>
      <c r="K194" s="322"/>
      <c r="L194" s="323"/>
      <c r="M194" s="324"/>
      <c r="N194" s="315"/>
    </row>
    <row r="195" spans="1:14" s="372" customFormat="1" ht="18.75" x14ac:dyDescent="0.3">
      <c r="A195" s="32">
        <f>ROW()-ROW(สำนักงาน!$A$6)+1</f>
        <v>190</v>
      </c>
      <c r="B195" s="307" t="s">
        <v>1063</v>
      </c>
      <c r="C195" s="308" t="s">
        <v>1070</v>
      </c>
      <c r="D195" s="308" t="s">
        <v>1071</v>
      </c>
      <c r="E195" s="309">
        <v>21218</v>
      </c>
      <c r="F195" s="310">
        <v>513.6</v>
      </c>
      <c r="G195" s="346" t="s">
        <v>949</v>
      </c>
      <c r="H195" s="371" t="s">
        <v>4256</v>
      </c>
      <c r="I195" s="321"/>
      <c r="J195" s="322"/>
      <c r="K195" s="322"/>
      <c r="L195" s="323"/>
      <c r="M195" s="324"/>
      <c r="N195" s="315"/>
    </row>
    <row r="196" spans="1:14" s="372" customFormat="1" ht="18.75" x14ac:dyDescent="0.3">
      <c r="A196" s="32">
        <f>ROW()-ROW(สำนักงาน!$A$6)+1</f>
        <v>191</v>
      </c>
      <c r="B196" s="307" t="s">
        <v>1063</v>
      </c>
      <c r="C196" s="308" t="s">
        <v>1072</v>
      </c>
      <c r="D196" s="308" t="s">
        <v>1073</v>
      </c>
      <c r="E196" s="309">
        <v>21218</v>
      </c>
      <c r="F196" s="310">
        <v>513.6</v>
      </c>
      <c r="G196" s="346" t="s">
        <v>949</v>
      </c>
      <c r="H196" s="371" t="s">
        <v>4256</v>
      </c>
      <c r="I196" s="321"/>
      <c r="J196" s="322"/>
      <c r="K196" s="322"/>
      <c r="L196" s="323"/>
      <c r="M196" s="324"/>
      <c r="N196" s="315"/>
    </row>
    <row r="197" spans="1:14" s="372" customFormat="1" ht="18.75" x14ac:dyDescent="0.3">
      <c r="A197" s="32">
        <f>ROW()-ROW(สำนักงาน!$A$6)+1</f>
        <v>192</v>
      </c>
      <c r="B197" s="307" t="s">
        <v>1063</v>
      </c>
      <c r="C197" s="308" t="s">
        <v>1074</v>
      </c>
      <c r="D197" s="308" t="s">
        <v>1075</v>
      </c>
      <c r="E197" s="309">
        <v>21218</v>
      </c>
      <c r="F197" s="310">
        <v>513.6</v>
      </c>
      <c r="G197" s="346" t="s">
        <v>949</v>
      </c>
      <c r="H197" s="371" t="s">
        <v>4256</v>
      </c>
      <c r="I197" s="321"/>
      <c r="J197" s="322"/>
      <c r="K197" s="322"/>
      <c r="L197" s="323"/>
      <c r="M197" s="324"/>
      <c r="N197" s="315"/>
    </row>
    <row r="198" spans="1:14" s="372" customFormat="1" ht="18.75" x14ac:dyDescent="0.3">
      <c r="A198" s="32">
        <f>ROW()-ROW(สำนักงาน!$A$6)+1</f>
        <v>193</v>
      </c>
      <c r="B198" s="307" t="s">
        <v>1063</v>
      </c>
      <c r="C198" s="308" t="s">
        <v>1076</v>
      </c>
      <c r="D198" s="308" t="s">
        <v>1077</v>
      </c>
      <c r="E198" s="309">
        <v>21218</v>
      </c>
      <c r="F198" s="310">
        <v>513.6</v>
      </c>
      <c r="G198" s="346" t="s">
        <v>949</v>
      </c>
      <c r="H198" s="371" t="s">
        <v>4256</v>
      </c>
      <c r="I198" s="321"/>
      <c r="J198" s="322"/>
      <c r="K198" s="322"/>
      <c r="L198" s="323"/>
      <c r="M198" s="324"/>
      <c r="N198" s="315"/>
    </row>
    <row r="199" spans="1:14" s="372" customFormat="1" ht="18.75" x14ac:dyDescent="0.3">
      <c r="A199" s="32">
        <f>ROW()-ROW(สำนักงาน!$A$6)+1</f>
        <v>194</v>
      </c>
      <c r="B199" s="307" t="s">
        <v>1063</v>
      </c>
      <c r="C199" s="308" t="s">
        <v>1078</v>
      </c>
      <c r="D199" s="308" t="s">
        <v>1079</v>
      </c>
      <c r="E199" s="309">
        <v>21218</v>
      </c>
      <c r="F199" s="310">
        <v>513.6</v>
      </c>
      <c r="G199" s="346" t="s">
        <v>949</v>
      </c>
      <c r="H199" s="371" t="s">
        <v>4256</v>
      </c>
      <c r="I199" s="321"/>
      <c r="J199" s="322"/>
      <c r="K199" s="322"/>
      <c r="L199" s="323"/>
      <c r="M199" s="324"/>
      <c r="N199" s="315"/>
    </row>
    <row r="200" spans="1:14" s="372" customFormat="1" ht="18.75" x14ac:dyDescent="0.3">
      <c r="A200" s="32">
        <f>ROW()-ROW(สำนักงาน!$A$6)+1</f>
        <v>195</v>
      </c>
      <c r="B200" s="307" t="s">
        <v>1063</v>
      </c>
      <c r="C200" s="308" t="s">
        <v>1080</v>
      </c>
      <c r="D200" s="308" t="s">
        <v>1081</v>
      </c>
      <c r="E200" s="309">
        <v>21218</v>
      </c>
      <c r="F200" s="310">
        <v>513.6</v>
      </c>
      <c r="G200" s="346" t="s">
        <v>949</v>
      </c>
      <c r="H200" s="371" t="s">
        <v>4256</v>
      </c>
      <c r="I200" s="321"/>
      <c r="J200" s="322"/>
      <c r="K200" s="322"/>
      <c r="L200" s="323"/>
      <c r="M200" s="324"/>
      <c r="N200" s="315"/>
    </row>
    <row r="201" spans="1:14" s="372" customFormat="1" ht="18.75" x14ac:dyDescent="0.3">
      <c r="A201" s="32">
        <f>ROW()-ROW(สำนักงาน!$A$6)+1</f>
        <v>196</v>
      </c>
      <c r="B201" s="307" t="s">
        <v>1063</v>
      </c>
      <c r="C201" s="308" t="s">
        <v>1082</v>
      </c>
      <c r="D201" s="308" t="s">
        <v>1083</v>
      </c>
      <c r="E201" s="309">
        <v>21218</v>
      </c>
      <c r="F201" s="310">
        <v>513.6</v>
      </c>
      <c r="G201" s="346" t="s">
        <v>949</v>
      </c>
      <c r="H201" s="371" t="s">
        <v>4256</v>
      </c>
      <c r="I201" s="321"/>
      <c r="J201" s="322"/>
      <c r="K201" s="322"/>
      <c r="L201" s="323"/>
      <c r="M201" s="324"/>
      <c r="N201" s="315"/>
    </row>
    <row r="202" spans="1:14" s="372" customFormat="1" ht="18.75" x14ac:dyDescent="0.3">
      <c r="A202" s="32">
        <f>ROW()-ROW(สำนักงาน!$A$6)+1</f>
        <v>197</v>
      </c>
      <c r="B202" s="307" t="s">
        <v>1063</v>
      </c>
      <c r="C202" s="308" t="s">
        <v>1084</v>
      </c>
      <c r="D202" s="308" t="s">
        <v>1085</v>
      </c>
      <c r="E202" s="309">
        <v>21218</v>
      </c>
      <c r="F202" s="310">
        <v>513.6</v>
      </c>
      <c r="G202" s="346" t="s">
        <v>949</v>
      </c>
      <c r="H202" s="371" t="s">
        <v>4256</v>
      </c>
      <c r="I202" s="321"/>
      <c r="J202" s="322"/>
      <c r="K202" s="322"/>
      <c r="L202" s="323"/>
      <c r="M202" s="324"/>
      <c r="N202" s="315"/>
    </row>
    <row r="203" spans="1:14" s="372" customFormat="1" ht="18.75" x14ac:dyDescent="0.3">
      <c r="A203" s="32">
        <f>ROW()-ROW(สำนักงาน!$A$6)+1</f>
        <v>198</v>
      </c>
      <c r="B203" s="307" t="s">
        <v>1063</v>
      </c>
      <c r="C203" s="308" t="s">
        <v>1086</v>
      </c>
      <c r="D203" s="308" t="s">
        <v>1087</v>
      </c>
      <c r="E203" s="309">
        <v>21218</v>
      </c>
      <c r="F203" s="310">
        <v>513.6</v>
      </c>
      <c r="G203" s="346" t="s">
        <v>949</v>
      </c>
      <c r="H203" s="371" t="s">
        <v>4256</v>
      </c>
      <c r="I203" s="321"/>
      <c r="J203" s="322"/>
      <c r="K203" s="322"/>
      <c r="L203" s="323"/>
      <c r="M203" s="324"/>
      <c r="N203" s="315"/>
    </row>
    <row r="204" spans="1:14" s="372" customFormat="1" ht="18.75" x14ac:dyDescent="0.3">
      <c r="A204" s="32">
        <f>ROW()-ROW(สำนักงาน!$A$6)+1</f>
        <v>199</v>
      </c>
      <c r="B204" s="307" t="s">
        <v>1063</v>
      </c>
      <c r="C204" s="308" t="s">
        <v>1088</v>
      </c>
      <c r="D204" s="308" t="s">
        <v>1089</v>
      </c>
      <c r="E204" s="309">
        <v>21218</v>
      </c>
      <c r="F204" s="310">
        <v>513.6</v>
      </c>
      <c r="G204" s="346" t="s">
        <v>949</v>
      </c>
      <c r="H204" s="371" t="s">
        <v>4256</v>
      </c>
      <c r="I204" s="321"/>
      <c r="J204" s="322"/>
      <c r="K204" s="322"/>
      <c r="L204" s="323"/>
      <c r="M204" s="324"/>
      <c r="N204" s="315"/>
    </row>
    <row r="205" spans="1:14" s="372" customFormat="1" ht="18.75" x14ac:dyDescent="0.3">
      <c r="A205" s="32">
        <f>ROW()-ROW(สำนักงาน!$A$6)+1</f>
        <v>200</v>
      </c>
      <c r="B205" s="307" t="s">
        <v>1063</v>
      </c>
      <c r="C205" s="308" t="s">
        <v>1090</v>
      </c>
      <c r="D205" s="308" t="s">
        <v>1091</v>
      </c>
      <c r="E205" s="309">
        <v>21218</v>
      </c>
      <c r="F205" s="310">
        <v>513.6</v>
      </c>
      <c r="G205" s="346" t="s">
        <v>949</v>
      </c>
      <c r="H205" s="371" t="s">
        <v>4256</v>
      </c>
      <c r="I205" s="321"/>
      <c r="J205" s="322"/>
      <c r="K205" s="322"/>
      <c r="L205" s="323"/>
      <c r="M205" s="324"/>
      <c r="N205" s="315"/>
    </row>
    <row r="206" spans="1:14" s="372" customFormat="1" ht="18.75" x14ac:dyDescent="0.3">
      <c r="A206" s="32">
        <f>ROW()-ROW(สำนักงาน!$A$6)+1</f>
        <v>201</v>
      </c>
      <c r="B206" s="307" t="s">
        <v>1063</v>
      </c>
      <c r="C206" s="308" t="s">
        <v>1092</v>
      </c>
      <c r="D206" s="308" t="s">
        <v>1093</v>
      </c>
      <c r="E206" s="309">
        <v>21218</v>
      </c>
      <c r="F206" s="310">
        <v>513.6</v>
      </c>
      <c r="G206" s="346" t="s">
        <v>949</v>
      </c>
      <c r="H206" s="371" t="s">
        <v>4256</v>
      </c>
      <c r="I206" s="321"/>
      <c r="J206" s="322"/>
      <c r="K206" s="322"/>
      <c r="L206" s="323"/>
      <c r="M206" s="324"/>
      <c r="N206" s="315"/>
    </row>
    <row r="207" spans="1:14" s="372" customFormat="1" ht="18.75" x14ac:dyDescent="0.3">
      <c r="A207" s="32">
        <f>ROW()-ROW(สำนักงาน!$A$6)+1</f>
        <v>202</v>
      </c>
      <c r="B207" s="307" t="s">
        <v>1063</v>
      </c>
      <c r="C207" s="308" t="s">
        <v>1094</v>
      </c>
      <c r="D207" s="308" t="s">
        <v>1095</v>
      </c>
      <c r="E207" s="309">
        <v>21218</v>
      </c>
      <c r="F207" s="310">
        <v>513.6</v>
      </c>
      <c r="G207" s="346" t="s">
        <v>949</v>
      </c>
      <c r="H207" s="371" t="s">
        <v>4256</v>
      </c>
      <c r="I207" s="321"/>
      <c r="J207" s="322"/>
      <c r="K207" s="322"/>
      <c r="L207" s="323"/>
      <c r="M207" s="324"/>
      <c r="N207" s="315"/>
    </row>
    <row r="208" spans="1:14" s="372" customFormat="1" ht="18.75" x14ac:dyDescent="0.3">
      <c r="A208" s="32">
        <f>ROW()-ROW(สำนักงาน!$A$6)+1</f>
        <v>203</v>
      </c>
      <c r="B208" s="307" t="s">
        <v>1063</v>
      </c>
      <c r="C208" s="308" t="s">
        <v>1096</v>
      </c>
      <c r="D208" s="308" t="s">
        <v>1097</v>
      </c>
      <c r="E208" s="309">
        <v>21218</v>
      </c>
      <c r="F208" s="310">
        <v>513.6</v>
      </c>
      <c r="G208" s="346" t="s">
        <v>949</v>
      </c>
      <c r="H208" s="371" t="s">
        <v>4256</v>
      </c>
      <c r="I208" s="321"/>
      <c r="J208" s="322"/>
      <c r="K208" s="322"/>
      <c r="L208" s="323"/>
      <c r="M208" s="324"/>
      <c r="N208" s="315"/>
    </row>
    <row r="209" spans="1:14" s="372" customFormat="1" ht="18.75" x14ac:dyDescent="0.3">
      <c r="A209" s="32">
        <f>ROW()-ROW(สำนักงาน!$A$6)+1</f>
        <v>204</v>
      </c>
      <c r="B209" s="307" t="s">
        <v>1063</v>
      </c>
      <c r="C209" s="308" t="s">
        <v>1098</v>
      </c>
      <c r="D209" s="308" t="s">
        <v>1099</v>
      </c>
      <c r="E209" s="309">
        <v>21218</v>
      </c>
      <c r="F209" s="310">
        <v>513.6</v>
      </c>
      <c r="G209" s="346" t="s">
        <v>949</v>
      </c>
      <c r="H209" s="371" t="s">
        <v>4256</v>
      </c>
      <c r="I209" s="321"/>
      <c r="J209" s="322"/>
      <c r="K209" s="322"/>
      <c r="L209" s="323"/>
      <c r="M209" s="324"/>
      <c r="N209" s="315"/>
    </row>
    <row r="210" spans="1:14" s="372" customFormat="1" ht="18.75" x14ac:dyDescent="0.3">
      <c r="A210" s="32">
        <f>ROW()-ROW(สำนักงาน!$A$6)+1</f>
        <v>205</v>
      </c>
      <c r="B210" s="307" t="s">
        <v>1063</v>
      </c>
      <c r="C210" s="308" t="s">
        <v>1100</v>
      </c>
      <c r="D210" s="308" t="s">
        <v>1101</v>
      </c>
      <c r="E210" s="309">
        <v>21218</v>
      </c>
      <c r="F210" s="310">
        <v>513.6</v>
      </c>
      <c r="G210" s="346" t="s">
        <v>949</v>
      </c>
      <c r="H210" s="371" t="s">
        <v>4256</v>
      </c>
      <c r="I210" s="321"/>
      <c r="J210" s="322"/>
      <c r="K210" s="322"/>
      <c r="L210" s="323"/>
      <c r="M210" s="324"/>
      <c r="N210" s="315"/>
    </row>
    <row r="211" spans="1:14" s="372" customFormat="1" ht="18.75" x14ac:dyDescent="0.3">
      <c r="A211" s="32">
        <f>ROW()-ROW(สำนักงาน!$A$6)+1</f>
        <v>206</v>
      </c>
      <c r="B211" s="307" t="s">
        <v>1063</v>
      </c>
      <c r="C211" s="308" t="s">
        <v>1102</v>
      </c>
      <c r="D211" s="308" t="s">
        <v>1103</v>
      </c>
      <c r="E211" s="309">
        <v>21218</v>
      </c>
      <c r="F211" s="310">
        <v>513.6</v>
      </c>
      <c r="G211" s="346" t="s">
        <v>949</v>
      </c>
      <c r="H211" s="371" t="s">
        <v>4256</v>
      </c>
      <c r="I211" s="321"/>
      <c r="J211" s="322"/>
      <c r="K211" s="322"/>
      <c r="L211" s="323"/>
      <c r="M211" s="324"/>
      <c r="N211" s="315"/>
    </row>
    <row r="212" spans="1:14" s="372" customFormat="1" ht="18.75" x14ac:dyDescent="0.3">
      <c r="A212" s="32">
        <f>ROW()-ROW(สำนักงาน!$A$6)+1</f>
        <v>207</v>
      </c>
      <c r="B212" s="307" t="s">
        <v>1234</v>
      </c>
      <c r="C212" s="308" t="s">
        <v>1235</v>
      </c>
      <c r="D212" s="308" t="s">
        <v>1236</v>
      </c>
      <c r="E212" s="319" t="s">
        <v>1233</v>
      </c>
      <c r="F212" s="310">
        <v>5460</v>
      </c>
      <c r="G212" s="308" t="s">
        <v>825</v>
      </c>
      <c r="H212" s="320" t="s">
        <v>4256</v>
      </c>
      <c r="I212" s="321"/>
      <c r="J212" s="322"/>
      <c r="K212" s="322"/>
      <c r="L212" s="323"/>
      <c r="M212" s="324"/>
      <c r="N212" s="525"/>
    </row>
    <row r="213" spans="1:14" s="372" customFormat="1" ht="18.75" x14ac:dyDescent="0.3">
      <c r="A213" s="32">
        <f>ROW()-ROW(สำนักงาน!$A$6)+1</f>
        <v>208</v>
      </c>
      <c r="B213" s="307" t="s">
        <v>1237</v>
      </c>
      <c r="C213" s="308" t="s">
        <v>1238</v>
      </c>
      <c r="D213" s="308" t="s">
        <v>1239</v>
      </c>
      <c r="E213" s="319" t="s">
        <v>1233</v>
      </c>
      <c r="F213" s="310">
        <v>5460</v>
      </c>
      <c r="G213" s="308" t="s">
        <v>825</v>
      </c>
      <c r="H213" s="320" t="s">
        <v>4256</v>
      </c>
      <c r="I213" s="321"/>
      <c r="J213" s="322"/>
      <c r="K213" s="322"/>
      <c r="L213" s="323"/>
      <c r="M213" s="324"/>
      <c r="N213" s="526"/>
    </row>
    <row r="214" spans="1:14" s="372" customFormat="1" ht="18.75" x14ac:dyDescent="0.3">
      <c r="A214" s="32">
        <f>ROW()-ROW(สำนักงาน!$A$6)+1</f>
        <v>209</v>
      </c>
      <c r="B214" s="307" t="s">
        <v>1240</v>
      </c>
      <c r="C214" s="308" t="s">
        <v>1241</v>
      </c>
      <c r="D214" s="308" t="s">
        <v>1242</v>
      </c>
      <c r="E214" s="319" t="s">
        <v>1233</v>
      </c>
      <c r="F214" s="310">
        <v>3920</v>
      </c>
      <c r="G214" s="308" t="s">
        <v>825</v>
      </c>
      <c r="H214" s="320" t="s">
        <v>4256</v>
      </c>
      <c r="I214" s="321"/>
      <c r="J214" s="322"/>
      <c r="K214" s="322"/>
      <c r="L214" s="323"/>
      <c r="M214" s="324"/>
      <c r="N214" s="525"/>
    </row>
    <row r="215" spans="1:14" s="372" customFormat="1" ht="18.75" x14ac:dyDescent="0.3">
      <c r="A215" s="32">
        <f>ROW()-ROW(สำนักงาน!$A$6)+1</f>
        <v>210</v>
      </c>
      <c r="B215" s="307" t="s">
        <v>1240</v>
      </c>
      <c r="C215" s="308" t="s">
        <v>1243</v>
      </c>
      <c r="D215" s="308" t="s">
        <v>1244</v>
      </c>
      <c r="E215" s="319" t="s">
        <v>1233</v>
      </c>
      <c r="F215" s="310">
        <v>3920</v>
      </c>
      <c r="G215" s="308" t="s">
        <v>825</v>
      </c>
      <c r="H215" s="320" t="s">
        <v>4256</v>
      </c>
      <c r="I215" s="321"/>
      <c r="J215" s="322"/>
      <c r="K215" s="322"/>
      <c r="L215" s="323"/>
      <c r="M215" s="324"/>
      <c r="N215" s="525"/>
    </row>
    <row r="216" spans="1:14" s="372" customFormat="1" ht="18.75" x14ac:dyDescent="0.3">
      <c r="A216" s="32">
        <f>ROW()-ROW(สำนักงาน!$A$6)+1</f>
        <v>211</v>
      </c>
      <c r="B216" s="307" t="s">
        <v>1245</v>
      </c>
      <c r="C216" s="308" t="s">
        <v>1246</v>
      </c>
      <c r="D216" s="308" t="s">
        <v>1247</v>
      </c>
      <c r="E216" s="319" t="s">
        <v>1233</v>
      </c>
      <c r="F216" s="310">
        <v>3920</v>
      </c>
      <c r="G216" s="308" t="s">
        <v>825</v>
      </c>
      <c r="H216" s="320" t="s">
        <v>4256</v>
      </c>
      <c r="I216" s="321"/>
      <c r="J216" s="322"/>
      <c r="K216" s="322"/>
      <c r="L216" s="323"/>
      <c r="M216" s="324"/>
      <c r="N216" s="525" t="s">
        <v>200</v>
      </c>
    </row>
    <row r="217" spans="1:14" s="372" customFormat="1" ht="18.75" x14ac:dyDescent="0.3">
      <c r="A217" s="32">
        <f>ROW()-ROW(สำนักงาน!$A$6)+1</f>
        <v>212</v>
      </c>
      <c r="B217" s="307" t="s">
        <v>1237</v>
      </c>
      <c r="C217" s="308" t="s">
        <v>1248</v>
      </c>
      <c r="D217" s="308" t="s">
        <v>1249</v>
      </c>
      <c r="E217" s="319" t="s">
        <v>1233</v>
      </c>
      <c r="F217" s="310">
        <v>3920</v>
      </c>
      <c r="G217" s="308" t="s">
        <v>825</v>
      </c>
      <c r="H217" s="320" t="s">
        <v>4256</v>
      </c>
      <c r="I217" s="321"/>
      <c r="J217" s="322"/>
      <c r="K217" s="322"/>
      <c r="L217" s="323"/>
      <c r="M217" s="324"/>
      <c r="N217" s="527"/>
    </row>
    <row r="218" spans="1:14" s="372" customFormat="1" ht="18.75" x14ac:dyDescent="0.3">
      <c r="A218" s="32">
        <f>ROW()-ROW(สำนักงาน!$A$6)+1</f>
        <v>213</v>
      </c>
      <c r="B218" s="307" t="s">
        <v>1250</v>
      </c>
      <c r="C218" s="308" t="s">
        <v>1251</v>
      </c>
      <c r="D218" s="308" t="s">
        <v>1252</v>
      </c>
      <c r="E218" s="319" t="s">
        <v>1253</v>
      </c>
      <c r="F218" s="310">
        <v>1825</v>
      </c>
      <c r="G218" s="308" t="s">
        <v>825</v>
      </c>
      <c r="H218" s="320" t="s">
        <v>4256</v>
      </c>
      <c r="I218" s="321"/>
      <c r="J218" s="322"/>
      <c r="K218" s="322"/>
      <c r="L218" s="323"/>
      <c r="M218" s="324"/>
      <c r="N218" s="525"/>
    </row>
    <row r="219" spans="1:14" s="372" customFormat="1" ht="18.75" x14ac:dyDescent="0.3">
      <c r="A219" s="32">
        <f>ROW()-ROW(สำนักงาน!$A$6)+1</f>
        <v>214</v>
      </c>
      <c r="B219" s="307" t="s">
        <v>1250</v>
      </c>
      <c r="C219" s="308" t="s">
        <v>1254</v>
      </c>
      <c r="D219" s="308" t="s">
        <v>1255</v>
      </c>
      <c r="E219" s="319" t="s">
        <v>1253</v>
      </c>
      <c r="F219" s="310">
        <v>1825</v>
      </c>
      <c r="G219" s="308" t="s">
        <v>825</v>
      </c>
      <c r="H219" s="320" t="s">
        <v>4256</v>
      </c>
      <c r="I219" s="321"/>
      <c r="J219" s="322"/>
      <c r="K219" s="322"/>
      <c r="L219" s="323"/>
      <c r="M219" s="324"/>
      <c r="N219" s="525"/>
    </row>
    <row r="220" spans="1:14" s="372" customFormat="1" ht="18.75" x14ac:dyDescent="0.3">
      <c r="A220" s="32">
        <f>ROW()-ROW(สำนักงาน!$A$6)+1</f>
        <v>215</v>
      </c>
      <c r="B220" s="307" t="s">
        <v>1250</v>
      </c>
      <c r="C220" s="308" t="s">
        <v>1256</v>
      </c>
      <c r="D220" s="308" t="s">
        <v>1257</v>
      </c>
      <c r="E220" s="319" t="s">
        <v>1253</v>
      </c>
      <c r="F220" s="310">
        <v>1825</v>
      </c>
      <c r="G220" s="308" t="s">
        <v>825</v>
      </c>
      <c r="H220" s="320" t="s">
        <v>4256</v>
      </c>
      <c r="I220" s="321"/>
      <c r="J220" s="322"/>
      <c r="K220" s="322"/>
      <c r="L220" s="323"/>
      <c r="M220" s="324"/>
      <c r="N220" s="525"/>
    </row>
    <row r="221" spans="1:14" s="372" customFormat="1" ht="18.75" x14ac:dyDescent="0.3">
      <c r="A221" s="32">
        <f>ROW()-ROW(สำนักงาน!$A$6)+1</f>
        <v>216</v>
      </c>
      <c r="B221" s="307" t="s">
        <v>1250</v>
      </c>
      <c r="C221" s="308" t="s">
        <v>1258</v>
      </c>
      <c r="D221" s="308" t="s">
        <v>1259</v>
      </c>
      <c r="E221" s="319" t="s">
        <v>1253</v>
      </c>
      <c r="F221" s="310">
        <v>1825</v>
      </c>
      <c r="G221" s="308" t="s">
        <v>825</v>
      </c>
      <c r="H221" s="320" t="s">
        <v>4256</v>
      </c>
      <c r="I221" s="321"/>
      <c r="J221" s="322"/>
      <c r="K221" s="322"/>
      <c r="L221" s="323"/>
      <c r="M221" s="324"/>
      <c r="N221" s="525"/>
    </row>
    <row r="222" spans="1:14" s="372" customFormat="1" ht="18.75" x14ac:dyDescent="0.3">
      <c r="A222" s="32">
        <f>ROW()-ROW(สำนักงาน!$A$6)+1</f>
        <v>217</v>
      </c>
      <c r="B222" s="307" t="s">
        <v>1250</v>
      </c>
      <c r="C222" s="308" t="s">
        <v>1260</v>
      </c>
      <c r="D222" s="308" t="s">
        <v>1261</v>
      </c>
      <c r="E222" s="319" t="s">
        <v>1253</v>
      </c>
      <c r="F222" s="310">
        <v>1825</v>
      </c>
      <c r="G222" s="308" t="s">
        <v>825</v>
      </c>
      <c r="H222" s="320" t="s">
        <v>4256</v>
      </c>
      <c r="I222" s="321"/>
      <c r="J222" s="322"/>
      <c r="K222" s="322"/>
      <c r="L222" s="323"/>
      <c r="M222" s="324"/>
      <c r="N222" s="525"/>
    </row>
    <row r="223" spans="1:14" s="372" customFormat="1" ht="18.75" x14ac:dyDescent="0.3">
      <c r="A223" s="32">
        <f>ROW()-ROW(สำนักงาน!$A$6)+1</f>
        <v>218</v>
      </c>
      <c r="B223" s="307" t="s">
        <v>1250</v>
      </c>
      <c r="C223" s="308" t="s">
        <v>1262</v>
      </c>
      <c r="D223" s="308" t="s">
        <v>1263</v>
      </c>
      <c r="E223" s="319" t="s">
        <v>1253</v>
      </c>
      <c r="F223" s="310">
        <v>1825</v>
      </c>
      <c r="G223" s="308" t="s">
        <v>825</v>
      </c>
      <c r="H223" s="320" t="s">
        <v>4256</v>
      </c>
      <c r="I223" s="321"/>
      <c r="J223" s="322"/>
      <c r="K223" s="322"/>
      <c r="L223" s="323"/>
      <c r="M223" s="324"/>
      <c r="N223" s="525"/>
    </row>
    <row r="224" spans="1:14" s="372" customFormat="1" ht="18.75" x14ac:dyDescent="0.3">
      <c r="A224" s="32">
        <f>ROW()-ROW(สำนักงาน!$A$6)+1</f>
        <v>219</v>
      </c>
      <c r="B224" s="307" t="s">
        <v>1250</v>
      </c>
      <c r="C224" s="308" t="s">
        <v>1264</v>
      </c>
      <c r="D224" s="308" t="s">
        <v>1265</v>
      </c>
      <c r="E224" s="319" t="s">
        <v>1253</v>
      </c>
      <c r="F224" s="310">
        <v>1825</v>
      </c>
      <c r="G224" s="308" t="s">
        <v>825</v>
      </c>
      <c r="H224" s="320" t="s">
        <v>4256</v>
      </c>
      <c r="I224" s="321"/>
      <c r="J224" s="322"/>
      <c r="K224" s="322"/>
      <c r="L224" s="323"/>
      <c r="M224" s="324"/>
      <c r="N224" s="525"/>
    </row>
    <row r="225" spans="1:14" s="372" customFormat="1" ht="18.75" x14ac:dyDescent="0.3">
      <c r="A225" s="32">
        <f>ROW()-ROW(สำนักงาน!$A$6)+1</f>
        <v>220</v>
      </c>
      <c r="B225" s="307" t="s">
        <v>1250</v>
      </c>
      <c r="C225" s="308" t="s">
        <v>1266</v>
      </c>
      <c r="D225" s="308" t="s">
        <v>1267</v>
      </c>
      <c r="E225" s="319" t="s">
        <v>1253</v>
      </c>
      <c r="F225" s="310">
        <v>1825</v>
      </c>
      <c r="G225" s="308" t="s">
        <v>825</v>
      </c>
      <c r="H225" s="320" t="s">
        <v>4256</v>
      </c>
      <c r="I225" s="321"/>
      <c r="J225" s="322"/>
      <c r="K225" s="322"/>
      <c r="L225" s="323"/>
      <c r="M225" s="324"/>
      <c r="N225" s="525"/>
    </row>
    <row r="226" spans="1:14" s="372" customFormat="1" ht="18.75" x14ac:dyDescent="0.3">
      <c r="A226" s="32">
        <f>ROW()-ROW(สำนักงาน!$A$6)+1</f>
        <v>221</v>
      </c>
      <c r="B226" s="307" t="s">
        <v>1250</v>
      </c>
      <c r="C226" s="308" t="s">
        <v>1268</v>
      </c>
      <c r="D226" s="308" t="s">
        <v>1269</v>
      </c>
      <c r="E226" s="319" t="s">
        <v>1253</v>
      </c>
      <c r="F226" s="310">
        <v>1825</v>
      </c>
      <c r="G226" s="308" t="s">
        <v>825</v>
      </c>
      <c r="H226" s="320" t="s">
        <v>4256</v>
      </c>
      <c r="I226" s="321"/>
      <c r="J226" s="322"/>
      <c r="K226" s="322"/>
      <c r="L226" s="323"/>
      <c r="M226" s="324"/>
      <c r="N226" s="525"/>
    </row>
    <row r="227" spans="1:14" s="372" customFormat="1" ht="18.75" x14ac:dyDescent="0.3">
      <c r="A227" s="32">
        <f>ROW()-ROW(สำนักงาน!$A$6)+1</f>
        <v>222</v>
      </c>
      <c r="B227" s="307" t="s">
        <v>1250</v>
      </c>
      <c r="C227" s="308" t="s">
        <v>1270</v>
      </c>
      <c r="D227" s="308" t="s">
        <v>1271</v>
      </c>
      <c r="E227" s="319" t="s">
        <v>1253</v>
      </c>
      <c r="F227" s="310">
        <v>1825</v>
      </c>
      <c r="G227" s="308" t="s">
        <v>825</v>
      </c>
      <c r="H227" s="320" t="s">
        <v>4256</v>
      </c>
      <c r="I227" s="321"/>
      <c r="J227" s="322"/>
      <c r="K227" s="322"/>
      <c r="L227" s="323"/>
      <c r="M227" s="324"/>
      <c r="N227" s="525"/>
    </row>
    <row r="228" spans="1:14" s="372" customFormat="1" ht="18.75" x14ac:dyDescent="0.3">
      <c r="A228" s="32">
        <f>ROW()-ROW(สำนักงาน!$A$6)+1</f>
        <v>223</v>
      </c>
      <c r="B228" s="307" t="s">
        <v>1250</v>
      </c>
      <c r="C228" s="308" t="s">
        <v>1272</v>
      </c>
      <c r="D228" s="308" t="s">
        <v>1273</v>
      </c>
      <c r="E228" s="319" t="s">
        <v>1253</v>
      </c>
      <c r="F228" s="310">
        <v>1825</v>
      </c>
      <c r="G228" s="308" t="s">
        <v>825</v>
      </c>
      <c r="H228" s="320" t="s">
        <v>4256</v>
      </c>
      <c r="I228" s="321"/>
      <c r="J228" s="322"/>
      <c r="K228" s="322"/>
      <c r="L228" s="323"/>
      <c r="M228" s="324"/>
      <c r="N228" s="525"/>
    </row>
    <row r="229" spans="1:14" s="372" customFormat="1" ht="18.75" x14ac:dyDescent="0.3">
      <c r="A229" s="32">
        <f>ROW()-ROW(สำนักงาน!$A$6)+1</f>
        <v>224</v>
      </c>
      <c r="B229" s="307" t="s">
        <v>1250</v>
      </c>
      <c r="C229" s="308" t="s">
        <v>1274</v>
      </c>
      <c r="D229" s="308" t="s">
        <v>1275</v>
      </c>
      <c r="E229" s="319" t="s">
        <v>1253</v>
      </c>
      <c r="F229" s="310">
        <v>1825</v>
      </c>
      <c r="G229" s="308" t="s">
        <v>825</v>
      </c>
      <c r="H229" s="320" t="s">
        <v>4256</v>
      </c>
      <c r="I229" s="321"/>
      <c r="J229" s="322"/>
      <c r="K229" s="322"/>
      <c r="L229" s="323"/>
      <c r="M229" s="324"/>
      <c r="N229" s="525"/>
    </row>
    <row r="230" spans="1:14" s="372" customFormat="1" ht="18.75" x14ac:dyDescent="0.3">
      <c r="A230" s="32">
        <f>ROW()-ROW(สำนักงาน!$A$6)+1</f>
        <v>225</v>
      </c>
      <c r="B230" s="307" t="s">
        <v>1250</v>
      </c>
      <c r="C230" s="308" t="s">
        <v>1276</v>
      </c>
      <c r="D230" s="308" t="s">
        <v>1277</v>
      </c>
      <c r="E230" s="319" t="s">
        <v>1253</v>
      </c>
      <c r="F230" s="310">
        <v>1825</v>
      </c>
      <c r="G230" s="308" t="s">
        <v>825</v>
      </c>
      <c r="H230" s="320" t="s">
        <v>4256</v>
      </c>
      <c r="I230" s="321"/>
      <c r="J230" s="322"/>
      <c r="K230" s="322"/>
      <c r="L230" s="323"/>
      <c r="M230" s="324"/>
      <c r="N230" s="525"/>
    </row>
    <row r="231" spans="1:14" s="372" customFormat="1" ht="18.75" x14ac:dyDescent="0.3">
      <c r="A231" s="32">
        <f>ROW()-ROW(สำนักงาน!$A$6)+1</f>
        <v>226</v>
      </c>
      <c r="B231" s="307" t="s">
        <v>1250</v>
      </c>
      <c r="C231" s="308" t="s">
        <v>1278</v>
      </c>
      <c r="D231" s="308" t="s">
        <v>1279</v>
      </c>
      <c r="E231" s="319" t="s">
        <v>1253</v>
      </c>
      <c r="F231" s="310">
        <v>1825</v>
      </c>
      <c r="G231" s="308" t="s">
        <v>825</v>
      </c>
      <c r="H231" s="320" t="s">
        <v>4256</v>
      </c>
      <c r="I231" s="321"/>
      <c r="J231" s="322"/>
      <c r="K231" s="322"/>
      <c r="L231" s="323"/>
      <c r="M231" s="324"/>
      <c r="N231" s="525"/>
    </row>
    <row r="232" spans="1:14" s="372" customFormat="1" ht="18.75" x14ac:dyDescent="0.3">
      <c r="A232" s="32">
        <f>ROW()-ROW(สำนักงาน!$A$6)+1</f>
        <v>227</v>
      </c>
      <c r="B232" s="307" t="s">
        <v>1250</v>
      </c>
      <c r="C232" s="308" t="s">
        <v>1280</v>
      </c>
      <c r="D232" s="308" t="s">
        <v>1281</v>
      </c>
      <c r="E232" s="319" t="s">
        <v>1253</v>
      </c>
      <c r="F232" s="310">
        <v>1825</v>
      </c>
      <c r="G232" s="308" t="s">
        <v>825</v>
      </c>
      <c r="H232" s="320" t="s">
        <v>4256</v>
      </c>
      <c r="I232" s="321"/>
      <c r="J232" s="322"/>
      <c r="K232" s="322"/>
      <c r="L232" s="323"/>
      <c r="M232" s="324"/>
      <c r="N232" s="525"/>
    </row>
    <row r="233" spans="1:14" s="372" customFormat="1" ht="18.75" x14ac:dyDescent="0.3">
      <c r="A233" s="32">
        <f>ROW()-ROW(สำนักงาน!$A$6)+1</f>
        <v>228</v>
      </c>
      <c r="B233" s="307" t="s">
        <v>1250</v>
      </c>
      <c r="C233" s="308" t="s">
        <v>1282</v>
      </c>
      <c r="D233" s="308" t="s">
        <v>1283</v>
      </c>
      <c r="E233" s="319" t="s">
        <v>1253</v>
      </c>
      <c r="F233" s="310">
        <v>1825</v>
      </c>
      <c r="G233" s="308" t="s">
        <v>825</v>
      </c>
      <c r="H233" s="320" t="s">
        <v>4256</v>
      </c>
      <c r="I233" s="321"/>
      <c r="J233" s="322"/>
      <c r="K233" s="322"/>
      <c r="L233" s="323"/>
      <c r="M233" s="324"/>
      <c r="N233" s="525"/>
    </row>
    <row r="234" spans="1:14" s="372" customFormat="1" ht="18.75" x14ac:dyDescent="0.3">
      <c r="A234" s="32">
        <f>ROW()-ROW(สำนักงาน!$A$6)+1</f>
        <v>229</v>
      </c>
      <c r="B234" s="307" t="s">
        <v>1250</v>
      </c>
      <c r="C234" s="308" t="s">
        <v>1284</v>
      </c>
      <c r="D234" s="308" t="s">
        <v>1285</v>
      </c>
      <c r="E234" s="319" t="s">
        <v>1253</v>
      </c>
      <c r="F234" s="310">
        <v>1825</v>
      </c>
      <c r="G234" s="308" t="s">
        <v>825</v>
      </c>
      <c r="H234" s="320" t="s">
        <v>4256</v>
      </c>
      <c r="I234" s="321"/>
      <c r="J234" s="322"/>
      <c r="K234" s="322"/>
      <c r="L234" s="323"/>
      <c r="M234" s="324"/>
      <c r="N234" s="525"/>
    </row>
    <row r="235" spans="1:14" s="372" customFormat="1" ht="18.75" x14ac:dyDescent="0.3">
      <c r="A235" s="32">
        <f>ROW()-ROW(สำนักงาน!$A$6)+1</f>
        <v>230</v>
      </c>
      <c r="B235" s="307" t="s">
        <v>1250</v>
      </c>
      <c r="C235" s="308" t="s">
        <v>1286</v>
      </c>
      <c r="D235" s="308" t="s">
        <v>1287</v>
      </c>
      <c r="E235" s="319" t="s">
        <v>1253</v>
      </c>
      <c r="F235" s="310">
        <v>1825</v>
      </c>
      <c r="G235" s="308" t="s">
        <v>825</v>
      </c>
      <c r="H235" s="320" t="s">
        <v>4256</v>
      </c>
      <c r="I235" s="321"/>
      <c r="J235" s="322"/>
      <c r="K235" s="322"/>
      <c r="L235" s="323"/>
      <c r="M235" s="324"/>
      <c r="N235" s="525"/>
    </row>
    <row r="236" spans="1:14" s="372" customFormat="1" ht="18.75" x14ac:dyDescent="0.3">
      <c r="A236" s="32">
        <f>ROW()-ROW(สำนักงาน!$A$6)+1</f>
        <v>231</v>
      </c>
      <c r="B236" s="307" t="s">
        <v>1250</v>
      </c>
      <c r="C236" s="308" t="s">
        <v>1288</v>
      </c>
      <c r="D236" s="308" t="s">
        <v>1289</v>
      </c>
      <c r="E236" s="319" t="s">
        <v>1253</v>
      </c>
      <c r="F236" s="310">
        <v>1825</v>
      </c>
      <c r="G236" s="308" t="s">
        <v>825</v>
      </c>
      <c r="H236" s="320" t="s">
        <v>4256</v>
      </c>
      <c r="I236" s="321"/>
      <c r="J236" s="322"/>
      <c r="K236" s="322"/>
      <c r="L236" s="323"/>
      <c r="M236" s="324"/>
      <c r="N236" s="525"/>
    </row>
    <row r="237" spans="1:14" s="372" customFormat="1" ht="18.75" x14ac:dyDescent="0.3">
      <c r="A237" s="32">
        <f>ROW()-ROW(สำนักงาน!$A$6)+1</f>
        <v>232</v>
      </c>
      <c r="B237" s="307" t="s">
        <v>1250</v>
      </c>
      <c r="C237" s="308" t="s">
        <v>1290</v>
      </c>
      <c r="D237" s="308" t="s">
        <v>1291</v>
      </c>
      <c r="E237" s="319" t="s">
        <v>1253</v>
      </c>
      <c r="F237" s="310">
        <v>1825</v>
      </c>
      <c r="G237" s="308" t="s">
        <v>825</v>
      </c>
      <c r="H237" s="320" t="s">
        <v>4256</v>
      </c>
      <c r="I237" s="321"/>
      <c r="J237" s="322"/>
      <c r="K237" s="322"/>
      <c r="L237" s="323"/>
      <c r="M237" s="324"/>
      <c r="N237" s="525"/>
    </row>
    <row r="238" spans="1:14" s="373" customFormat="1" ht="18.75" x14ac:dyDescent="0.2">
      <c r="A238" s="32">
        <f>ROW()-ROW(สำนักงาน!$A$6)+1</f>
        <v>233</v>
      </c>
      <c r="B238" s="52" t="s">
        <v>2379</v>
      </c>
      <c r="C238" s="32" t="s">
        <v>2380</v>
      </c>
      <c r="D238" s="32" t="s">
        <v>2381</v>
      </c>
      <c r="E238" s="53" t="s">
        <v>2382</v>
      </c>
      <c r="F238" s="31">
        <v>1900</v>
      </c>
      <c r="G238" s="32" t="s">
        <v>2383</v>
      </c>
      <c r="H238" s="479" t="s">
        <v>4256</v>
      </c>
      <c r="I238" s="32"/>
      <c r="J238" s="79"/>
      <c r="K238" s="79"/>
      <c r="L238" s="225"/>
      <c r="M238" s="226"/>
      <c r="N238" s="285" t="s">
        <v>3832</v>
      </c>
    </row>
    <row r="239" spans="1:14" s="373" customFormat="1" ht="18.75" x14ac:dyDescent="0.2">
      <c r="A239" s="32">
        <f>ROW()-ROW(สำนักงาน!$A$6)+1</f>
        <v>234</v>
      </c>
      <c r="B239" s="52" t="s">
        <v>2379</v>
      </c>
      <c r="C239" s="32" t="s">
        <v>2384</v>
      </c>
      <c r="D239" s="32" t="s">
        <v>2385</v>
      </c>
      <c r="E239" s="53" t="s">
        <v>2382</v>
      </c>
      <c r="F239" s="31">
        <v>1900</v>
      </c>
      <c r="G239" s="32" t="s">
        <v>2383</v>
      </c>
      <c r="H239" s="479" t="s">
        <v>4256</v>
      </c>
      <c r="I239" s="32"/>
      <c r="J239" s="79"/>
      <c r="K239" s="79"/>
      <c r="L239" s="225"/>
      <c r="M239" s="226"/>
      <c r="N239" s="285" t="s">
        <v>3832</v>
      </c>
    </row>
    <row r="240" spans="1:14" s="373" customFormat="1" ht="18.75" x14ac:dyDescent="0.2">
      <c r="A240" s="32">
        <f>ROW()-ROW(สำนักงาน!$A$6)+1</f>
        <v>235</v>
      </c>
      <c r="B240" s="52" t="s">
        <v>2427</v>
      </c>
      <c r="C240" s="32" t="s">
        <v>2428</v>
      </c>
      <c r="D240" s="32" t="s">
        <v>2429</v>
      </c>
      <c r="E240" s="53" t="s">
        <v>2414</v>
      </c>
      <c r="F240" s="31">
        <v>3000</v>
      </c>
      <c r="G240" s="32" t="s">
        <v>2383</v>
      </c>
      <c r="H240" s="479" t="s">
        <v>4256</v>
      </c>
      <c r="I240" s="32"/>
      <c r="J240" s="79"/>
      <c r="K240" s="79"/>
      <c r="L240" s="225"/>
      <c r="M240" s="226"/>
      <c r="N240" s="285" t="s">
        <v>3832</v>
      </c>
    </row>
    <row r="241" spans="1:14" s="373" customFormat="1" ht="18.75" x14ac:dyDescent="0.2">
      <c r="A241" s="32">
        <f>ROW()-ROW(สำนักงาน!$A$6)+1</f>
        <v>236</v>
      </c>
      <c r="B241" s="52" t="s">
        <v>2427</v>
      </c>
      <c r="C241" s="32" t="s">
        <v>2430</v>
      </c>
      <c r="D241" s="32" t="s">
        <v>2431</v>
      </c>
      <c r="E241" s="53" t="s">
        <v>2414</v>
      </c>
      <c r="F241" s="31">
        <v>3000</v>
      </c>
      <c r="G241" s="32" t="s">
        <v>2383</v>
      </c>
      <c r="H241" s="479" t="s">
        <v>4256</v>
      </c>
      <c r="I241" s="32"/>
      <c r="J241" s="79"/>
      <c r="K241" s="79"/>
      <c r="L241" s="225"/>
      <c r="M241" s="226"/>
      <c r="N241" s="285" t="s">
        <v>3835</v>
      </c>
    </row>
    <row r="242" spans="1:14" s="373" customFormat="1" ht="18.75" x14ac:dyDescent="0.2">
      <c r="A242" s="32">
        <f>ROW()-ROW(สำนักงาน!$A$6)+1</f>
        <v>237</v>
      </c>
      <c r="B242" s="52" t="s">
        <v>2427</v>
      </c>
      <c r="C242" s="32" t="s">
        <v>2432</v>
      </c>
      <c r="D242" s="32" t="s">
        <v>2433</v>
      </c>
      <c r="E242" s="53" t="s">
        <v>2414</v>
      </c>
      <c r="F242" s="31">
        <v>3000</v>
      </c>
      <c r="G242" s="32" t="s">
        <v>2383</v>
      </c>
      <c r="H242" s="479" t="s">
        <v>4256</v>
      </c>
      <c r="I242" s="32"/>
      <c r="J242" s="79"/>
      <c r="K242" s="79"/>
      <c r="L242" s="225"/>
      <c r="M242" s="226"/>
      <c r="N242" s="285" t="s">
        <v>3832</v>
      </c>
    </row>
    <row r="243" spans="1:14" s="373" customFormat="1" ht="18.75" x14ac:dyDescent="0.2">
      <c r="A243" s="32">
        <f>ROW()-ROW(สำนักงาน!$A$6)+1</f>
        <v>238</v>
      </c>
      <c r="B243" s="52" t="s">
        <v>2427</v>
      </c>
      <c r="C243" s="32" t="s">
        <v>2434</v>
      </c>
      <c r="D243" s="32" t="s">
        <v>2435</v>
      </c>
      <c r="E243" s="53" t="s">
        <v>2414</v>
      </c>
      <c r="F243" s="31">
        <v>3000</v>
      </c>
      <c r="G243" s="32" t="s">
        <v>2383</v>
      </c>
      <c r="H243" s="479" t="s">
        <v>4256</v>
      </c>
      <c r="I243" s="32"/>
      <c r="J243" s="79"/>
      <c r="K243" s="79"/>
      <c r="L243" s="225"/>
      <c r="M243" s="226"/>
      <c r="N243" s="285" t="s">
        <v>3835</v>
      </c>
    </row>
    <row r="244" spans="1:14" s="373" customFormat="1" ht="18.75" x14ac:dyDescent="0.2">
      <c r="A244" s="32">
        <f>ROW()-ROW(สำนักงาน!$A$6)+1</f>
        <v>239</v>
      </c>
      <c r="B244" s="52" t="s">
        <v>2436</v>
      </c>
      <c r="C244" s="32" t="s">
        <v>2437</v>
      </c>
      <c r="D244" s="32" t="s">
        <v>2438</v>
      </c>
      <c r="E244" s="53" t="s">
        <v>2414</v>
      </c>
      <c r="F244" s="31">
        <v>600</v>
      </c>
      <c r="G244" s="32" t="s">
        <v>2383</v>
      </c>
      <c r="H244" s="479" t="s">
        <v>4256</v>
      </c>
      <c r="I244" s="32"/>
      <c r="J244" s="79"/>
      <c r="K244" s="79"/>
      <c r="L244" s="225"/>
      <c r="M244" s="226"/>
      <c r="N244" s="528" t="s">
        <v>3856</v>
      </c>
    </row>
    <row r="245" spans="1:14" s="373" customFormat="1" ht="18.75" x14ac:dyDescent="0.2">
      <c r="A245" s="32">
        <f>ROW()-ROW(สำนักงาน!$A$6)+1</f>
        <v>240</v>
      </c>
      <c r="B245" s="52" t="s">
        <v>2436</v>
      </c>
      <c r="C245" s="32" t="s">
        <v>2439</v>
      </c>
      <c r="D245" s="32" t="s">
        <v>2440</v>
      </c>
      <c r="E245" s="53" t="s">
        <v>2414</v>
      </c>
      <c r="F245" s="31">
        <v>600</v>
      </c>
      <c r="G245" s="32" t="s">
        <v>2383</v>
      </c>
      <c r="H245" s="479" t="s">
        <v>4256</v>
      </c>
      <c r="I245" s="32"/>
      <c r="J245" s="79"/>
      <c r="K245" s="79"/>
      <c r="L245" s="225"/>
      <c r="M245" s="226"/>
      <c r="N245" s="528" t="s">
        <v>3856</v>
      </c>
    </row>
    <row r="246" spans="1:14" s="373" customFormat="1" ht="18.75" x14ac:dyDescent="0.2">
      <c r="A246" s="32">
        <f>ROW()-ROW(สำนักงาน!$A$6)+1</f>
        <v>241</v>
      </c>
      <c r="B246" s="52" t="s">
        <v>2436</v>
      </c>
      <c r="C246" s="32" t="s">
        <v>2441</v>
      </c>
      <c r="D246" s="32" t="s">
        <v>2442</v>
      </c>
      <c r="E246" s="53" t="s">
        <v>2414</v>
      </c>
      <c r="F246" s="31">
        <v>600</v>
      </c>
      <c r="G246" s="32" t="s">
        <v>2383</v>
      </c>
      <c r="H246" s="479" t="s">
        <v>4256</v>
      </c>
      <c r="I246" s="32"/>
      <c r="J246" s="79"/>
      <c r="K246" s="79"/>
      <c r="L246" s="225"/>
      <c r="M246" s="226"/>
      <c r="N246" s="528" t="s">
        <v>3856</v>
      </c>
    </row>
    <row r="247" spans="1:14" s="373" customFormat="1" ht="18.75" x14ac:dyDescent="0.2">
      <c r="A247" s="32">
        <f>ROW()-ROW(สำนักงาน!$A$6)+1</f>
        <v>242</v>
      </c>
      <c r="B247" s="52" t="s">
        <v>2436</v>
      </c>
      <c r="C247" s="32" t="s">
        <v>2443</v>
      </c>
      <c r="D247" s="32" t="s">
        <v>2444</v>
      </c>
      <c r="E247" s="53" t="s">
        <v>2414</v>
      </c>
      <c r="F247" s="31">
        <v>600</v>
      </c>
      <c r="G247" s="32" t="s">
        <v>2383</v>
      </c>
      <c r="H247" s="479" t="s">
        <v>4256</v>
      </c>
      <c r="I247" s="32"/>
      <c r="J247" s="79"/>
      <c r="K247" s="79"/>
      <c r="L247" s="225"/>
      <c r="M247" s="226"/>
      <c r="N247" s="528" t="s">
        <v>3856</v>
      </c>
    </row>
    <row r="248" spans="1:14" s="373" customFormat="1" ht="18.75" x14ac:dyDescent="0.2">
      <c r="A248" s="32">
        <f>ROW()-ROW(สำนักงาน!$A$6)+1</f>
        <v>243</v>
      </c>
      <c r="B248" s="52" t="s">
        <v>2436</v>
      </c>
      <c r="C248" s="32" t="s">
        <v>2445</v>
      </c>
      <c r="D248" s="32" t="s">
        <v>2446</v>
      </c>
      <c r="E248" s="53" t="s">
        <v>2414</v>
      </c>
      <c r="F248" s="31">
        <v>600</v>
      </c>
      <c r="G248" s="32" t="s">
        <v>2383</v>
      </c>
      <c r="H248" s="479" t="s">
        <v>4256</v>
      </c>
      <c r="I248" s="32"/>
      <c r="J248" s="79"/>
      <c r="K248" s="79"/>
      <c r="L248" s="225"/>
      <c r="M248" s="226"/>
      <c r="N248" s="528" t="s">
        <v>3856</v>
      </c>
    </row>
    <row r="249" spans="1:14" s="373" customFormat="1" ht="18.75" x14ac:dyDescent="0.2">
      <c r="A249" s="32">
        <f>ROW()-ROW(สำนักงาน!$A$6)+1</f>
        <v>244</v>
      </c>
      <c r="B249" s="52" t="s">
        <v>2436</v>
      </c>
      <c r="C249" s="32" t="s">
        <v>2447</v>
      </c>
      <c r="D249" s="32" t="s">
        <v>2448</v>
      </c>
      <c r="E249" s="53" t="s">
        <v>2414</v>
      </c>
      <c r="F249" s="31">
        <v>600</v>
      </c>
      <c r="G249" s="32" t="s">
        <v>2383</v>
      </c>
      <c r="H249" s="479" t="s">
        <v>4256</v>
      </c>
      <c r="I249" s="32"/>
      <c r="J249" s="79"/>
      <c r="K249" s="79"/>
      <c r="L249" s="225"/>
      <c r="M249" s="226"/>
      <c r="N249" s="528" t="s">
        <v>3856</v>
      </c>
    </row>
    <row r="250" spans="1:14" s="373" customFormat="1" ht="18.75" x14ac:dyDescent="0.2">
      <c r="A250" s="32">
        <f>ROW()-ROW(สำนักงาน!$A$6)+1</f>
        <v>245</v>
      </c>
      <c r="B250" s="52" t="s">
        <v>2436</v>
      </c>
      <c r="C250" s="32" t="s">
        <v>2449</v>
      </c>
      <c r="D250" s="32" t="s">
        <v>2450</v>
      </c>
      <c r="E250" s="53" t="s">
        <v>2414</v>
      </c>
      <c r="F250" s="31">
        <v>600</v>
      </c>
      <c r="G250" s="32" t="s">
        <v>2383</v>
      </c>
      <c r="H250" s="479" t="s">
        <v>4256</v>
      </c>
      <c r="I250" s="32"/>
      <c r="J250" s="79"/>
      <c r="K250" s="79"/>
      <c r="L250" s="225"/>
      <c r="M250" s="226"/>
      <c r="N250" s="528" t="s">
        <v>3856</v>
      </c>
    </row>
    <row r="251" spans="1:14" s="373" customFormat="1" ht="18.75" x14ac:dyDescent="0.2">
      <c r="A251" s="32">
        <f>ROW()-ROW(สำนักงาน!$A$6)+1</f>
        <v>246</v>
      </c>
      <c r="B251" s="52" t="s">
        <v>2436</v>
      </c>
      <c r="C251" s="32" t="s">
        <v>2451</v>
      </c>
      <c r="D251" s="32" t="s">
        <v>2452</v>
      </c>
      <c r="E251" s="53" t="s">
        <v>2414</v>
      </c>
      <c r="F251" s="31">
        <v>600</v>
      </c>
      <c r="G251" s="32" t="s">
        <v>2383</v>
      </c>
      <c r="H251" s="479" t="s">
        <v>4256</v>
      </c>
      <c r="I251" s="32"/>
      <c r="J251" s="79"/>
      <c r="K251" s="79"/>
      <c r="L251" s="225"/>
      <c r="M251" s="226"/>
      <c r="N251" s="528" t="s">
        <v>3856</v>
      </c>
    </row>
    <row r="252" spans="1:14" s="373" customFormat="1" ht="18.75" x14ac:dyDescent="0.2">
      <c r="A252" s="32">
        <f>ROW()-ROW(สำนักงาน!$A$6)+1</f>
        <v>247</v>
      </c>
      <c r="B252" s="52" t="s">
        <v>2436</v>
      </c>
      <c r="C252" s="32" t="s">
        <v>2453</v>
      </c>
      <c r="D252" s="32" t="s">
        <v>2454</v>
      </c>
      <c r="E252" s="53" t="s">
        <v>2414</v>
      </c>
      <c r="F252" s="31">
        <v>600</v>
      </c>
      <c r="G252" s="32" t="s">
        <v>2383</v>
      </c>
      <c r="H252" s="479" t="s">
        <v>4256</v>
      </c>
      <c r="I252" s="32"/>
      <c r="J252" s="79"/>
      <c r="K252" s="79"/>
      <c r="L252" s="225"/>
      <c r="M252" s="226"/>
      <c r="N252" s="528" t="s">
        <v>3856</v>
      </c>
    </row>
    <row r="253" spans="1:14" s="373" customFormat="1" ht="18.75" x14ac:dyDescent="0.2">
      <c r="A253" s="32">
        <f>ROW()-ROW(สำนักงาน!$A$6)+1</f>
        <v>248</v>
      </c>
      <c r="B253" s="52" t="s">
        <v>2436</v>
      </c>
      <c r="C253" s="32" t="s">
        <v>2455</v>
      </c>
      <c r="D253" s="32" t="s">
        <v>2456</v>
      </c>
      <c r="E253" s="53" t="s">
        <v>2414</v>
      </c>
      <c r="F253" s="31">
        <v>600</v>
      </c>
      <c r="G253" s="32" t="s">
        <v>2383</v>
      </c>
      <c r="H253" s="479" t="s">
        <v>4256</v>
      </c>
      <c r="I253" s="32"/>
      <c r="J253" s="79"/>
      <c r="K253" s="79"/>
      <c r="L253" s="225"/>
      <c r="M253" s="226"/>
      <c r="N253" s="528" t="s">
        <v>3856</v>
      </c>
    </row>
    <row r="254" spans="1:14" s="373" customFormat="1" ht="18.75" x14ac:dyDescent="0.2">
      <c r="A254" s="32">
        <f>ROW()-ROW(สำนักงาน!$A$6)+1</f>
        <v>249</v>
      </c>
      <c r="B254" s="52" t="s">
        <v>2436</v>
      </c>
      <c r="C254" s="32" t="s">
        <v>2457</v>
      </c>
      <c r="D254" s="32" t="s">
        <v>2458</v>
      </c>
      <c r="E254" s="53" t="s">
        <v>2414</v>
      </c>
      <c r="F254" s="31">
        <v>600</v>
      </c>
      <c r="G254" s="32" t="s">
        <v>2383</v>
      </c>
      <c r="H254" s="479" t="s">
        <v>4256</v>
      </c>
      <c r="I254" s="32"/>
      <c r="J254" s="79"/>
      <c r="K254" s="79"/>
      <c r="L254" s="225"/>
      <c r="M254" s="226"/>
      <c r="N254" s="528" t="s">
        <v>3856</v>
      </c>
    </row>
    <row r="255" spans="1:14" s="373" customFormat="1" ht="18.75" x14ac:dyDescent="0.2">
      <c r="A255" s="32">
        <f>ROW()-ROW(สำนักงาน!$A$6)+1</f>
        <v>250</v>
      </c>
      <c r="B255" s="52" t="s">
        <v>2436</v>
      </c>
      <c r="C255" s="32" t="s">
        <v>2459</v>
      </c>
      <c r="D255" s="32" t="s">
        <v>2460</v>
      </c>
      <c r="E255" s="53" t="s">
        <v>2414</v>
      </c>
      <c r="F255" s="31">
        <v>600</v>
      </c>
      <c r="G255" s="32" t="s">
        <v>2383</v>
      </c>
      <c r="H255" s="479" t="s">
        <v>4256</v>
      </c>
      <c r="I255" s="32"/>
      <c r="J255" s="79"/>
      <c r="K255" s="79"/>
      <c r="L255" s="225"/>
      <c r="M255" s="226"/>
      <c r="N255" s="528" t="s">
        <v>3856</v>
      </c>
    </row>
    <row r="256" spans="1:14" s="373" customFormat="1" ht="18.75" x14ac:dyDescent="0.2">
      <c r="A256" s="32">
        <f>ROW()-ROW(สำนักงาน!$A$6)+1</f>
        <v>251</v>
      </c>
      <c r="B256" s="52" t="s">
        <v>2436</v>
      </c>
      <c r="C256" s="32" t="s">
        <v>2461</v>
      </c>
      <c r="D256" s="32" t="s">
        <v>2462</v>
      </c>
      <c r="E256" s="53" t="s">
        <v>2414</v>
      </c>
      <c r="F256" s="31">
        <v>600</v>
      </c>
      <c r="G256" s="32" t="s">
        <v>2383</v>
      </c>
      <c r="H256" s="479" t="s">
        <v>4256</v>
      </c>
      <c r="I256" s="32"/>
      <c r="J256" s="79"/>
      <c r="K256" s="79"/>
      <c r="L256" s="225"/>
      <c r="M256" s="226"/>
      <c r="N256" s="528" t="s">
        <v>3856</v>
      </c>
    </row>
    <row r="257" spans="1:14" s="373" customFormat="1" ht="18.75" x14ac:dyDescent="0.2">
      <c r="A257" s="32">
        <f>ROW()-ROW(สำนักงาน!$A$6)+1</f>
        <v>252</v>
      </c>
      <c r="B257" s="52" t="s">
        <v>2436</v>
      </c>
      <c r="C257" s="32" t="s">
        <v>2463</v>
      </c>
      <c r="D257" s="32" t="s">
        <v>2464</v>
      </c>
      <c r="E257" s="53" t="s">
        <v>2414</v>
      </c>
      <c r="F257" s="31">
        <v>600</v>
      </c>
      <c r="G257" s="32" t="s">
        <v>2383</v>
      </c>
      <c r="H257" s="479" t="s">
        <v>4256</v>
      </c>
      <c r="I257" s="32"/>
      <c r="J257" s="79"/>
      <c r="K257" s="79"/>
      <c r="L257" s="225"/>
      <c r="M257" s="226"/>
      <c r="N257" s="528" t="s">
        <v>3856</v>
      </c>
    </row>
    <row r="258" spans="1:14" s="373" customFormat="1" ht="18.75" x14ac:dyDescent="0.2">
      <c r="A258" s="32">
        <f>ROW()-ROW(สำนักงาน!$A$6)+1</f>
        <v>253</v>
      </c>
      <c r="B258" s="52" t="s">
        <v>2436</v>
      </c>
      <c r="C258" s="32" t="s">
        <v>2465</v>
      </c>
      <c r="D258" s="32" t="s">
        <v>2466</v>
      </c>
      <c r="E258" s="53" t="s">
        <v>2414</v>
      </c>
      <c r="F258" s="31">
        <v>600</v>
      </c>
      <c r="G258" s="32" t="s">
        <v>2383</v>
      </c>
      <c r="H258" s="479" t="s">
        <v>4256</v>
      </c>
      <c r="I258" s="32"/>
      <c r="J258" s="79"/>
      <c r="K258" s="79"/>
      <c r="L258" s="225"/>
      <c r="M258" s="226"/>
      <c r="N258" s="528" t="s">
        <v>3856</v>
      </c>
    </row>
    <row r="259" spans="1:14" s="373" customFormat="1" ht="18.75" x14ac:dyDescent="0.2">
      <c r="A259" s="32">
        <f>ROW()-ROW(สำนักงาน!$A$6)+1</f>
        <v>254</v>
      </c>
      <c r="B259" s="52" t="s">
        <v>2436</v>
      </c>
      <c r="C259" s="32" t="s">
        <v>2467</v>
      </c>
      <c r="D259" s="32" t="s">
        <v>2468</v>
      </c>
      <c r="E259" s="53" t="s">
        <v>2414</v>
      </c>
      <c r="F259" s="31">
        <v>600</v>
      </c>
      <c r="G259" s="32" t="s">
        <v>2383</v>
      </c>
      <c r="H259" s="479" t="s">
        <v>4256</v>
      </c>
      <c r="I259" s="32"/>
      <c r="J259" s="79"/>
      <c r="K259" s="79"/>
      <c r="L259" s="225"/>
      <c r="M259" s="226"/>
      <c r="N259" s="528" t="s">
        <v>3856</v>
      </c>
    </row>
    <row r="260" spans="1:14" s="373" customFormat="1" ht="18.75" x14ac:dyDescent="0.2">
      <c r="A260" s="32">
        <f>ROW()-ROW(สำนักงาน!$A$6)+1</f>
        <v>255</v>
      </c>
      <c r="B260" s="52" t="s">
        <v>2436</v>
      </c>
      <c r="C260" s="32" t="s">
        <v>2469</v>
      </c>
      <c r="D260" s="32" t="s">
        <v>2470</v>
      </c>
      <c r="E260" s="53" t="s">
        <v>2414</v>
      </c>
      <c r="F260" s="31">
        <v>600</v>
      </c>
      <c r="G260" s="32" t="s">
        <v>2383</v>
      </c>
      <c r="H260" s="479" t="s">
        <v>4256</v>
      </c>
      <c r="I260" s="32"/>
      <c r="J260" s="79"/>
      <c r="K260" s="79"/>
      <c r="L260" s="225"/>
      <c r="M260" s="226"/>
      <c r="N260" s="528" t="s">
        <v>3856</v>
      </c>
    </row>
    <row r="261" spans="1:14" s="373" customFormat="1" ht="18.75" x14ac:dyDescent="0.2">
      <c r="A261" s="32">
        <f>ROW()-ROW(สำนักงาน!$A$6)+1</f>
        <v>256</v>
      </c>
      <c r="B261" s="52" t="s">
        <v>2436</v>
      </c>
      <c r="C261" s="32" t="s">
        <v>2471</v>
      </c>
      <c r="D261" s="32" t="s">
        <v>2472</v>
      </c>
      <c r="E261" s="53" t="s">
        <v>2414</v>
      </c>
      <c r="F261" s="31">
        <v>600</v>
      </c>
      <c r="G261" s="32" t="s">
        <v>2383</v>
      </c>
      <c r="H261" s="479" t="s">
        <v>4256</v>
      </c>
      <c r="I261" s="32"/>
      <c r="J261" s="79"/>
      <c r="K261" s="79"/>
      <c r="L261" s="225"/>
      <c r="M261" s="226"/>
      <c r="N261" s="528" t="s">
        <v>3856</v>
      </c>
    </row>
    <row r="262" spans="1:14" s="373" customFormat="1" ht="18.75" x14ac:dyDescent="0.2">
      <c r="A262" s="32">
        <f>ROW()-ROW(สำนักงาน!$A$6)+1</f>
        <v>257</v>
      </c>
      <c r="B262" s="52" t="s">
        <v>2436</v>
      </c>
      <c r="C262" s="32" t="s">
        <v>2473</v>
      </c>
      <c r="D262" s="32" t="s">
        <v>2474</v>
      </c>
      <c r="E262" s="53" t="s">
        <v>2414</v>
      </c>
      <c r="F262" s="31">
        <v>600</v>
      </c>
      <c r="G262" s="32" t="s">
        <v>2383</v>
      </c>
      <c r="H262" s="479" t="s">
        <v>4256</v>
      </c>
      <c r="I262" s="32"/>
      <c r="J262" s="79"/>
      <c r="K262" s="79"/>
      <c r="L262" s="225"/>
      <c r="M262" s="226"/>
      <c r="N262" s="528" t="s">
        <v>3856</v>
      </c>
    </row>
    <row r="263" spans="1:14" s="373" customFormat="1" ht="18.75" x14ac:dyDescent="0.2">
      <c r="A263" s="32">
        <f>ROW()-ROW(สำนักงาน!$A$6)+1</f>
        <v>258</v>
      </c>
      <c r="B263" s="52" t="s">
        <v>2436</v>
      </c>
      <c r="C263" s="32" t="s">
        <v>2475</v>
      </c>
      <c r="D263" s="32" t="s">
        <v>2476</v>
      </c>
      <c r="E263" s="53" t="s">
        <v>2414</v>
      </c>
      <c r="F263" s="31">
        <v>600</v>
      </c>
      <c r="G263" s="32" t="s">
        <v>2383</v>
      </c>
      <c r="H263" s="479" t="s">
        <v>4256</v>
      </c>
      <c r="I263" s="32"/>
      <c r="J263" s="79"/>
      <c r="K263" s="79"/>
      <c r="L263" s="225"/>
      <c r="M263" s="226"/>
      <c r="N263" s="528" t="s">
        <v>3856</v>
      </c>
    </row>
    <row r="264" spans="1:14" s="373" customFormat="1" ht="18.75" x14ac:dyDescent="0.2">
      <c r="A264" s="32">
        <f>ROW()-ROW(สำนักงาน!$A$6)+1</f>
        <v>259</v>
      </c>
      <c r="B264" s="52" t="s">
        <v>2436</v>
      </c>
      <c r="C264" s="32" t="s">
        <v>2477</v>
      </c>
      <c r="D264" s="32" t="s">
        <v>2478</v>
      </c>
      <c r="E264" s="53" t="s">
        <v>2414</v>
      </c>
      <c r="F264" s="31">
        <v>600</v>
      </c>
      <c r="G264" s="32" t="s">
        <v>2383</v>
      </c>
      <c r="H264" s="479" t="s">
        <v>4256</v>
      </c>
      <c r="I264" s="32"/>
      <c r="J264" s="79"/>
      <c r="K264" s="79"/>
      <c r="L264" s="225"/>
      <c r="M264" s="226"/>
      <c r="N264" s="528" t="s">
        <v>3856</v>
      </c>
    </row>
    <row r="265" spans="1:14" s="373" customFormat="1" ht="18.75" x14ac:dyDescent="0.2">
      <c r="A265" s="32">
        <f>ROW()-ROW(สำนักงาน!$A$6)+1</f>
        <v>260</v>
      </c>
      <c r="B265" s="52" t="s">
        <v>2436</v>
      </c>
      <c r="C265" s="32" t="s">
        <v>2479</v>
      </c>
      <c r="D265" s="32" t="s">
        <v>2480</v>
      </c>
      <c r="E265" s="53" t="s">
        <v>2414</v>
      </c>
      <c r="F265" s="31">
        <v>600</v>
      </c>
      <c r="G265" s="32" t="s">
        <v>2383</v>
      </c>
      <c r="H265" s="479" t="s">
        <v>4256</v>
      </c>
      <c r="I265" s="32"/>
      <c r="J265" s="79"/>
      <c r="K265" s="79"/>
      <c r="L265" s="225"/>
      <c r="M265" s="226"/>
      <c r="N265" s="528" t="s">
        <v>3856</v>
      </c>
    </row>
    <row r="266" spans="1:14" s="373" customFormat="1" ht="18.75" x14ac:dyDescent="0.2">
      <c r="A266" s="32">
        <f>ROW()-ROW(สำนักงาน!$A$6)+1</f>
        <v>261</v>
      </c>
      <c r="B266" s="52" t="s">
        <v>2436</v>
      </c>
      <c r="C266" s="32" t="s">
        <v>2481</v>
      </c>
      <c r="D266" s="32" t="s">
        <v>2482</v>
      </c>
      <c r="E266" s="53" t="s">
        <v>2414</v>
      </c>
      <c r="F266" s="31">
        <v>600</v>
      </c>
      <c r="G266" s="32" t="s">
        <v>2383</v>
      </c>
      <c r="H266" s="479" t="s">
        <v>4256</v>
      </c>
      <c r="I266" s="32"/>
      <c r="J266" s="79"/>
      <c r="K266" s="79"/>
      <c r="L266" s="225"/>
      <c r="M266" s="226"/>
      <c r="N266" s="528" t="s">
        <v>3856</v>
      </c>
    </row>
    <row r="267" spans="1:14" s="373" customFormat="1" ht="18.75" x14ac:dyDescent="0.2">
      <c r="A267" s="32">
        <f>ROW()-ROW(สำนักงาน!$A$6)+1</f>
        <v>262</v>
      </c>
      <c r="B267" s="52" t="s">
        <v>2436</v>
      </c>
      <c r="C267" s="32" t="s">
        <v>2483</v>
      </c>
      <c r="D267" s="32" t="s">
        <v>2484</v>
      </c>
      <c r="E267" s="53" t="s">
        <v>2414</v>
      </c>
      <c r="F267" s="31">
        <v>600</v>
      </c>
      <c r="G267" s="32" t="s">
        <v>2383</v>
      </c>
      <c r="H267" s="479" t="s">
        <v>4256</v>
      </c>
      <c r="I267" s="32"/>
      <c r="J267" s="79"/>
      <c r="K267" s="79"/>
      <c r="L267" s="225"/>
      <c r="M267" s="226"/>
      <c r="N267" s="528" t="s">
        <v>3856</v>
      </c>
    </row>
    <row r="268" spans="1:14" s="373" customFormat="1" ht="18.75" x14ac:dyDescent="0.2">
      <c r="A268" s="32">
        <f>ROW()-ROW(สำนักงาน!$A$6)+1</f>
        <v>263</v>
      </c>
      <c r="B268" s="52" t="s">
        <v>2436</v>
      </c>
      <c r="C268" s="32" t="s">
        <v>2485</v>
      </c>
      <c r="D268" s="32" t="s">
        <v>2486</v>
      </c>
      <c r="E268" s="53" t="s">
        <v>2414</v>
      </c>
      <c r="F268" s="31">
        <v>600</v>
      </c>
      <c r="G268" s="32" t="s">
        <v>2383</v>
      </c>
      <c r="H268" s="479" t="s">
        <v>4256</v>
      </c>
      <c r="I268" s="32"/>
      <c r="J268" s="79"/>
      <c r="K268" s="79"/>
      <c r="L268" s="225"/>
      <c r="M268" s="226"/>
      <c r="N268" s="528" t="s">
        <v>3856</v>
      </c>
    </row>
    <row r="269" spans="1:14" s="373" customFormat="1" ht="18.75" x14ac:dyDescent="0.2">
      <c r="A269" s="32">
        <f>ROW()-ROW(สำนักงาน!$A$6)+1</f>
        <v>264</v>
      </c>
      <c r="B269" s="52" t="s">
        <v>2436</v>
      </c>
      <c r="C269" s="32" t="s">
        <v>2487</v>
      </c>
      <c r="D269" s="32" t="s">
        <v>2488</v>
      </c>
      <c r="E269" s="53" t="s">
        <v>2414</v>
      </c>
      <c r="F269" s="31">
        <v>600</v>
      </c>
      <c r="G269" s="32" t="s">
        <v>2383</v>
      </c>
      <c r="H269" s="479" t="s">
        <v>4256</v>
      </c>
      <c r="I269" s="32"/>
      <c r="J269" s="79"/>
      <c r="K269" s="79"/>
      <c r="L269" s="225"/>
      <c r="M269" s="226"/>
      <c r="N269" s="528" t="s">
        <v>3856</v>
      </c>
    </row>
    <row r="270" spans="1:14" s="373" customFormat="1" ht="18.75" x14ac:dyDescent="0.2">
      <c r="A270" s="32">
        <f>ROW()-ROW(สำนักงาน!$A$6)+1</f>
        <v>265</v>
      </c>
      <c r="B270" s="52" t="s">
        <v>2436</v>
      </c>
      <c r="C270" s="32" t="s">
        <v>2489</v>
      </c>
      <c r="D270" s="32" t="s">
        <v>2490</v>
      </c>
      <c r="E270" s="53" t="s">
        <v>2414</v>
      </c>
      <c r="F270" s="31">
        <v>600</v>
      </c>
      <c r="G270" s="32" t="s">
        <v>2383</v>
      </c>
      <c r="H270" s="479" t="s">
        <v>4256</v>
      </c>
      <c r="I270" s="32"/>
      <c r="J270" s="79"/>
      <c r="K270" s="79"/>
      <c r="L270" s="225"/>
      <c r="M270" s="226"/>
      <c r="N270" s="528" t="s">
        <v>3856</v>
      </c>
    </row>
    <row r="271" spans="1:14" s="373" customFormat="1" ht="18.75" x14ac:dyDescent="0.2">
      <c r="A271" s="32">
        <f>ROW()-ROW(สำนักงาน!$A$6)+1</f>
        <v>266</v>
      </c>
      <c r="B271" s="52" t="s">
        <v>2436</v>
      </c>
      <c r="C271" s="32" t="s">
        <v>2491</v>
      </c>
      <c r="D271" s="32" t="s">
        <v>2492</v>
      </c>
      <c r="E271" s="53" t="s">
        <v>2414</v>
      </c>
      <c r="F271" s="31">
        <v>600</v>
      </c>
      <c r="G271" s="32" t="s">
        <v>2383</v>
      </c>
      <c r="H271" s="479" t="s">
        <v>4256</v>
      </c>
      <c r="I271" s="32"/>
      <c r="J271" s="79"/>
      <c r="K271" s="79"/>
      <c r="L271" s="225"/>
      <c r="M271" s="226"/>
      <c r="N271" s="528" t="s">
        <v>3856</v>
      </c>
    </row>
    <row r="272" spans="1:14" s="373" customFormat="1" ht="18.75" x14ac:dyDescent="0.2">
      <c r="A272" s="32">
        <f>ROW()-ROW(สำนักงาน!$A$6)+1</f>
        <v>267</v>
      </c>
      <c r="B272" s="52" t="s">
        <v>2436</v>
      </c>
      <c r="C272" s="32" t="s">
        <v>2493</v>
      </c>
      <c r="D272" s="32" t="s">
        <v>2494</v>
      </c>
      <c r="E272" s="53" t="s">
        <v>2414</v>
      </c>
      <c r="F272" s="31">
        <v>600</v>
      </c>
      <c r="G272" s="32" t="s">
        <v>2383</v>
      </c>
      <c r="H272" s="479" t="s">
        <v>4256</v>
      </c>
      <c r="I272" s="32"/>
      <c r="J272" s="79"/>
      <c r="K272" s="79"/>
      <c r="L272" s="225"/>
      <c r="M272" s="226"/>
      <c r="N272" s="528" t="s">
        <v>3856</v>
      </c>
    </row>
    <row r="273" spans="1:14" s="373" customFormat="1" ht="18.75" x14ac:dyDescent="0.2">
      <c r="A273" s="32">
        <f>ROW()-ROW(สำนักงาน!$A$6)+1</f>
        <v>268</v>
      </c>
      <c r="B273" s="52" t="s">
        <v>2436</v>
      </c>
      <c r="C273" s="32" t="s">
        <v>2495</v>
      </c>
      <c r="D273" s="32" t="s">
        <v>2496</v>
      </c>
      <c r="E273" s="53" t="s">
        <v>2414</v>
      </c>
      <c r="F273" s="31">
        <v>600</v>
      </c>
      <c r="G273" s="32" t="s">
        <v>2383</v>
      </c>
      <c r="H273" s="479" t="s">
        <v>4256</v>
      </c>
      <c r="I273" s="32"/>
      <c r="J273" s="79"/>
      <c r="K273" s="79"/>
      <c r="L273" s="225"/>
      <c r="M273" s="226"/>
      <c r="N273" s="528" t="s">
        <v>3856</v>
      </c>
    </row>
    <row r="274" spans="1:14" s="373" customFormat="1" ht="18.75" x14ac:dyDescent="0.2">
      <c r="A274" s="32">
        <f>ROW()-ROW(สำนักงาน!$A$6)+1</f>
        <v>269</v>
      </c>
      <c r="B274" s="52" t="s">
        <v>2436</v>
      </c>
      <c r="C274" s="32" t="s">
        <v>2497</v>
      </c>
      <c r="D274" s="32" t="s">
        <v>2498</v>
      </c>
      <c r="E274" s="53" t="s">
        <v>2414</v>
      </c>
      <c r="F274" s="31">
        <v>600</v>
      </c>
      <c r="G274" s="32" t="s">
        <v>2383</v>
      </c>
      <c r="H274" s="479" t="s">
        <v>4256</v>
      </c>
      <c r="I274" s="32"/>
      <c r="J274" s="79"/>
      <c r="K274" s="79"/>
      <c r="L274" s="225"/>
      <c r="M274" s="226"/>
      <c r="N274" s="528" t="s">
        <v>3856</v>
      </c>
    </row>
    <row r="275" spans="1:14" s="373" customFormat="1" ht="18.75" x14ac:dyDescent="0.2">
      <c r="A275" s="32">
        <f>ROW()-ROW(สำนักงาน!$A$6)+1</f>
        <v>270</v>
      </c>
      <c r="B275" s="52" t="s">
        <v>2436</v>
      </c>
      <c r="C275" s="32" t="s">
        <v>2499</v>
      </c>
      <c r="D275" s="32" t="s">
        <v>2500</v>
      </c>
      <c r="E275" s="53" t="s">
        <v>2414</v>
      </c>
      <c r="F275" s="31">
        <v>600</v>
      </c>
      <c r="G275" s="32" t="s">
        <v>2383</v>
      </c>
      <c r="H275" s="479" t="s">
        <v>4256</v>
      </c>
      <c r="I275" s="32"/>
      <c r="J275" s="79"/>
      <c r="K275" s="79"/>
      <c r="L275" s="225"/>
      <c r="M275" s="226"/>
      <c r="N275" s="528" t="s">
        <v>3856</v>
      </c>
    </row>
    <row r="276" spans="1:14" s="373" customFormat="1" ht="18.75" x14ac:dyDescent="0.2">
      <c r="A276" s="32">
        <f>ROW()-ROW(สำนักงาน!$A$6)+1</f>
        <v>271</v>
      </c>
      <c r="B276" s="52" t="s">
        <v>2436</v>
      </c>
      <c r="C276" s="32" t="s">
        <v>2501</v>
      </c>
      <c r="D276" s="32" t="s">
        <v>2502</v>
      </c>
      <c r="E276" s="53" t="s">
        <v>2414</v>
      </c>
      <c r="F276" s="31">
        <v>600</v>
      </c>
      <c r="G276" s="32" t="s">
        <v>2383</v>
      </c>
      <c r="H276" s="479" t="s">
        <v>4256</v>
      </c>
      <c r="I276" s="32"/>
      <c r="J276" s="79"/>
      <c r="K276" s="79"/>
      <c r="L276" s="225"/>
      <c r="M276" s="226"/>
      <c r="N276" s="528" t="s">
        <v>3832</v>
      </c>
    </row>
    <row r="277" spans="1:14" s="373" customFormat="1" ht="18.75" x14ac:dyDescent="0.2">
      <c r="A277" s="32">
        <f>ROW()-ROW(สำนักงาน!$A$6)+1</f>
        <v>272</v>
      </c>
      <c r="B277" s="52" t="s">
        <v>2436</v>
      </c>
      <c r="C277" s="32" t="s">
        <v>2503</v>
      </c>
      <c r="D277" s="32" t="s">
        <v>2504</v>
      </c>
      <c r="E277" s="53" t="s">
        <v>2414</v>
      </c>
      <c r="F277" s="31">
        <v>600</v>
      </c>
      <c r="G277" s="32" t="s">
        <v>2383</v>
      </c>
      <c r="H277" s="479" t="s">
        <v>4256</v>
      </c>
      <c r="I277" s="32"/>
      <c r="J277" s="79"/>
      <c r="K277" s="79"/>
      <c r="L277" s="225"/>
      <c r="M277" s="226"/>
      <c r="N277" s="528" t="s">
        <v>3856</v>
      </c>
    </row>
    <row r="278" spans="1:14" s="373" customFormat="1" ht="18.75" x14ac:dyDescent="0.2">
      <c r="A278" s="32">
        <f>ROW()-ROW(สำนักงาน!$A$6)+1</f>
        <v>273</v>
      </c>
      <c r="B278" s="52" t="s">
        <v>2436</v>
      </c>
      <c r="C278" s="32" t="s">
        <v>2505</v>
      </c>
      <c r="D278" s="32" t="s">
        <v>2506</v>
      </c>
      <c r="E278" s="53" t="s">
        <v>2414</v>
      </c>
      <c r="F278" s="31">
        <v>600</v>
      </c>
      <c r="G278" s="32" t="s">
        <v>2383</v>
      </c>
      <c r="H278" s="479" t="s">
        <v>4256</v>
      </c>
      <c r="I278" s="32"/>
      <c r="J278" s="79"/>
      <c r="K278" s="79"/>
      <c r="L278" s="225"/>
      <c r="M278" s="226"/>
      <c r="N278" s="528" t="s">
        <v>3856</v>
      </c>
    </row>
    <row r="279" spans="1:14" s="373" customFormat="1" ht="18.75" x14ac:dyDescent="0.2">
      <c r="A279" s="32">
        <f>ROW()-ROW(สำนักงาน!$A$6)+1</f>
        <v>274</v>
      </c>
      <c r="B279" s="52" t="s">
        <v>2436</v>
      </c>
      <c r="C279" s="32" t="s">
        <v>2507</v>
      </c>
      <c r="D279" s="32" t="s">
        <v>2508</v>
      </c>
      <c r="E279" s="53" t="s">
        <v>2414</v>
      </c>
      <c r="F279" s="31">
        <v>600</v>
      </c>
      <c r="G279" s="32" t="s">
        <v>2383</v>
      </c>
      <c r="H279" s="479" t="s">
        <v>4256</v>
      </c>
      <c r="I279" s="32"/>
      <c r="J279" s="79"/>
      <c r="K279" s="79"/>
      <c r="L279" s="225"/>
      <c r="M279" s="226"/>
      <c r="N279" s="528" t="s">
        <v>3856</v>
      </c>
    </row>
    <row r="280" spans="1:14" s="373" customFormat="1" ht="18.75" x14ac:dyDescent="0.2">
      <c r="A280" s="32">
        <f>ROW()-ROW(สำนักงาน!$A$6)+1</f>
        <v>275</v>
      </c>
      <c r="B280" s="52" t="s">
        <v>2436</v>
      </c>
      <c r="C280" s="32" t="s">
        <v>2509</v>
      </c>
      <c r="D280" s="32" t="s">
        <v>2510</v>
      </c>
      <c r="E280" s="53" t="s">
        <v>2414</v>
      </c>
      <c r="F280" s="31">
        <v>600</v>
      </c>
      <c r="G280" s="32" t="s">
        <v>2383</v>
      </c>
      <c r="H280" s="479" t="s">
        <v>4256</v>
      </c>
      <c r="I280" s="32"/>
      <c r="J280" s="79"/>
      <c r="K280" s="79"/>
      <c r="L280" s="225"/>
      <c r="M280" s="226"/>
      <c r="N280" s="528" t="s">
        <v>3856</v>
      </c>
    </row>
    <row r="281" spans="1:14" s="373" customFormat="1" ht="18.75" x14ac:dyDescent="0.2">
      <c r="A281" s="32">
        <f>ROW()-ROW(สำนักงาน!$A$6)+1</f>
        <v>276</v>
      </c>
      <c r="B281" s="52" t="s">
        <v>2436</v>
      </c>
      <c r="C281" s="32" t="s">
        <v>2511</v>
      </c>
      <c r="D281" s="32" t="s">
        <v>2512</v>
      </c>
      <c r="E281" s="53" t="s">
        <v>2414</v>
      </c>
      <c r="F281" s="31">
        <v>600</v>
      </c>
      <c r="G281" s="32" t="s">
        <v>2383</v>
      </c>
      <c r="H281" s="479" t="s">
        <v>4256</v>
      </c>
      <c r="I281" s="32"/>
      <c r="J281" s="79"/>
      <c r="K281" s="79"/>
      <c r="L281" s="225"/>
      <c r="M281" s="226"/>
      <c r="N281" s="528" t="s">
        <v>3856</v>
      </c>
    </row>
    <row r="282" spans="1:14" s="373" customFormat="1" ht="18.75" x14ac:dyDescent="0.2">
      <c r="A282" s="32">
        <f>ROW()-ROW(สำนักงาน!$A$6)+1</f>
        <v>277</v>
      </c>
      <c r="B282" s="52" t="s">
        <v>2436</v>
      </c>
      <c r="C282" s="32" t="s">
        <v>2513</v>
      </c>
      <c r="D282" s="32" t="s">
        <v>2514</v>
      </c>
      <c r="E282" s="53" t="s">
        <v>2414</v>
      </c>
      <c r="F282" s="31">
        <v>600</v>
      </c>
      <c r="G282" s="32" t="s">
        <v>2383</v>
      </c>
      <c r="H282" s="479" t="s">
        <v>4256</v>
      </c>
      <c r="I282" s="32"/>
      <c r="J282" s="79"/>
      <c r="K282" s="79"/>
      <c r="L282" s="225"/>
      <c r="M282" s="226"/>
      <c r="N282" s="528" t="s">
        <v>3856</v>
      </c>
    </row>
    <row r="283" spans="1:14" s="373" customFormat="1" ht="18.75" x14ac:dyDescent="0.2">
      <c r="A283" s="32">
        <f>ROW()-ROW(สำนักงาน!$A$6)+1</f>
        <v>278</v>
      </c>
      <c r="B283" s="52" t="s">
        <v>2436</v>
      </c>
      <c r="C283" s="32" t="s">
        <v>2515</v>
      </c>
      <c r="D283" s="32" t="s">
        <v>2516</v>
      </c>
      <c r="E283" s="53" t="s">
        <v>2414</v>
      </c>
      <c r="F283" s="31">
        <v>600</v>
      </c>
      <c r="G283" s="32" t="s">
        <v>2383</v>
      </c>
      <c r="H283" s="479" t="s">
        <v>4256</v>
      </c>
      <c r="I283" s="32"/>
      <c r="J283" s="79"/>
      <c r="K283" s="79"/>
      <c r="L283" s="225"/>
      <c r="M283" s="226"/>
      <c r="N283" s="528" t="s">
        <v>3856</v>
      </c>
    </row>
    <row r="284" spans="1:14" s="373" customFormat="1" ht="18.75" x14ac:dyDescent="0.2">
      <c r="A284" s="32">
        <f>ROW()-ROW(สำนักงาน!$A$6)+1</f>
        <v>279</v>
      </c>
      <c r="B284" s="52" t="s">
        <v>2537</v>
      </c>
      <c r="C284" s="32" t="s">
        <v>2538</v>
      </c>
      <c r="D284" s="32" t="s">
        <v>2539</v>
      </c>
      <c r="E284" s="53" t="s">
        <v>2540</v>
      </c>
      <c r="F284" s="31">
        <v>1500</v>
      </c>
      <c r="G284" s="32" t="s">
        <v>2383</v>
      </c>
      <c r="H284" s="479" t="s">
        <v>4256</v>
      </c>
      <c r="I284" s="32"/>
      <c r="J284" s="79"/>
      <c r="K284" s="79"/>
      <c r="L284" s="225"/>
      <c r="M284" s="226"/>
      <c r="N284" s="285" t="s">
        <v>3837</v>
      </c>
    </row>
    <row r="285" spans="1:14" s="373" customFormat="1" ht="18.75" x14ac:dyDescent="0.2">
      <c r="A285" s="32">
        <f>ROW()-ROW(สำนักงาน!$A$6)+1</f>
        <v>280</v>
      </c>
      <c r="B285" s="52" t="s">
        <v>2537</v>
      </c>
      <c r="C285" s="32" t="s">
        <v>2541</v>
      </c>
      <c r="D285" s="32" t="s">
        <v>2542</v>
      </c>
      <c r="E285" s="53" t="s">
        <v>2540</v>
      </c>
      <c r="F285" s="31">
        <v>1500</v>
      </c>
      <c r="G285" s="32" t="s">
        <v>2383</v>
      </c>
      <c r="H285" s="479" t="s">
        <v>4256</v>
      </c>
      <c r="I285" s="32"/>
      <c r="J285" s="79"/>
      <c r="K285" s="79"/>
      <c r="L285" s="225"/>
      <c r="M285" s="226"/>
      <c r="N285" s="285" t="s">
        <v>3837</v>
      </c>
    </row>
    <row r="286" spans="1:14" s="373" customFormat="1" ht="37.5" x14ac:dyDescent="0.2">
      <c r="A286" s="32">
        <f>ROW()-ROW(สำนักงาน!$A$6)+1</f>
        <v>281</v>
      </c>
      <c r="B286" s="246" t="s">
        <v>2637</v>
      </c>
      <c r="C286" s="32" t="s">
        <v>2638</v>
      </c>
      <c r="D286" s="32" t="s">
        <v>2639</v>
      </c>
      <c r="E286" s="53" t="s">
        <v>2587</v>
      </c>
      <c r="F286" s="54">
        <v>3424</v>
      </c>
      <c r="G286" s="56" t="s">
        <v>2383</v>
      </c>
      <c r="H286" s="479" t="s">
        <v>4256</v>
      </c>
      <c r="I286" s="32"/>
      <c r="J286" s="32"/>
      <c r="K286" s="225"/>
      <c r="L286" s="226"/>
      <c r="M286" s="234"/>
      <c r="N286" s="285" t="s">
        <v>3854</v>
      </c>
    </row>
    <row r="287" spans="1:14" s="373" customFormat="1" ht="37.5" x14ac:dyDescent="0.2">
      <c r="A287" s="32">
        <f>ROW()-ROW(สำนักงาน!$A$6)+1</f>
        <v>282</v>
      </c>
      <c r="B287" s="246" t="s">
        <v>2637</v>
      </c>
      <c r="C287" s="32" t="s">
        <v>2640</v>
      </c>
      <c r="D287" s="32" t="s">
        <v>2641</v>
      </c>
      <c r="E287" s="53" t="s">
        <v>2587</v>
      </c>
      <c r="F287" s="54">
        <v>3424</v>
      </c>
      <c r="G287" s="56" t="s">
        <v>2383</v>
      </c>
      <c r="H287" s="479" t="s">
        <v>4256</v>
      </c>
      <c r="I287" s="32"/>
      <c r="J287" s="32"/>
      <c r="K287" s="225"/>
      <c r="L287" s="226"/>
      <c r="M287" s="234"/>
      <c r="N287" s="285" t="s">
        <v>3854</v>
      </c>
    </row>
    <row r="288" spans="1:14" s="373" customFormat="1" ht="37.5" x14ac:dyDescent="0.2">
      <c r="A288" s="32">
        <f>ROW()-ROW(สำนักงาน!$A$6)+1</f>
        <v>283</v>
      </c>
      <c r="B288" s="246" t="s">
        <v>2637</v>
      </c>
      <c r="C288" s="32" t="s">
        <v>2642</v>
      </c>
      <c r="D288" s="32" t="s">
        <v>2643</v>
      </c>
      <c r="E288" s="53" t="s">
        <v>2587</v>
      </c>
      <c r="F288" s="54">
        <v>3424</v>
      </c>
      <c r="G288" s="56" t="s">
        <v>2383</v>
      </c>
      <c r="H288" s="479" t="s">
        <v>4256</v>
      </c>
      <c r="I288" s="32"/>
      <c r="J288" s="32"/>
      <c r="K288" s="225"/>
      <c r="L288" s="226"/>
      <c r="M288" s="234"/>
      <c r="N288" s="285" t="s">
        <v>3854</v>
      </c>
    </row>
    <row r="289" spans="1:14" s="370" customFormat="1" ht="18.75" x14ac:dyDescent="0.2">
      <c r="A289" s="32">
        <f>ROW()-ROW(สำนักงาน!$A$6)+1</f>
        <v>284</v>
      </c>
      <c r="B289" s="529" t="s">
        <v>3947</v>
      </c>
      <c r="C289" s="361" t="s">
        <v>3948</v>
      </c>
      <c r="D289" s="361" t="s">
        <v>3949</v>
      </c>
      <c r="E289" s="530" t="s">
        <v>3950</v>
      </c>
      <c r="F289" s="531">
        <v>3300</v>
      </c>
      <c r="G289" s="361" t="s">
        <v>3951</v>
      </c>
      <c r="H289" s="32" t="s">
        <v>4256</v>
      </c>
      <c r="I289" s="361"/>
      <c r="J289" s="361"/>
      <c r="K289" s="361"/>
      <c r="L289" s="361"/>
      <c r="M289" s="361"/>
      <c r="N289" s="362" t="s">
        <v>295</v>
      </c>
    </row>
    <row r="290" spans="1:14" s="370" customFormat="1" ht="18.75" x14ac:dyDescent="0.2">
      <c r="A290" s="32">
        <f>ROW()-ROW(สำนักงาน!$A$6)+1</f>
        <v>285</v>
      </c>
      <c r="B290" s="529" t="s">
        <v>3947</v>
      </c>
      <c r="C290" s="361" t="s">
        <v>3952</v>
      </c>
      <c r="D290" s="361" t="s">
        <v>3953</v>
      </c>
      <c r="E290" s="530" t="s">
        <v>3950</v>
      </c>
      <c r="F290" s="531">
        <v>3300</v>
      </c>
      <c r="G290" s="361" t="s">
        <v>3951</v>
      </c>
      <c r="H290" s="32" t="s">
        <v>4256</v>
      </c>
      <c r="I290" s="361"/>
      <c r="J290" s="361"/>
      <c r="K290" s="361"/>
      <c r="L290" s="361"/>
      <c r="M290" s="361"/>
      <c r="N290" s="362" t="s">
        <v>426</v>
      </c>
    </row>
    <row r="291" spans="1:14" s="373" customFormat="1" ht="37.5" x14ac:dyDescent="0.2">
      <c r="A291" s="32">
        <f>ROW()-ROW(สำนักงาน!$A$6)+1</f>
        <v>286</v>
      </c>
      <c r="B291" s="52" t="s">
        <v>3016</v>
      </c>
      <c r="C291" s="32" t="s">
        <v>3017</v>
      </c>
      <c r="D291" s="32" t="s">
        <v>3018</v>
      </c>
      <c r="E291" s="53" t="s">
        <v>2862</v>
      </c>
      <c r="F291" s="54">
        <v>1391</v>
      </c>
      <c r="G291" s="32" t="s">
        <v>2893</v>
      </c>
      <c r="H291" s="479" t="s">
        <v>4256</v>
      </c>
      <c r="I291" s="32"/>
      <c r="J291" s="32"/>
      <c r="K291" s="32"/>
      <c r="L291" s="32"/>
      <c r="M291" s="32"/>
      <c r="N291" s="285" t="s">
        <v>3835</v>
      </c>
    </row>
    <row r="292" spans="1:14" s="373" customFormat="1" ht="37.5" x14ac:dyDescent="0.2">
      <c r="A292" s="32">
        <f>ROW()-ROW(สำนักงาน!$A$6)+1</f>
        <v>287</v>
      </c>
      <c r="B292" s="52" t="s">
        <v>3016</v>
      </c>
      <c r="C292" s="32" t="s">
        <v>3019</v>
      </c>
      <c r="D292" s="32" t="s">
        <v>3020</v>
      </c>
      <c r="E292" s="53" t="s">
        <v>2862</v>
      </c>
      <c r="F292" s="54">
        <v>1391</v>
      </c>
      <c r="G292" s="32" t="s">
        <v>2893</v>
      </c>
      <c r="H292" s="479" t="s">
        <v>4256</v>
      </c>
      <c r="I292" s="32"/>
      <c r="J292" s="32"/>
      <c r="K292" s="32"/>
      <c r="L292" s="32"/>
      <c r="M292" s="32"/>
      <c r="N292" s="285" t="s">
        <v>3836</v>
      </c>
    </row>
    <row r="293" spans="1:14" s="373" customFormat="1" ht="37.5" x14ac:dyDescent="0.2">
      <c r="A293" s="32">
        <f>ROW()-ROW(สำนักงาน!$A$6)+1</f>
        <v>288</v>
      </c>
      <c r="B293" s="52" t="s">
        <v>3016</v>
      </c>
      <c r="C293" s="32" t="s">
        <v>3021</v>
      </c>
      <c r="D293" s="32" t="s">
        <v>3022</v>
      </c>
      <c r="E293" s="53" t="s">
        <v>2862</v>
      </c>
      <c r="F293" s="54">
        <v>1391</v>
      </c>
      <c r="G293" s="32" t="s">
        <v>2893</v>
      </c>
      <c r="H293" s="479" t="s">
        <v>4256</v>
      </c>
      <c r="I293" s="32"/>
      <c r="J293" s="32"/>
      <c r="K293" s="32"/>
      <c r="L293" s="32"/>
      <c r="M293" s="32"/>
      <c r="N293" s="285" t="s">
        <v>3839</v>
      </c>
    </row>
    <row r="294" spans="1:14" s="373" customFormat="1" ht="37.5" x14ac:dyDescent="0.2">
      <c r="A294" s="32">
        <f>ROW()-ROW(สำนักงาน!$A$6)+1</f>
        <v>289</v>
      </c>
      <c r="B294" s="52" t="s">
        <v>3016</v>
      </c>
      <c r="C294" s="32" t="s">
        <v>3023</v>
      </c>
      <c r="D294" s="32" t="s">
        <v>3024</v>
      </c>
      <c r="E294" s="53" t="s">
        <v>2862</v>
      </c>
      <c r="F294" s="54">
        <v>1391</v>
      </c>
      <c r="G294" s="32" t="s">
        <v>2893</v>
      </c>
      <c r="H294" s="479" t="s">
        <v>4256</v>
      </c>
      <c r="I294" s="32"/>
      <c r="J294" s="32"/>
      <c r="K294" s="32"/>
      <c r="L294" s="32"/>
      <c r="M294" s="32"/>
      <c r="N294" s="285" t="s">
        <v>3842</v>
      </c>
    </row>
    <row r="295" spans="1:14" s="373" customFormat="1" ht="18.75" x14ac:dyDescent="0.2">
      <c r="A295" s="32">
        <f>ROW()-ROW(สำนักงาน!$A$6)+1</f>
        <v>290</v>
      </c>
      <c r="B295" s="52" t="s">
        <v>3025</v>
      </c>
      <c r="C295" s="32" t="s">
        <v>3026</v>
      </c>
      <c r="D295" s="32" t="s">
        <v>3027</v>
      </c>
      <c r="E295" s="53" t="s">
        <v>2862</v>
      </c>
      <c r="F295" s="54">
        <v>428</v>
      </c>
      <c r="G295" s="32" t="s">
        <v>2893</v>
      </c>
      <c r="H295" s="479" t="s">
        <v>4256</v>
      </c>
      <c r="I295" s="32"/>
      <c r="J295" s="32"/>
      <c r="K295" s="32"/>
      <c r="L295" s="32"/>
      <c r="M295" s="32"/>
      <c r="N295" s="316" t="s">
        <v>3856</v>
      </c>
    </row>
    <row r="296" spans="1:14" s="373" customFormat="1" ht="18.75" x14ac:dyDescent="0.2">
      <c r="A296" s="32">
        <f>ROW()-ROW(สำนักงาน!$A$6)+1</f>
        <v>291</v>
      </c>
      <c r="B296" s="52" t="s">
        <v>3025</v>
      </c>
      <c r="C296" s="32" t="s">
        <v>3028</v>
      </c>
      <c r="D296" s="32" t="s">
        <v>3029</v>
      </c>
      <c r="E296" s="53" t="s">
        <v>2862</v>
      </c>
      <c r="F296" s="54">
        <v>428</v>
      </c>
      <c r="G296" s="32" t="s">
        <v>2893</v>
      </c>
      <c r="H296" s="479" t="s">
        <v>4256</v>
      </c>
      <c r="I296" s="32"/>
      <c r="J296" s="32"/>
      <c r="K296" s="32"/>
      <c r="L296" s="32"/>
      <c r="M296" s="32"/>
      <c r="N296" s="316"/>
    </row>
    <row r="297" spans="1:14" s="373" customFormat="1" ht="37.5" x14ac:dyDescent="0.2">
      <c r="A297" s="32">
        <f>ROW()-ROW(สำนักงาน!$A$6)+1</f>
        <v>292</v>
      </c>
      <c r="B297" s="52" t="s">
        <v>3030</v>
      </c>
      <c r="C297" s="32" t="s">
        <v>3031</v>
      </c>
      <c r="D297" s="32" t="s">
        <v>3032</v>
      </c>
      <c r="E297" s="53" t="s">
        <v>2862</v>
      </c>
      <c r="F297" s="54">
        <v>1391</v>
      </c>
      <c r="G297" s="32" t="s">
        <v>2893</v>
      </c>
      <c r="H297" s="479" t="s">
        <v>4256</v>
      </c>
      <c r="I297" s="32"/>
      <c r="J297" s="32"/>
      <c r="K297" s="32"/>
      <c r="L297" s="32"/>
      <c r="M297" s="32"/>
      <c r="N297" s="316" t="s">
        <v>3836</v>
      </c>
    </row>
    <row r="298" spans="1:14" s="373" customFormat="1" ht="37.5" x14ac:dyDescent="0.2">
      <c r="A298" s="32">
        <f>ROW()-ROW(สำนักงาน!$A$6)+1</f>
        <v>293</v>
      </c>
      <c r="B298" s="52" t="s">
        <v>3030</v>
      </c>
      <c r="C298" s="32" t="s">
        <v>3033</v>
      </c>
      <c r="D298" s="32" t="s">
        <v>3034</v>
      </c>
      <c r="E298" s="53" t="s">
        <v>2862</v>
      </c>
      <c r="F298" s="54">
        <v>1391</v>
      </c>
      <c r="G298" s="32" t="s">
        <v>2893</v>
      </c>
      <c r="H298" s="479" t="s">
        <v>4256</v>
      </c>
      <c r="I298" s="32"/>
      <c r="J298" s="32"/>
      <c r="K298" s="32"/>
      <c r="L298" s="32"/>
      <c r="M298" s="32"/>
      <c r="N298" s="316" t="s">
        <v>3836</v>
      </c>
    </row>
    <row r="299" spans="1:14" s="373" customFormat="1" ht="37.5" x14ac:dyDescent="0.2">
      <c r="A299" s="32">
        <f>ROW()-ROW(สำนักงาน!$A$6)+1</f>
        <v>294</v>
      </c>
      <c r="B299" s="52" t="s">
        <v>3030</v>
      </c>
      <c r="C299" s="32" t="s">
        <v>3035</v>
      </c>
      <c r="D299" s="32" t="s">
        <v>3036</v>
      </c>
      <c r="E299" s="53" t="s">
        <v>2862</v>
      </c>
      <c r="F299" s="54">
        <v>1391</v>
      </c>
      <c r="G299" s="32" t="s">
        <v>2893</v>
      </c>
      <c r="H299" s="479" t="s">
        <v>4256</v>
      </c>
      <c r="I299" s="32"/>
      <c r="J299" s="32"/>
      <c r="K299" s="32"/>
      <c r="L299" s="32"/>
      <c r="M299" s="32"/>
      <c r="N299" s="316" t="s">
        <v>3836</v>
      </c>
    </row>
    <row r="300" spans="1:14" s="373" customFormat="1" ht="18.75" x14ac:dyDescent="0.2">
      <c r="A300" s="32">
        <f>ROW()-ROW(สำนักงาน!$A$6)+1</f>
        <v>295</v>
      </c>
      <c r="B300" s="52" t="s">
        <v>3025</v>
      </c>
      <c r="C300" s="32" t="s">
        <v>3037</v>
      </c>
      <c r="D300" s="32" t="s">
        <v>3038</v>
      </c>
      <c r="E300" s="53" t="s">
        <v>2862</v>
      </c>
      <c r="F300" s="54">
        <v>428</v>
      </c>
      <c r="G300" s="32" t="s">
        <v>2893</v>
      </c>
      <c r="H300" s="479" t="s">
        <v>4256</v>
      </c>
      <c r="I300" s="32"/>
      <c r="J300" s="32"/>
      <c r="K300" s="32"/>
      <c r="L300" s="32"/>
      <c r="M300" s="32"/>
      <c r="N300" s="316" t="s">
        <v>3856</v>
      </c>
    </row>
    <row r="301" spans="1:14" s="373" customFormat="1" ht="18.75" x14ac:dyDescent="0.2">
      <c r="A301" s="32">
        <f>ROW()-ROW(สำนักงาน!$A$6)+1</f>
        <v>296</v>
      </c>
      <c r="B301" s="52" t="s">
        <v>3025</v>
      </c>
      <c r="C301" s="32" t="s">
        <v>3039</v>
      </c>
      <c r="D301" s="32" t="s">
        <v>3040</v>
      </c>
      <c r="E301" s="53" t="s">
        <v>2862</v>
      </c>
      <c r="F301" s="54">
        <v>428</v>
      </c>
      <c r="G301" s="32" t="s">
        <v>2893</v>
      </c>
      <c r="H301" s="479" t="s">
        <v>4256</v>
      </c>
      <c r="I301" s="32"/>
      <c r="J301" s="32"/>
      <c r="K301" s="32"/>
      <c r="L301" s="32"/>
      <c r="M301" s="32"/>
      <c r="N301" s="316" t="s">
        <v>3856</v>
      </c>
    </row>
    <row r="302" spans="1:14" s="373" customFormat="1" ht="18.75" x14ac:dyDescent="0.2">
      <c r="A302" s="32">
        <f>ROW()-ROW(สำนักงาน!$A$6)+1</f>
        <v>297</v>
      </c>
      <c r="B302" s="52" t="s">
        <v>3025</v>
      </c>
      <c r="C302" s="32" t="s">
        <v>3041</v>
      </c>
      <c r="D302" s="32" t="s">
        <v>3042</v>
      </c>
      <c r="E302" s="53" t="s">
        <v>2862</v>
      </c>
      <c r="F302" s="54">
        <v>428</v>
      </c>
      <c r="G302" s="32" t="s">
        <v>2893</v>
      </c>
      <c r="H302" s="479" t="s">
        <v>4256</v>
      </c>
      <c r="I302" s="32"/>
      <c r="J302" s="32"/>
      <c r="K302" s="32"/>
      <c r="L302" s="32"/>
      <c r="M302" s="32"/>
      <c r="N302" s="316" t="s">
        <v>3856</v>
      </c>
    </row>
    <row r="303" spans="1:14" s="373" customFormat="1" ht="18.75" x14ac:dyDescent="0.2">
      <c r="A303" s="32">
        <f>ROW()-ROW(สำนักงาน!$A$6)+1</f>
        <v>298</v>
      </c>
      <c r="B303" s="52" t="s">
        <v>3025</v>
      </c>
      <c r="C303" s="32" t="s">
        <v>3043</v>
      </c>
      <c r="D303" s="32" t="s">
        <v>3044</v>
      </c>
      <c r="E303" s="53" t="s">
        <v>2862</v>
      </c>
      <c r="F303" s="54">
        <v>428</v>
      </c>
      <c r="G303" s="32" t="s">
        <v>2893</v>
      </c>
      <c r="H303" s="479" t="s">
        <v>4256</v>
      </c>
      <c r="I303" s="32"/>
      <c r="J303" s="32"/>
      <c r="K303" s="32"/>
      <c r="L303" s="32"/>
      <c r="M303" s="32"/>
      <c r="N303" s="316" t="s">
        <v>3856</v>
      </c>
    </row>
    <row r="304" spans="1:14" s="373" customFormat="1" ht="18.75" x14ac:dyDescent="0.2">
      <c r="A304" s="32">
        <f>ROW()-ROW(สำนักงาน!$A$6)+1</f>
        <v>299</v>
      </c>
      <c r="B304" s="52" t="s">
        <v>3025</v>
      </c>
      <c r="C304" s="32" t="s">
        <v>3045</v>
      </c>
      <c r="D304" s="32" t="s">
        <v>3046</v>
      </c>
      <c r="E304" s="53" t="s">
        <v>2862</v>
      </c>
      <c r="F304" s="54">
        <v>428</v>
      </c>
      <c r="G304" s="32" t="s">
        <v>2893</v>
      </c>
      <c r="H304" s="479" t="s">
        <v>4256</v>
      </c>
      <c r="I304" s="32"/>
      <c r="J304" s="32"/>
      <c r="K304" s="32"/>
      <c r="L304" s="32"/>
      <c r="M304" s="32"/>
      <c r="N304" s="316" t="s">
        <v>3856</v>
      </c>
    </row>
    <row r="305" spans="1:14" s="373" customFormat="1" ht="18.75" x14ac:dyDescent="0.2">
      <c r="A305" s="32">
        <f>ROW()-ROW(สำนักงาน!$A$6)+1</f>
        <v>300</v>
      </c>
      <c r="B305" s="52" t="s">
        <v>3025</v>
      </c>
      <c r="C305" s="32" t="s">
        <v>3047</v>
      </c>
      <c r="D305" s="32" t="s">
        <v>3048</v>
      </c>
      <c r="E305" s="53" t="s">
        <v>2862</v>
      </c>
      <c r="F305" s="54">
        <v>428</v>
      </c>
      <c r="G305" s="32" t="s">
        <v>2893</v>
      </c>
      <c r="H305" s="479" t="s">
        <v>4256</v>
      </c>
      <c r="I305" s="32"/>
      <c r="J305" s="32"/>
      <c r="K305" s="32"/>
      <c r="L305" s="32"/>
      <c r="M305" s="32"/>
      <c r="N305" s="316" t="s">
        <v>3856</v>
      </c>
    </row>
    <row r="306" spans="1:14" s="373" customFormat="1" ht="37.5" x14ac:dyDescent="0.2">
      <c r="A306" s="32">
        <f>ROW()-ROW(สำนักงาน!$A$6)+1</f>
        <v>301</v>
      </c>
      <c r="B306" s="52" t="s">
        <v>3049</v>
      </c>
      <c r="C306" s="32" t="s">
        <v>3050</v>
      </c>
      <c r="D306" s="32" t="s">
        <v>3051</v>
      </c>
      <c r="E306" s="53" t="s">
        <v>2862</v>
      </c>
      <c r="F306" s="54">
        <v>5885</v>
      </c>
      <c r="G306" s="32" t="s">
        <v>2893</v>
      </c>
      <c r="H306" s="479" t="s">
        <v>4256</v>
      </c>
      <c r="I306" s="32"/>
      <c r="J306" s="32"/>
      <c r="K306" s="32"/>
      <c r="L306" s="32"/>
      <c r="M306" s="32"/>
      <c r="N306" s="285" t="s">
        <v>3844</v>
      </c>
    </row>
    <row r="307" spans="1:14" s="373" customFormat="1" ht="37.5" x14ac:dyDescent="0.2">
      <c r="A307" s="32">
        <f>ROW()-ROW(สำนักงาน!$A$6)+1</f>
        <v>302</v>
      </c>
      <c r="B307" s="52" t="s">
        <v>3049</v>
      </c>
      <c r="C307" s="32" t="s">
        <v>3052</v>
      </c>
      <c r="D307" s="32" t="s">
        <v>3053</v>
      </c>
      <c r="E307" s="53" t="s">
        <v>2862</v>
      </c>
      <c r="F307" s="54">
        <v>5885</v>
      </c>
      <c r="G307" s="32" t="s">
        <v>2893</v>
      </c>
      <c r="H307" s="479" t="s">
        <v>4256</v>
      </c>
      <c r="I307" s="32"/>
      <c r="J307" s="32"/>
      <c r="K307" s="32"/>
      <c r="L307" s="32"/>
      <c r="M307" s="32"/>
      <c r="N307" s="285" t="s">
        <v>3844</v>
      </c>
    </row>
    <row r="308" spans="1:14" s="373" customFormat="1" ht="37.5" x14ac:dyDescent="0.2">
      <c r="A308" s="32">
        <f>ROW()-ROW(สำนักงาน!$A$6)+1</f>
        <v>303</v>
      </c>
      <c r="B308" s="52" t="s">
        <v>3049</v>
      </c>
      <c r="C308" s="32" t="s">
        <v>3054</v>
      </c>
      <c r="D308" s="32" t="s">
        <v>3055</v>
      </c>
      <c r="E308" s="53" t="s">
        <v>2862</v>
      </c>
      <c r="F308" s="54">
        <v>5885</v>
      </c>
      <c r="G308" s="32" t="s">
        <v>2893</v>
      </c>
      <c r="H308" s="479" t="s">
        <v>4256</v>
      </c>
      <c r="I308" s="32"/>
      <c r="J308" s="32"/>
      <c r="K308" s="32"/>
      <c r="L308" s="32"/>
      <c r="M308" s="32"/>
      <c r="N308" s="285" t="s">
        <v>3844</v>
      </c>
    </row>
    <row r="309" spans="1:14" s="373" customFormat="1" ht="37.5" x14ac:dyDescent="0.2">
      <c r="A309" s="32">
        <f>ROW()-ROW(สำนักงาน!$A$6)+1</f>
        <v>304</v>
      </c>
      <c r="B309" s="52" t="s">
        <v>3049</v>
      </c>
      <c r="C309" s="32" t="s">
        <v>3056</v>
      </c>
      <c r="D309" s="32" t="s">
        <v>3057</v>
      </c>
      <c r="E309" s="53" t="s">
        <v>2862</v>
      </c>
      <c r="F309" s="54">
        <v>5885</v>
      </c>
      <c r="G309" s="32" t="s">
        <v>2893</v>
      </c>
      <c r="H309" s="479" t="s">
        <v>4256</v>
      </c>
      <c r="I309" s="32"/>
      <c r="J309" s="32"/>
      <c r="K309" s="32"/>
      <c r="L309" s="32"/>
      <c r="M309" s="32"/>
      <c r="N309" s="285" t="s">
        <v>3844</v>
      </c>
    </row>
    <row r="310" spans="1:14" s="373" customFormat="1" ht="37.5" x14ac:dyDescent="0.2">
      <c r="A310" s="32">
        <f>ROW()-ROW(สำนักงาน!$A$6)+1</f>
        <v>305</v>
      </c>
      <c r="B310" s="52" t="s">
        <v>3049</v>
      </c>
      <c r="C310" s="32" t="s">
        <v>3058</v>
      </c>
      <c r="D310" s="32" t="s">
        <v>3059</v>
      </c>
      <c r="E310" s="53" t="s">
        <v>2862</v>
      </c>
      <c r="F310" s="54">
        <v>5885</v>
      </c>
      <c r="G310" s="32" t="s">
        <v>2893</v>
      </c>
      <c r="H310" s="479" t="s">
        <v>4256</v>
      </c>
      <c r="I310" s="32"/>
      <c r="J310" s="32"/>
      <c r="K310" s="32"/>
      <c r="L310" s="32"/>
      <c r="M310" s="32"/>
      <c r="N310" s="285" t="s">
        <v>3844</v>
      </c>
    </row>
    <row r="311" spans="1:14" s="373" customFormat="1" ht="37.5" x14ac:dyDescent="0.2">
      <c r="A311" s="32">
        <f>ROW()-ROW(สำนักงาน!$A$6)+1</f>
        <v>306</v>
      </c>
      <c r="B311" s="52" t="s">
        <v>3049</v>
      </c>
      <c r="C311" s="32" t="s">
        <v>3060</v>
      </c>
      <c r="D311" s="32" t="s">
        <v>3061</v>
      </c>
      <c r="E311" s="53" t="s">
        <v>2862</v>
      </c>
      <c r="F311" s="54">
        <v>5885</v>
      </c>
      <c r="G311" s="32" t="s">
        <v>2893</v>
      </c>
      <c r="H311" s="479" t="s">
        <v>4256</v>
      </c>
      <c r="I311" s="32"/>
      <c r="J311" s="32"/>
      <c r="K311" s="32"/>
      <c r="L311" s="32"/>
      <c r="M311" s="32"/>
      <c r="N311" s="285" t="s">
        <v>3844</v>
      </c>
    </row>
    <row r="312" spans="1:14" s="373" customFormat="1" ht="37.5" x14ac:dyDescent="0.2">
      <c r="A312" s="32">
        <f>ROW()-ROW(สำนักงาน!$A$6)+1</f>
        <v>307</v>
      </c>
      <c r="B312" s="52" t="s">
        <v>3049</v>
      </c>
      <c r="C312" s="32" t="s">
        <v>3062</v>
      </c>
      <c r="D312" s="32" t="s">
        <v>3063</v>
      </c>
      <c r="E312" s="53" t="s">
        <v>2862</v>
      </c>
      <c r="F312" s="54">
        <v>5885</v>
      </c>
      <c r="G312" s="32" t="s">
        <v>2893</v>
      </c>
      <c r="H312" s="479" t="s">
        <v>4256</v>
      </c>
      <c r="I312" s="32"/>
      <c r="J312" s="32"/>
      <c r="K312" s="32"/>
      <c r="L312" s="32"/>
      <c r="M312" s="32"/>
      <c r="N312" s="285" t="s">
        <v>3844</v>
      </c>
    </row>
    <row r="313" spans="1:14" s="373" customFormat="1" ht="37.5" x14ac:dyDescent="0.2">
      <c r="A313" s="32">
        <f>ROW()-ROW(สำนักงาน!$A$6)+1</f>
        <v>308</v>
      </c>
      <c r="B313" s="52" t="s">
        <v>3049</v>
      </c>
      <c r="C313" s="32" t="s">
        <v>3064</v>
      </c>
      <c r="D313" s="32" t="s">
        <v>3065</v>
      </c>
      <c r="E313" s="53" t="s">
        <v>2862</v>
      </c>
      <c r="F313" s="54">
        <v>5885</v>
      </c>
      <c r="G313" s="32" t="s">
        <v>2893</v>
      </c>
      <c r="H313" s="479" t="s">
        <v>4256</v>
      </c>
      <c r="I313" s="32"/>
      <c r="J313" s="32"/>
      <c r="K313" s="32"/>
      <c r="L313" s="32"/>
      <c r="M313" s="32"/>
      <c r="N313" s="285" t="s">
        <v>3844</v>
      </c>
    </row>
    <row r="314" spans="1:14" s="373" customFormat="1" ht="37.5" x14ac:dyDescent="0.2">
      <c r="A314" s="32">
        <f>ROW()-ROW(สำนักงาน!$A$6)+1</f>
        <v>309</v>
      </c>
      <c r="B314" s="52" t="s">
        <v>3049</v>
      </c>
      <c r="C314" s="32" t="s">
        <v>3066</v>
      </c>
      <c r="D314" s="32" t="s">
        <v>3067</v>
      </c>
      <c r="E314" s="53" t="s">
        <v>2862</v>
      </c>
      <c r="F314" s="54">
        <v>5885</v>
      </c>
      <c r="G314" s="32" t="s">
        <v>2893</v>
      </c>
      <c r="H314" s="479" t="s">
        <v>4256</v>
      </c>
      <c r="I314" s="32"/>
      <c r="J314" s="32"/>
      <c r="K314" s="32"/>
      <c r="L314" s="32"/>
      <c r="M314" s="32"/>
      <c r="N314" s="285" t="s">
        <v>3844</v>
      </c>
    </row>
    <row r="315" spans="1:14" s="373" customFormat="1" ht="37.5" x14ac:dyDescent="0.2">
      <c r="A315" s="32">
        <f>ROW()-ROW(สำนักงาน!$A$6)+1</f>
        <v>310</v>
      </c>
      <c r="B315" s="52" t="s">
        <v>3049</v>
      </c>
      <c r="C315" s="32" t="s">
        <v>3068</v>
      </c>
      <c r="D315" s="32" t="s">
        <v>3069</v>
      </c>
      <c r="E315" s="53" t="s">
        <v>2862</v>
      </c>
      <c r="F315" s="54">
        <v>5885</v>
      </c>
      <c r="G315" s="32" t="s">
        <v>2893</v>
      </c>
      <c r="H315" s="479" t="s">
        <v>4256</v>
      </c>
      <c r="I315" s="32"/>
      <c r="J315" s="32"/>
      <c r="K315" s="32"/>
      <c r="L315" s="32"/>
      <c r="M315" s="32"/>
      <c r="N315" s="285" t="s">
        <v>3844</v>
      </c>
    </row>
    <row r="316" spans="1:14" s="373" customFormat="1" ht="37.5" x14ac:dyDescent="0.2">
      <c r="A316" s="32">
        <f>ROW()-ROW(สำนักงาน!$A$6)+1</f>
        <v>311</v>
      </c>
      <c r="B316" s="52" t="s">
        <v>3049</v>
      </c>
      <c r="C316" s="32" t="s">
        <v>3070</v>
      </c>
      <c r="D316" s="32" t="s">
        <v>3071</v>
      </c>
      <c r="E316" s="53" t="s">
        <v>2862</v>
      </c>
      <c r="F316" s="54">
        <v>5885</v>
      </c>
      <c r="G316" s="32" t="s">
        <v>2893</v>
      </c>
      <c r="H316" s="479" t="s">
        <v>4256</v>
      </c>
      <c r="I316" s="32"/>
      <c r="J316" s="32"/>
      <c r="K316" s="32"/>
      <c r="L316" s="32"/>
      <c r="M316" s="32"/>
      <c r="N316" s="285" t="s">
        <v>3844</v>
      </c>
    </row>
    <row r="317" spans="1:14" s="373" customFormat="1" ht="37.5" x14ac:dyDescent="0.2">
      <c r="A317" s="32">
        <f>ROW()-ROW(สำนักงาน!$A$6)+1</f>
        <v>312</v>
      </c>
      <c r="B317" s="52" t="s">
        <v>3049</v>
      </c>
      <c r="C317" s="32" t="s">
        <v>3072</v>
      </c>
      <c r="D317" s="32" t="s">
        <v>3073</v>
      </c>
      <c r="E317" s="53" t="s">
        <v>2862</v>
      </c>
      <c r="F317" s="54">
        <v>5885</v>
      </c>
      <c r="G317" s="32" t="s">
        <v>2893</v>
      </c>
      <c r="H317" s="479" t="s">
        <v>4256</v>
      </c>
      <c r="I317" s="32"/>
      <c r="J317" s="32"/>
      <c r="K317" s="32"/>
      <c r="L317" s="32"/>
      <c r="M317" s="32"/>
      <c r="N317" s="285" t="s">
        <v>3844</v>
      </c>
    </row>
    <row r="318" spans="1:14" s="373" customFormat="1" ht="37.5" x14ac:dyDescent="0.2">
      <c r="A318" s="32">
        <f>ROW()-ROW(สำนักงาน!$A$6)+1</f>
        <v>313</v>
      </c>
      <c r="B318" s="52" t="s">
        <v>3049</v>
      </c>
      <c r="C318" s="32" t="s">
        <v>3074</v>
      </c>
      <c r="D318" s="32" t="s">
        <v>3075</v>
      </c>
      <c r="E318" s="53" t="s">
        <v>2862</v>
      </c>
      <c r="F318" s="54">
        <v>5885</v>
      </c>
      <c r="G318" s="32" t="s">
        <v>2893</v>
      </c>
      <c r="H318" s="479" t="s">
        <v>4256</v>
      </c>
      <c r="I318" s="32"/>
      <c r="J318" s="32"/>
      <c r="K318" s="32"/>
      <c r="L318" s="32"/>
      <c r="M318" s="32"/>
      <c r="N318" s="285" t="s">
        <v>3844</v>
      </c>
    </row>
    <row r="319" spans="1:14" s="373" customFormat="1" ht="37.5" x14ac:dyDescent="0.2">
      <c r="A319" s="32">
        <f>ROW()-ROW(สำนักงาน!$A$6)+1</f>
        <v>314</v>
      </c>
      <c r="B319" s="52" t="s">
        <v>3049</v>
      </c>
      <c r="C319" s="32" t="s">
        <v>3076</v>
      </c>
      <c r="D319" s="32" t="s">
        <v>3077</v>
      </c>
      <c r="E319" s="53" t="s">
        <v>2862</v>
      </c>
      <c r="F319" s="54">
        <v>5885</v>
      </c>
      <c r="G319" s="32" t="s">
        <v>2893</v>
      </c>
      <c r="H319" s="479" t="s">
        <v>4256</v>
      </c>
      <c r="I319" s="32"/>
      <c r="J319" s="32"/>
      <c r="K319" s="32"/>
      <c r="L319" s="32"/>
      <c r="M319" s="32"/>
      <c r="N319" s="285" t="s">
        <v>3844</v>
      </c>
    </row>
    <row r="320" spans="1:14" s="373" customFormat="1" ht="37.5" x14ac:dyDescent="0.2">
      <c r="A320" s="32">
        <f>ROW()-ROW(สำนักงาน!$A$6)+1</f>
        <v>315</v>
      </c>
      <c r="B320" s="52" t="s">
        <v>3049</v>
      </c>
      <c r="C320" s="32" t="s">
        <v>3078</v>
      </c>
      <c r="D320" s="32" t="s">
        <v>3079</v>
      </c>
      <c r="E320" s="53" t="s">
        <v>2862</v>
      </c>
      <c r="F320" s="54">
        <v>5885</v>
      </c>
      <c r="G320" s="32" t="s">
        <v>2893</v>
      </c>
      <c r="H320" s="479" t="s">
        <v>4256</v>
      </c>
      <c r="I320" s="32"/>
      <c r="J320" s="32"/>
      <c r="K320" s="32"/>
      <c r="L320" s="32"/>
      <c r="M320" s="32"/>
      <c r="N320" s="285" t="s">
        <v>3844</v>
      </c>
    </row>
    <row r="321" spans="1:14" s="373" customFormat="1" ht="37.5" x14ac:dyDescent="0.2">
      <c r="A321" s="32">
        <f>ROW()-ROW(สำนักงาน!$A$6)+1</f>
        <v>316</v>
      </c>
      <c r="B321" s="52" t="s">
        <v>3049</v>
      </c>
      <c r="C321" s="32" t="s">
        <v>3080</v>
      </c>
      <c r="D321" s="32" t="s">
        <v>3081</v>
      </c>
      <c r="E321" s="53" t="s">
        <v>2862</v>
      </c>
      <c r="F321" s="54">
        <v>5885</v>
      </c>
      <c r="G321" s="32" t="s">
        <v>2893</v>
      </c>
      <c r="H321" s="479" t="s">
        <v>4256</v>
      </c>
      <c r="I321" s="32"/>
      <c r="J321" s="32"/>
      <c r="K321" s="32"/>
      <c r="L321" s="32"/>
      <c r="M321" s="32"/>
      <c r="N321" s="285" t="s">
        <v>3844</v>
      </c>
    </row>
    <row r="322" spans="1:14" s="373" customFormat="1" ht="37.5" x14ac:dyDescent="0.2">
      <c r="A322" s="32">
        <f>ROW()-ROW(สำนักงาน!$A$6)+1</f>
        <v>317</v>
      </c>
      <c r="B322" s="52" t="s">
        <v>3049</v>
      </c>
      <c r="C322" s="32" t="s">
        <v>3082</v>
      </c>
      <c r="D322" s="32" t="s">
        <v>3083</v>
      </c>
      <c r="E322" s="53" t="s">
        <v>2862</v>
      </c>
      <c r="F322" s="54">
        <v>5885</v>
      </c>
      <c r="G322" s="32" t="s">
        <v>2893</v>
      </c>
      <c r="H322" s="479" t="s">
        <v>4256</v>
      </c>
      <c r="I322" s="32"/>
      <c r="J322" s="32"/>
      <c r="K322" s="32"/>
      <c r="L322" s="32"/>
      <c r="M322" s="32"/>
      <c r="N322" s="285" t="s">
        <v>3844</v>
      </c>
    </row>
    <row r="323" spans="1:14" s="373" customFormat="1" ht="37.5" x14ac:dyDescent="0.2">
      <c r="A323" s="32">
        <f>ROW()-ROW(สำนักงาน!$A$6)+1</f>
        <v>318</v>
      </c>
      <c r="B323" s="52" t="s">
        <v>3049</v>
      </c>
      <c r="C323" s="32" t="s">
        <v>3084</v>
      </c>
      <c r="D323" s="32" t="s">
        <v>3085</v>
      </c>
      <c r="E323" s="53" t="s">
        <v>2862</v>
      </c>
      <c r="F323" s="54">
        <v>5885</v>
      </c>
      <c r="G323" s="32" t="s">
        <v>2893</v>
      </c>
      <c r="H323" s="479" t="s">
        <v>4256</v>
      </c>
      <c r="I323" s="32"/>
      <c r="J323" s="32"/>
      <c r="K323" s="32"/>
      <c r="L323" s="32"/>
      <c r="M323" s="32"/>
      <c r="N323" s="285" t="s">
        <v>3844</v>
      </c>
    </row>
    <row r="324" spans="1:14" s="373" customFormat="1" ht="37.5" x14ac:dyDescent="0.2">
      <c r="A324" s="32">
        <f>ROW()-ROW(สำนักงาน!$A$6)+1</f>
        <v>319</v>
      </c>
      <c r="B324" s="52" t="s">
        <v>3049</v>
      </c>
      <c r="C324" s="32" t="s">
        <v>3086</v>
      </c>
      <c r="D324" s="32" t="s">
        <v>3087</v>
      </c>
      <c r="E324" s="53" t="s">
        <v>2862</v>
      </c>
      <c r="F324" s="54">
        <v>5885</v>
      </c>
      <c r="G324" s="32" t="s">
        <v>2893</v>
      </c>
      <c r="H324" s="479" t="s">
        <v>4256</v>
      </c>
      <c r="I324" s="32"/>
      <c r="J324" s="32"/>
      <c r="K324" s="32"/>
      <c r="L324" s="32"/>
      <c r="M324" s="32"/>
      <c r="N324" s="285" t="s">
        <v>3844</v>
      </c>
    </row>
    <row r="325" spans="1:14" s="373" customFormat="1" ht="37.5" x14ac:dyDescent="0.2">
      <c r="A325" s="32">
        <f>ROW()-ROW(สำนักงาน!$A$6)+1</f>
        <v>320</v>
      </c>
      <c r="B325" s="52" t="s">
        <v>3049</v>
      </c>
      <c r="C325" s="32" t="s">
        <v>3088</v>
      </c>
      <c r="D325" s="32" t="s">
        <v>3089</v>
      </c>
      <c r="E325" s="53" t="s">
        <v>2862</v>
      </c>
      <c r="F325" s="54">
        <v>5885</v>
      </c>
      <c r="G325" s="32" t="s">
        <v>2893</v>
      </c>
      <c r="H325" s="479" t="s">
        <v>4256</v>
      </c>
      <c r="I325" s="32"/>
      <c r="J325" s="32"/>
      <c r="K325" s="32"/>
      <c r="L325" s="32"/>
      <c r="M325" s="32"/>
      <c r="N325" s="285" t="s">
        <v>3844</v>
      </c>
    </row>
    <row r="326" spans="1:14" s="373" customFormat="1" ht="37.5" x14ac:dyDescent="0.2">
      <c r="A326" s="32">
        <f>ROW()-ROW(สำนักงาน!$A$6)+1</f>
        <v>321</v>
      </c>
      <c r="B326" s="52" t="s">
        <v>3049</v>
      </c>
      <c r="C326" s="32" t="s">
        <v>3090</v>
      </c>
      <c r="D326" s="32" t="s">
        <v>3091</v>
      </c>
      <c r="E326" s="53" t="s">
        <v>2862</v>
      </c>
      <c r="F326" s="54">
        <v>5885</v>
      </c>
      <c r="G326" s="32" t="s">
        <v>2893</v>
      </c>
      <c r="H326" s="479" t="s">
        <v>4256</v>
      </c>
      <c r="I326" s="32"/>
      <c r="J326" s="32"/>
      <c r="K326" s="32"/>
      <c r="L326" s="32"/>
      <c r="M326" s="32"/>
      <c r="N326" s="285" t="s">
        <v>3844</v>
      </c>
    </row>
    <row r="327" spans="1:14" s="373" customFormat="1" ht="37.5" x14ac:dyDescent="0.2">
      <c r="A327" s="32">
        <f>ROW()-ROW(สำนักงาน!$A$6)+1</f>
        <v>322</v>
      </c>
      <c r="B327" s="52" t="s">
        <v>3049</v>
      </c>
      <c r="C327" s="32" t="s">
        <v>3092</v>
      </c>
      <c r="D327" s="32" t="s">
        <v>3093</v>
      </c>
      <c r="E327" s="53" t="s">
        <v>2862</v>
      </c>
      <c r="F327" s="54">
        <v>5885</v>
      </c>
      <c r="G327" s="32" t="s">
        <v>2893</v>
      </c>
      <c r="H327" s="479" t="s">
        <v>4256</v>
      </c>
      <c r="I327" s="32"/>
      <c r="J327" s="32"/>
      <c r="K327" s="32"/>
      <c r="L327" s="32"/>
      <c r="M327" s="32"/>
      <c r="N327" s="285" t="s">
        <v>3844</v>
      </c>
    </row>
    <row r="328" spans="1:14" s="373" customFormat="1" ht="37.5" x14ac:dyDescent="0.2">
      <c r="A328" s="32">
        <f>ROW()-ROW(สำนักงาน!$A$6)+1</f>
        <v>323</v>
      </c>
      <c r="B328" s="52" t="s">
        <v>3049</v>
      </c>
      <c r="C328" s="32" t="s">
        <v>3094</v>
      </c>
      <c r="D328" s="32" t="s">
        <v>3095</v>
      </c>
      <c r="E328" s="53" t="s">
        <v>2862</v>
      </c>
      <c r="F328" s="54">
        <v>5885</v>
      </c>
      <c r="G328" s="32" t="s">
        <v>2893</v>
      </c>
      <c r="H328" s="479" t="s">
        <v>4256</v>
      </c>
      <c r="I328" s="32"/>
      <c r="J328" s="32"/>
      <c r="K328" s="32"/>
      <c r="L328" s="32"/>
      <c r="M328" s="32"/>
      <c r="N328" s="285" t="s">
        <v>3844</v>
      </c>
    </row>
    <row r="329" spans="1:14" s="373" customFormat="1" ht="37.5" x14ac:dyDescent="0.2">
      <c r="A329" s="32">
        <f>ROW()-ROW(สำนักงาน!$A$6)+1</f>
        <v>324</v>
      </c>
      <c r="B329" s="52" t="s">
        <v>3049</v>
      </c>
      <c r="C329" s="32" t="s">
        <v>3096</v>
      </c>
      <c r="D329" s="32" t="s">
        <v>3097</v>
      </c>
      <c r="E329" s="53" t="s">
        <v>2862</v>
      </c>
      <c r="F329" s="54">
        <v>5885</v>
      </c>
      <c r="G329" s="32" t="s">
        <v>2893</v>
      </c>
      <c r="H329" s="479" t="s">
        <v>4256</v>
      </c>
      <c r="I329" s="32"/>
      <c r="J329" s="32"/>
      <c r="K329" s="32"/>
      <c r="L329" s="32"/>
      <c r="M329" s="32"/>
      <c r="N329" s="285" t="s">
        <v>3844</v>
      </c>
    </row>
    <row r="330" spans="1:14" s="373" customFormat="1" ht="37.5" x14ac:dyDescent="0.2">
      <c r="A330" s="32">
        <f>ROW()-ROW(สำนักงาน!$A$6)+1</f>
        <v>325</v>
      </c>
      <c r="B330" s="52" t="s">
        <v>3098</v>
      </c>
      <c r="C330" s="32" t="s">
        <v>3099</v>
      </c>
      <c r="D330" s="32" t="s">
        <v>3100</v>
      </c>
      <c r="E330" s="53" t="s">
        <v>2862</v>
      </c>
      <c r="F330" s="54">
        <v>1391</v>
      </c>
      <c r="G330" s="32" t="s">
        <v>2893</v>
      </c>
      <c r="H330" s="479" t="s">
        <v>4256</v>
      </c>
      <c r="I330" s="32"/>
      <c r="J330" s="32"/>
      <c r="K330" s="32"/>
      <c r="L330" s="32"/>
      <c r="M330" s="32"/>
      <c r="N330" s="285" t="s">
        <v>3836</v>
      </c>
    </row>
    <row r="331" spans="1:14" s="373" customFormat="1" ht="37.5" x14ac:dyDescent="0.2">
      <c r="A331" s="32">
        <f>ROW()-ROW(สำนักงาน!$A$6)+1</f>
        <v>326</v>
      </c>
      <c r="B331" s="52" t="s">
        <v>3098</v>
      </c>
      <c r="C331" s="32" t="s">
        <v>3101</v>
      </c>
      <c r="D331" s="32" t="s">
        <v>3102</v>
      </c>
      <c r="E331" s="53" t="s">
        <v>2862</v>
      </c>
      <c r="F331" s="54">
        <v>1391</v>
      </c>
      <c r="G331" s="32" t="s">
        <v>2893</v>
      </c>
      <c r="H331" s="479" t="s">
        <v>4256</v>
      </c>
      <c r="I331" s="32"/>
      <c r="J331" s="32"/>
      <c r="K331" s="32"/>
      <c r="L331" s="32"/>
      <c r="M331" s="32"/>
      <c r="N331" s="285" t="s">
        <v>3836</v>
      </c>
    </row>
    <row r="332" spans="1:14" s="373" customFormat="1" ht="37.5" x14ac:dyDescent="0.2">
      <c r="A332" s="32">
        <f>ROW()-ROW(สำนักงาน!$A$6)+1</f>
        <v>327</v>
      </c>
      <c r="B332" s="52" t="s">
        <v>3103</v>
      </c>
      <c r="C332" s="32" t="s">
        <v>3104</v>
      </c>
      <c r="D332" s="32" t="s">
        <v>3105</v>
      </c>
      <c r="E332" s="53" t="s">
        <v>2862</v>
      </c>
      <c r="F332" s="54">
        <v>2140</v>
      </c>
      <c r="G332" s="32" t="s">
        <v>2893</v>
      </c>
      <c r="H332" s="479" t="s">
        <v>4256</v>
      </c>
      <c r="I332" s="32"/>
      <c r="J332" s="32"/>
      <c r="K332" s="32"/>
      <c r="L332" s="32"/>
      <c r="M332" s="32"/>
      <c r="N332" s="285" t="s">
        <v>3835</v>
      </c>
    </row>
    <row r="333" spans="1:14" s="373" customFormat="1" ht="37.5" x14ac:dyDescent="0.2">
      <c r="A333" s="32">
        <f>ROW()-ROW(สำนักงาน!$A$6)+1</f>
        <v>328</v>
      </c>
      <c r="B333" s="52" t="s">
        <v>3103</v>
      </c>
      <c r="C333" s="32" t="s">
        <v>3106</v>
      </c>
      <c r="D333" s="32" t="s">
        <v>3107</v>
      </c>
      <c r="E333" s="53" t="s">
        <v>2862</v>
      </c>
      <c r="F333" s="54">
        <v>2140</v>
      </c>
      <c r="G333" s="32" t="s">
        <v>2893</v>
      </c>
      <c r="H333" s="479" t="s">
        <v>4256</v>
      </c>
      <c r="I333" s="32"/>
      <c r="J333" s="32"/>
      <c r="K333" s="32"/>
      <c r="L333" s="32"/>
      <c r="M333" s="32"/>
      <c r="N333" s="285" t="s">
        <v>3835</v>
      </c>
    </row>
    <row r="334" spans="1:14" s="373" customFormat="1" ht="37.5" x14ac:dyDescent="0.2">
      <c r="A334" s="32">
        <f>ROW()-ROW(สำนักงาน!$A$6)+1</f>
        <v>329</v>
      </c>
      <c r="B334" s="52" t="s">
        <v>3103</v>
      </c>
      <c r="C334" s="32" t="s">
        <v>3108</v>
      </c>
      <c r="D334" s="32" t="s">
        <v>3109</v>
      </c>
      <c r="E334" s="53" t="s">
        <v>2862</v>
      </c>
      <c r="F334" s="54">
        <v>2140</v>
      </c>
      <c r="G334" s="32" t="s">
        <v>2893</v>
      </c>
      <c r="H334" s="479" t="s">
        <v>4256</v>
      </c>
      <c r="I334" s="32"/>
      <c r="J334" s="32"/>
      <c r="K334" s="32"/>
      <c r="L334" s="32"/>
      <c r="M334" s="32"/>
      <c r="N334" s="285" t="s">
        <v>3836</v>
      </c>
    </row>
    <row r="335" spans="1:14" s="373" customFormat="1" ht="37.5" x14ac:dyDescent="0.2">
      <c r="A335" s="32">
        <f>ROW()-ROW(สำนักงาน!$A$6)+1</f>
        <v>330</v>
      </c>
      <c r="B335" s="52" t="s">
        <v>3103</v>
      </c>
      <c r="C335" s="32" t="s">
        <v>3110</v>
      </c>
      <c r="D335" s="32" t="s">
        <v>3111</v>
      </c>
      <c r="E335" s="53" t="s">
        <v>2862</v>
      </c>
      <c r="F335" s="54">
        <v>2140</v>
      </c>
      <c r="G335" s="32" t="s">
        <v>2893</v>
      </c>
      <c r="H335" s="479" t="s">
        <v>4256</v>
      </c>
      <c r="I335" s="32"/>
      <c r="J335" s="32"/>
      <c r="K335" s="32"/>
      <c r="L335" s="32"/>
      <c r="M335" s="32"/>
      <c r="N335" s="285" t="s">
        <v>3832</v>
      </c>
    </row>
    <row r="336" spans="1:14" s="373" customFormat="1" ht="37.5" x14ac:dyDescent="0.2">
      <c r="A336" s="32">
        <f>ROW()-ROW(สำนักงาน!$A$6)+1</f>
        <v>331</v>
      </c>
      <c r="B336" s="52" t="s">
        <v>3103</v>
      </c>
      <c r="C336" s="32" t="s">
        <v>3112</v>
      </c>
      <c r="D336" s="32" t="s">
        <v>3113</v>
      </c>
      <c r="E336" s="53" t="s">
        <v>2862</v>
      </c>
      <c r="F336" s="54">
        <v>2140</v>
      </c>
      <c r="G336" s="32" t="s">
        <v>2893</v>
      </c>
      <c r="H336" s="479" t="s">
        <v>4256</v>
      </c>
      <c r="I336" s="32"/>
      <c r="J336" s="32"/>
      <c r="K336" s="32"/>
      <c r="L336" s="32"/>
      <c r="M336" s="32"/>
      <c r="N336" s="285" t="s">
        <v>3836</v>
      </c>
    </row>
    <row r="337" spans="1:14" s="373" customFormat="1" ht="37.5" x14ac:dyDescent="0.2">
      <c r="A337" s="32">
        <f>ROW()-ROW(สำนักงาน!$A$6)+1</f>
        <v>332</v>
      </c>
      <c r="B337" s="52" t="s">
        <v>3103</v>
      </c>
      <c r="C337" s="32" t="s">
        <v>3114</v>
      </c>
      <c r="D337" s="32" t="s">
        <v>3115</v>
      </c>
      <c r="E337" s="53" t="s">
        <v>2862</v>
      </c>
      <c r="F337" s="54">
        <v>2140</v>
      </c>
      <c r="G337" s="32" t="s">
        <v>2893</v>
      </c>
      <c r="H337" s="479" t="s">
        <v>4256</v>
      </c>
      <c r="I337" s="32"/>
      <c r="J337" s="32"/>
      <c r="K337" s="32"/>
      <c r="L337" s="32"/>
      <c r="M337" s="32"/>
      <c r="N337" s="285" t="s">
        <v>3836</v>
      </c>
    </row>
    <row r="338" spans="1:14" s="373" customFormat="1" ht="37.5" x14ac:dyDescent="0.2">
      <c r="A338" s="32">
        <f>ROW()-ROW(สำนักงาน!$A$6)+1</f>
        <v>333</v>
      </c>
      <c r="B338" s="52" t="s">
        <v>3103</v>
      </c>
      <c r="C338" s="32" t="s">
        <v>3116</v>
      </c>
      <c r="D338" s="32" t="s">
        <v>3117</v>
      </c>
      <c r="E338" s="53" t="s">
        <v>2862</v>
      </c>
      <c r="F338" s="54">
        <v>2140</v>
      </c>
      <c r="G338" s="32" t="s">
        <v>2893</v>
      </c>
      <c r="H338" s="479" t="s">
        <v>4256</v>
      </c>
      <c r="I338" s="32"/>
      <c r="J338" s="32"/>
      <c r="K338" s="32"/>
      <c r="L338" s="32"/>
      <c r="M338" s="32"/>
      <c r="N338" s="285" t="s">
        <v>3836</v>
      </c>
    </row>
    <row r="339" spans="1:14" s="373" customFormat="1" ht="37.5" x14ac:dyDescent="0.2">
      <c r="A339" s="32">
        <f>ROW()-ROW(สำนักงาน!$A$6)+1</f>
        <v>334</v>
      </c>
      <c r="B339" s="52" t="s">
        <v>3103</v>
      </c>
      <c r="C339" s="32" t="s">
        <v>3118</v>
      </c>
      <c r="D339" s="32" t="s">
        <v>3119</v>
      </c>
      <c r="E339" s="53" t="s">
        <v>2862</v>
      </c>
      <c r="F339" s="54">
        <v>2140</v>
      </c>
      <c r="G339" s="32" t="s">
        <v>2893</v>
      </c>
      <c r="H339" s="479" t="s">
        <v>4256</v>
      </c>
      <c r="I339" s="32"/>
      <c r="J339" s="32"/>
      <c r="K339" s="32"/>
      <c r="L339" s="32"/>
      <c r="M339" s="32"/>
      <c r="N339" s="285" t="s">
        <v>3836</v>
      </c>
    </row>
    <row r="340" spans="1:14" s="373" customFormat="1" ht="37.5" x14ac:dyDescent="0.2">
      <c r="A340" s="32">
        <f>ROW()-ROW(สำนักงาน!$A$6)+1</f>
        <v>335</v>
      </c>
      <c r="B340" s="52" t="s">
        <v>3103</v>
      </c>
      <c r="C340" s="32" t="s">
        <v>3120</v>
      </c>
      <c r="D340" s="32" t="s">
        <v>3121</v>
      </c>
      <c r="E340" s="53" t="s">
        <v>2862</v>
      </c>
      <c r="F340" s="54">
        <v>2140</v>
      </c>
      <c r="G340" s="32" t="s">
        <v>2893</v>
      </c>
      <c r="H340" s="479" t="s">
        <v>4256</v>
      </c>
      <c r="I340" s="32"/>
      <c r="J340" s="32"/>
      <c r="K340" s="32"/>
      <c r="L340" s="32"/>
      <c r="M340" s="32"/>
      <c r="N340" s="285" t="s">
        <v>3836</v>
      </c>
    </row>
    <row r="341" spans="1:14" s="373" customFormat="1" ht="37.5" x14ac:dyDescent="0.2">
      <c r="A341" s="32">
        <f>ROW()-ROW(สำนักงาน!$A$6)+1</f>
        <v>336</v>
      </c>
      <c r="B341" s="52" t="s">
        <v>3103</v>
      </c>
      <c r="C341" s="32" t="s">
        <v>3122</v>
      </c>
      <c r="D341" s="32" t="s">
        <v>3123</v>
      </c>
      <c r="E341" s="53" t="s">
        <v>2862</v>
      </c>
      <c r="F341" s="54">
        <v>2140</v>
      </c>
      <c r="G341" s="32" t="s">
        <v>2893</v>
      </c>
      <c r="H341" s="479" t="s">
        <v>4256</v>
      </c>
      <c r="I341" s="32"/>
      <c r="J341" s="32"/>
      <c r="K341" s="32"/>
      <c r="L341" s="32"/>
      <c r="M341" s="32"/>
      <c r="N341" s="285" t="s">
        <v>3836</v>
      </c>
    </row>
    <row r="342" spans="1:14" s="373" customFormat="1" ht="37.5" x14ac:dyDescent="0.2">
      <c r="A342" s="32">
        <f>ROW()-ROW(สำนักงาน!$A$6)+1</f>
        <v>337</v>
      </c>
      <c r="B342" s="52" t="s">
        <v>3103</v>
      </c>
      <c r="C342" s="32" t="s">
        <v>3124</v>
      </c>
      <c r="D342" s="32" t="s">
        <v>3125</v>
      </c>
      <c r="E342" s="53" t="s">
        <v>2862</v>
      </c>
      <c r="F342" s="54">
        <v>2140</v>
      </c>
      <c r="G342" s="32" t="s">
        <v>2893</v>
      </c>
      <c r="H342" s="479" t="s">
        <v>4256</v>
      </c>
      <c r="I342" s="32"/>
      <c r="J342" s="32"/>
      <c r="K342" s="32"/>
      <c r="L342" s="32"/>
      <c r="M342" s="32"/>
      <c r="N342" s="285" t="s">
        <v>3836</v>
      </c>
    </row>
    <row r="343" spans="1:14" s="373" customFormat="1" ht="37.5" x14ac:dyDescent="0.2">
      <c r="A343" s="32">
        <f>ROW()-ROW(สำนักงาน!$A$6)+1</f>
        <v>338</v>
      </c>
      <c r="B343" s="52" t="s">
        <v>3103</v>
      </c>
      <c r="C343" s="32" t="s">
        <v>3126</v>
      </c>
      <c r="D343" s="32" t="s">
        <v>3127</v>
      </c>
      <c r="E343" s="53" t="s">
        <v>2862</v>
      </c>
      <c r="F343" s="54">
        <v>2140</v>
      </c>
      <c r="G343" s="32" t="s">
        <v>2893</v>
      </c>
      <c r="H343" s="479" t="s">
        <v>4256</v>
      </c>
      <c r="I343" s="32"/>
      <c r="J343" s="32"/>
      <c r="K343" s="32"/>
      <c r="L343" s="32"/>
      <c r="M343" s="32"/>
      <c r="N343" s="285" t="s">
        <v>3836</v>
      </c>
    </row>
    <row r="344" spans="1:14" s="373" customFormat="1" ht="37.5" x14ac:dyDescent="0.2">
      <c r="A344" s="32">
        <f>ROW()-ROW(สำนักงาน!$A$6)+1</f>
        <v>339</v>
      </c>
      <c r="B344" s="52" t="s">
        <v>3103</v>
      </c>
      <c r="C344" s="32" t="s">
        <v>3128</v>
      </c>
      <c r="D344" s="32" t="s">
        <v>3129</v>
      </c>
      <c r="E344" s="53" t="s">
        <v>2862</v>
      </c>
      <c r="F344" s="54">
        <v>2140</v>
      </c>
      <c r="G344" s="32" t="s">
        <v>2893</v>
      </c>
      <c r="H344" s="479" t="s">
        <v>4256</v>
      </c>
      <c r="I344" s="32"/>
      <c r="J344" s="32"/>
      <c r="K344" s="32"/>
      <c r="L344" s="32"/>
      <c r="M344" s="32"/>
      <c r="N344" s="285" t="s">
        <v>3836</v>
      </c>
    </row>
    <row r="345" spans="1:14" s="373" customFormat="1" ht="37.5" x14ac:dyDescent="0.2">
      <c r="A345" s="32">
        <f>ROW()-ROW(สำนักงาน!$A$6)+1</f>
        <v>340</v>
      </c>
      <c r="B345" s="52" t="s">
        <v>3103</v>
      </c>
      <c r="C345" s="32" t="s">
        <v>3130</v>
      </c>
      <c r="D345" s="32" t="s">
        <v>3131</v>
      </c>
      <c r="E345" s="53" t="s">
        <v>2862</v>
      </c>
      <c r="F345" s="54">
        <v>2140</v>
      </c>
      <c r="G345" s="32" t="s">
        <v>2893</v>
      </c>
      <c r="H345" s="479" t="s">
        <v>4256</v>
      </c>
      <c r="I345" s="32"/>
      <c r="J345" s="32"/>
      <c r="K345" s="32"/>
      <c r="L345" s="32"/>
      <c r="M345" s="32"/>
      <c r="N345" s="285" t="s">
        <v>3836</v>
      </c>
    </row>
    <row r="346" spans="1:14" s="373" customFormat="1" ht="37.5" x14ac:dyDescent="0.2">
      <c r="A346" s="32">
        <f>ROW()-ROW(สำนักงาน!$A$6)+1</f>
        <v>341</v>
      </c>
      <c r="B346" s="52" t="s">
        <v>3103</v>
      </c>
      <c r="C346" s="32" t="s">
        <v>3132</v>
      </c>
      <c r="D346" s="32" t="s">
        <v>3133</v>
      </c>
      <c r="E346" s="53" t="s">
        <v>2862</v>
      </c>
      <c r="F346" s="54">
        <v>2140</v>
      </c>
      <c r="G346" s="32" t="s">
        <v>2893</v>
      </c>
      <c r="H346" s="479" t="s">
        <v>4256</v>
      </c>
      <c r="I346" s="32"/>
      <c r="J346" s="32"/>
      <c r="K346" s="32"/>
      <c r="L346" s="32"/>
      <c r="M346" s="32"/>
      <c r="N346" s="285" t="s">
        <v>3836</v>
      </c>
    </row>
    <row r="347" spans="1:14" s="373" customFormat="1" ht="37.5" x14ac:dyDescent="0.2">
      <c r="A347" s="32">
        <f>ROW()-ROW(สำนักงาน!$A$6)+1</f>
        <v>342</v>
      </c>
      <c r="B347" s="52" t="s">
        <v>3103</v>
      </c>
      <c r="C347" s="32" t="s">
        <v>3134</v>
      </c>
      <c r="D347" s="32" t="s">
        <v>3135</v>
      </c>
      <c r="E347" s="53" t="s">
        <v>2862</v>
      </c>
      <c r="F347" s="54">
        <v>2140</v>
      </c>
      <c r="G347" s="32" t="s">
        <v>2893</v>
      </c>
      <c r="H347" s="479" t="s">
        <v>4256</v>
      </c>
      <c r="I347" s="32"/>
      <c r="J347" s="32"/>
      <c r="K347" s="32"/>
      <c r="L347" s="32"/>
      <c r="M347" s="32"/>
      <c r="N347" s="285" t="s">
        <v>3836</v>
      </c>
    </row>
    <row r="348" spans="1:14" s="373" customFormat="1" ht="37.5" x14ac:dyDescent="0.2">
      <c r="A348" s="32">
        <f>ROW()-ROW(สำนักงาน!$A$6)+1</f>
        <v>343</v>
      </c>
      <c r="B348" s="52" t="s">
        <v>3103</v>
      </c>
      <c r="C348" s="32" t="s">
        <v>3136</v>
      </c>
      <c r="D348" s="32" t="s">
        <v>3137</v>
      </c>
      <c r="E348" s="53" t="s">
        <v>2862</v>
      </c>
      <c r="F348" s="54">
        <v>2140</v>
      </c>
      <c r="G348" s="32" t="s">
        <v>2893</v>
      </c>
      <c r="H348" s="479" t="s">
        <v>4256</v>
      </c>
      <c r="I348" s="32"/>
      <c r="J348" s="32"/>
      <c r="K348" s="32"/>
      <c r="L348" s="32"/>
      <c r="M348" s="32"/>
      <c r="N348" s="285" t="s">
        <v>3836</v>
      </c>
    </row>
    <row r="349" spans="1:14" s="373" customFormat="1" ht="37.5" x14ac:dyDescent="0.2">
      <c r="A349" s="32">
        <f>ROW()-ROW(สำนักงาน!$A$6)+1</f>
        <v>344</v>
      </c>
      <c r="B349" s="52" t="s">
        <v>3103</v>
      </c>
      <c r="C349" s="32" t="s">
        <v>3138</v>
      </c>
      <c r="D349" s="32" t="s">
        <v>3139</v>
      </c>
      <c r="E349" s="53" t="s">
        <v>2862</v>
      </c>
      <c r="F349" s="54">
        <v>2140</v>
      </c>
      <c r="G349" s="32" t="s">
        <v>2893</v>
      </c>
      <c r="H349" s="479" t="s">
        <v>4256</v>
      </c>
      <c r="I349" s="32"/>
      <c r="J349" s="32"/>
      <c r="K349" s="32"/>
      <c r="L349" s="32"/>
      <c r="M349" s="32"/>
      <c r="N349" s="285" t="s">
        <v>3836</v>
      </c>
    </row>
    <row r="350" spans="1:14" s="373" customFormat="1" ht="37.5" x14ac:dyDescent="0.2">
      <c r="A350" s="32">
        <f>ROW()-ROW(สำนักงาน!$A$6)+1</f>
        <v>345</v>
      </c>
      <c r="B350" s="52" t="s">
        <v>3103</v>
      </c>
      <c r="C350" s="32" t="s">
        <v>3140</v>
      </c>
      <c r="D350" s="32" t="s">
        <v>3141</v>
      </c>
      <c r="E350" s="53" t="s">
        <v>2862</v>
      </c>
      <c r="F350" s="54">
        <v>2140</v>
      </c>
      <c r="G350" s="32" t="s">
        <v>2893</v>
      </c>
      <c r="H350" s="479" t="s">
        <v>4256</v>
      </c>
      <c r="I350" s="32"/>
      <c r="J350" s="32"/>
      <c r="K350" s="32"/>
      <c r="L350" s="32"/>
      <c r="M350" s="32"/>
      <c r="N350" s="285" t="s">
        <v>3836</v>
      </c>
    </row>
    <row r="351" spans="1:14" s="373" customFormat="1" ht="37.5" x14ac:dyDescent="0.2">
      <c r="A351" s="32">
        <f>ROW()-ROW(สำนักงาน!$A$6)+1</f>
        <v>346</v>
      </c>
      <c r="B351" s="52" t="s">
        <v>3103</v>
      </c>
      <c r="C351" s="32" t="s">
        <v>3142</v>
      </c>
      <c r="D351" s="32" t="s">
        <v>3143</v>
      </c>
      <c r="E351" s="53" t="s">
        <v>2862</v>
      </c>
      <c r="F351" s="54">
        <v>2140</v>
      </c>
      <c r="G351" s="32" t="s">
        <v>2893</v>
      </c>
      <c r="H351" s="479" t="s">
        <v>4256</v>
      </c>
      <c r="I351" s="32"/>
      <c r="J351" s="32"/>
      <c r="K351" s="32"/>
      <c r="L351" s="32"/>
      <c r="M351" s="32"/>
      <c r="N351" s="285" t="s">
        <v>3832</v>
      </c>
    </row>
    <row r="352" spans="1:14" s="373" customFormat="1" ht="37.5" x14ac:dyDescent="0.2">
      <c r="A352" s="32">
        <f>ROW()-ROW(สำนักงาน!$A$6)+1</f>
        <v>347</v>
      </c>
      <c r="B352" s="52" t="s">
        <v>3103</v>
      </c>
      <c r="C352" s="32" t="s">
        <v>3144</v>
      </c>
      <c r="D352" s="32" t="s">
        <v>3145</v>
      </c>
      <c r="E352" s="53" t="s">
        <v>2862</v>
      </c>
      <c r="F352" s="54">
        <v>2140</v>
      </c>
      <c r="G352" s="32" t="s">
        <v>2893</v>
      </c>
      <c r="H352" s="479" t="s">
        <v>4256</v>
      </c>
      <c r="I352" s="32"/>
      <c r="J352" s="32"/>
      <c r="K352" s="32"/>
      <c r="L352" s="32"/>
      <c r="M352" s="32"/>
      <c r="N352" s="285" t="s">
        <v>3835</v>
      </c>
    </row>
    <row r="353" spans="1:14" s="373" customFormat="1" ht="37.5" x14ac:dyDescent="0.2">
      <c r="A353" s="32">
        <f>ROW()-ROW(สำนักงาน!$A$6)+1</f>
        <v>348</v>
      </c>
      <c r="B353" s="52" t="s">
        <v>3103</v>
      </c>
      <c r="C353" s="32" t="s">
        <v>3146</v>
      </c>
      <c r="D353" s="32" t="s">
        <v>3147</v>
      </c>
      <c r="E353" s="53" t="s">
        <v>2862</v>
      </c>
      <c r="F353" s="54">
        <v>2140</v>
      </c>
      <c r="G353" s="32" t="s">
        <v>2893</v>
      </c>
      <c r="H353" s="479" t="s">
        <v>4256</v>
      </c>
      <c r="I353" s="32"/>
      <c r="J353" s="32"/>
      <c r="K353" s="32"/>
      <c r="L353" s="32"/>
      <c r="M353" s="32"/>
      <c r="N353" s="285" t="s">
        <v>3835</v>
      </c>
    </row>
    <row r="354" spans="1:14" s="373" customFormat="1" ht="18.75" x14ac:dyDescent="0.2">
      <c r="A354" s="32">
        <f>ROW()-ROW(สำนักงาน!$A$6)+1</f>
        <v>349</v>
      </c>
      <c r="B354" s="52" t="s">
        <v>3148</v>
      </c>
      <c r="C354" s="32" t="s">
        <v>3149</v>
      </c>
      <c r="D354" s="32" t="s">
        <v>3150</v>
      </c>
      <c r="E354" s="53" t="s">
        <v>2862</v>
      </c>
      <c r="F354" s="54">
        <v>749</v>
      </c>
      <c r="G354" s="32" t="s">
        <v>2893</v>
      </c>
      <c r="H354" s="479" t="s">
        <v>4256</v>
      </c>
      <c r="I354" s="32"/>
      <c r="J354" s="32"/>
      <c r="K354" s="32"/>
      <c r="L354" s="32"/>
      <c r="M354" s="32"/>
      <c r="N354" s="316" t="s">
        <v>3856</v>
      </c>
    </row>
    <row r="355" spans="1:14" s="373" customFormat="1" ht="18.75" x14ac:dyDescent="0.2">
      <c r="A355" s="32">
        <f>ROW()-ROW(สำนักงาน!$A$6)+1</f>
        <v>350</v>
      </c>
      <c r="B355" s="52" t="s">
        <v>3148</v>
      </c>
      <c r="C355" s="32" t="s">
        <v>3151</v>
      </c>
      <c r="D355" s="32" t="s">
        <v>3152</v>
      </c>
      <c r="E355" s="53" t="s">
        <v>2862</v>
      </c>
      <c r="F355" s="54">
        <v>749</v>
      </c>
      <c r="G355" s="32" t="s">
        <v>2893</v>
      </c>
      <c r="H355" s="479" t="s">
        <v>4256</v>
      </c>
      <c r="I355" s="32"/>
      <c r="J355" s="32"/>
      <c r="K355" s="32"/>
      <c r="L355" s="32"/>
      <c r="M355" s="32"/>
      <c r="N355" s="316" t="s">
        <v>3856</v>
      </c>
    </row>
    <row r="356" spans="1:14" s="373" customFormat="1" ht="18.75" x14ac:dyDescent="0.2">
      <c r="A356" s="32">
        <f>ROW()-ROW(สำนักงาน!$A$6)+1</f>
        <v>351</v>
      </c>
      <c r="B356" s="52" t="s">
        <v>3148</v>
      </c>
      <c r="C356" s="32" t="s">
        <v>3153</v>
      </c>
      <c r="D356" s="32" t="s">
        <v>3154</v>
      </c>
      <c r="E356" s="53" t="s">
        <v>2862</v>
      </c>
      <c r="F356" s="54">
        <v>749</v>
      </c>
      <c r="G356" s="32" t="s">
        <v>2893</v>
      </c>
      <c r="H356" s="479" t="s">
        <v>4256</v>
      </c>
      <c r="I356" s="32"/>
      <c r="J356" s="32"/>
      <c r="K356" s="32"/>
      <c r="L356" s="32"/>
      <c r="M356" s="32"/>
      <c r="N356" s="316" t="s">
        <v>3856</v>
      </c>
    </row>
    <row r="357" spans="1:14" s="373" customFormat="1" ht="18.75" x14ac:dyDescent="0.2">
      <c r="A357" s="32">
        <f>ROW()-ROW(สำนักงาน!$A$6)+1</f>
        <v>352</v>
      </c>
      <c r="B357" s="52" t="s">
        <v>3148</v>
      </c>
      <c r="C357" s="32" t="s">
        <v>3155</v>
      </c>
      <c r="D357" s="32" t="s">
        <v>3156</v>
      </c>
      <c r="E357" s="53" t="s">
        <v>2862</v>
      </c>
      <c r="F357" s="54">
        <v>749</v>
      </c>
      <c r="G357" s="32" t="s">
        <v>2893</v>
      </c>
      <c r="H357" s="479" t="s">
        <v>4256</v>
      </c>
      <c r="I357" s="32"/>
      <c r="J357" s="32"/>
      <c r="K357" s="32"/>
      <c r="L357" s="32"/>
      <c r="M357" s="32"/>
      <c r="N357" s="316" t="s">
        <v>3856</v>
      </c>
    </row>
    <row r="358" spans="1:14" s="373" customFormat="1" ht="18.75" x14ac:dyDescent="0.2">
      <c r="A358" s="32">
        <f>ROW()-ROW(สำนักงาน!$A$6)+1</f>
        <v>353</v>
      </c>
      <c r="B358" s="52" t="s">
        <v>3148</v>
      </c>
      <c r="C358" s="32" t="s">
        <v>3157</v>
      </c>
      <c r="D358" s="32" t="s">
        <v>3158</v>
      </c>
      <c r="E358" s="53" t="s">
        <v>2862</v>
      </c>
      <c r="F358" s="54">
        <v>749</v>
      </c>
      <c r="G358" s="32" t="s">
        <v>2893</v>
      </c>
      <c r="H358" s="479" t="s">
        <v>4256</v>
      </c>
      <c r="I358" s="32"/>
      <c r="J358" s="32"/>
      <c r="K358" s="32"/>
      <c r="L358" s="32"/>
      <c r="M358" s="32"/>
      <c r="N358" s="316" t="s">
        <v>3856</v>
      </c>
    </row>
    <row r="359" spans="1:14" s="373" customFormat="1" ht="18.75" x14ac:dyDescent="0.2">
      <c r="A359" s="32">
        <f>ROW()-ROW(สำนักงาน!$A$6)+1</f>
        <v>354</v>
      </c>
      <c r="B359" s="52" t="s">
        <v>3148</v>
      </c>
      <c r="C359" s="32" t="s">
        <v>3159</v>
      </c>
      <c r="D359" s="32" t="s">
        <v>3160</v>
      </c>
      <c r="E359" s="53" t="s">
        <v>2862</v>
      </c>
      <c r="F359" s="54">
        <v>749</v>
      </c>
      <c r="G359" s="32" t="s">
        <v>2893</v>
      </c>
      <c r="H359" s="479" t="s">
        <v>4256</v>
      </c>
      <c r="I359" s="32"/>
      <c r="J359" s="32"/>
      <c r="K359" s="32"/>
      <c r="L359" s="32"/>
      <c r="M359" s="32"/>
      <c r="N359" s="316" t="s">
        <v>3856</v>
      </c>
    </row>
    <row r="360" spans="1:14" s="373" customFormat="1" ht="18.75" x14ac:dyDescent="0.2">
      <c r="A360" s="32">
        <f>ROW()-ROW(สำนักงาน!$A$6)+1</f>
        <v>355</v>
      </c>
      <c r="B360" s="52" t="s">
        <v>3148</v>
      </c>
      <c r="C360" s="32" t="s">
        <v>3161</v>
      </c>
      <c r="D360" s="32" t="s">
        <v>3162</v>
      </c>
      <c r="E360" s="53" t="s">
        <v>2862</v>
      </c>
      <c r="F360" s="54">
        <v>749</v>
      </c>
      <c r="G360" s="32" t="s">
        <v>2893</v>
      </c>
      <c r="H360" s="479" t="s">
        <v>4256</v>
      </c>
      <c r="I360" s="32"/>
      <c r="J360" s="32"/>
      <c r="K360" s="32"/>
      <c r="L360" s="32"/>
      <c r="M360" s="32"/>
      <c r="N360" s="316" t="s">
        <v>3856</v>
      </c>
    </row>
    <row r="361" spans="1:14" s="373" customFormat="1" ht="18.75" x14ac:dyDescent="0.2">
      <c r="A361" s="32">
        <f>ROW()-ROW(สำนักงาน!$A$6)+1</f>
        <v>356</v>
      </c>
      <c r="B361" s="52" t="s">
        <v>3148</v>
      </c>
      <c r="C361" s="32" t="s">
        <v>3163</v>
      </c>
      <c r="D361" s="32" t="s">
        <v>3164</v>
      </c>
      <c r="E361" s="53" t="s">
        <v>2862</v>
      </c>
      <c r="F361" s="54">
        <v>749</v>
      </c>
      <c r="G361" s="32" t="s">
        <v>2893</v>
      </c>
      <c r="H361" s="479" t="s">
        <v>4256</v>
      </c>
      <c r="I361" s="32"/>
      <c r="J361" s="32"/>
      <c r="K361" s="32"/>
      <c r="L361" s="32"/>
      <c r="M361" s="32"/>
      <c r="N361" s="316" t="s">
        <v>3856</v>
      </c>
    </row>
    <row r="362" spans="1:14" s="373" customFormat="1" ht="18.75" x14ac:dyDescent="0.2">
      <c r="A362" s="32">
        <f>ROW()-ROW(สำนักงาน!$A$6)+1</f>
        <v>357</v>
      </c>
      <c r="B362" s="52" t="s">
        <v>3148</v>
      </c>
      <c r="C362" s="32" t="s">
        <v>3165</v>
      </c>
      <c r="D362" s="32" t="s">
        <v>3166</v>
      </c>
      <c r="E362" s="53" t="s">
        <v>2862</v>
      </c>
      <c r="F362" s="54">
        <v>749</v>
      </c>
      <c r="G362" s="32" t="s">
        <v>2893</v>
      </c>
      <c r="H362" s="479" t="s">
        <v>4256</v>
      </c>
      <c r="I362" s="32"/>
      <c r="J362" s="32"/>
      <c r="K362" s="32"/>
      <c r="L362" s="32"/>
      <c r="M362" s="32"/>
      <c r="N362" s="316" t="s">
        <v>3856</v>
      </c>
    </row>
    <row r="363" spans="1:14" s="373" customFormat="1" ht="18.75" x14ac:dyDescent="0.2">
      <c r="A363" s="32">
        <f>ROW()-ROW(สำนักงาน!$A$6)+1</f>
        <v>358</v>
      </c>
      <c r="B363" s="52" t="s">
        <v>3148</v>
      </c>
      <c r="C363" s="32" t="s">
        <v>3167</v>
      </c>
      <c r="D363" s="32" t="s">
        <v>3168</v>
      </c>
      <c r="E363" s="53" t="s">
        <v>2862</v>
      </c>
      <c r="F363" s="54">
        <v>749</v>
      </c>
      <c r="G363" s="32" t="s">
        <v>2893</v>
      </c>
      <c r="H363" s="479" t="s">
        <v>4256</v>
      </c>
      <c r="I363" s="32"/>
      <c r="J363" s="32"/>
      <c r="K363" s="32"/>
      <c r="L363" s="32"/>
      <c r="M363" s="32"/>
      <c r="N363" s="316" t="s">
        <v>3856</v>
      </c>
    </row>
    <row r="364" spans="1:14" s="373" customFormat="1" ht="18.75" x14ac:dyDescent="0.2">
      <c r="A364" s="32">
        <f>ROW()-ROW(สำนักงาน!$A$6)+1</f>
        <v>359</v>
      </c>
      <c r="B364" s="52" t="s">
        <v>3148</v>
      </c>
      <c r="C364" s="32" t="s">
        <v>3169</v>
      </c>
      <c r="D364" s="32" t="s">
        <v>3170</v>
      </c>
      <c r="E364" s="53" t="s">
        <v>2862</v>
      </c>
      <c r="F364" s="54">
        <v>749</v>
      </c>
      <c r="G364" s="32" t="s">
        <v>2893</v>
      </c>
      <c r="H364" s="479" t="s">
        <v>4256</v>
      </c>
      <c r="I364" s="32"/>
      <c r="J364" s="32"/>
      <c r="K364" s="32"/>
      <c r="L364" s="32"/>
      <c r="M364" s="32"/>
      <c r="N364" s="316" t="s">
        <v>3856</v>
      </c>
    </row>
    <row r="365" spans="1:14" s="373" customFormat="1" ht="18.75" x14ac:dyDescent="0.2">
      <c r="A365" s="32">
        <f>ROW()-ROW(สำนักงาน!$A$6)+1</f>
        <v>360</v>
      </c>
      <c r="B365" s="52" t="s">
        <v>3148</v>
      </c>
      <c r="C365" s="32" t="s">
        <v>3171</v>
      </c>
      <c r="D365" s="32" t="s">
        <v>3172</v>
      </c>
      <c r="E365" s="53" t="s">
        <v>2862</v>
      </c>
      <c r="F365" s="54">
        <v>749</v>
      </c>
      <c r="G365" s="32" t="s">
        <v>2893</v>
      </c>
      <c r="H365" s="479" t="s">
        <v>4256</v>
      </c>
      <c r="I365" s="32"/>
      <c r="J365" s="32"/>
      <c r="K365" s="32"/>
      <c r="L365" s="32"/>
      <c r="M365" s="32"/>
      <c r="N365" s="316" t="s">
        <v>3856</v>
      </c>
    </row>
    <row r="366" spans="1:14" s="373" customFormat="1" ht="18.75" x14ac:dyDescent="0.2">
      <c r="A366" s="32">
        <f>ROW()-ROW(สำนักงาน!$A$6)+1</f>
        <v>361</v>
      </c>
      <c r="B366" s="52" t="s">
        <v>3148</v>
      </c>
      <c r="C366" s="32" t="s">
        <v>3173</v>
      </c>
      <c r="D366" s="32" t="s">
        <v>3174</v>
      </c>
      <c r="E366" s="53" t="s">
        <v>2862</v>
      </c>
      <c r="F366" s="54">
        <v>749</v>
      </c>
      <c r="G366" s="32" t="s">
        <v>2893</v>
      </c>
      <c r="H366" s="479" t="s">
        <v>4256</v>
      </c>
      <c r="I366" s="32"/>
      <c r="J366" s="32"/>
      <c r="K366" s="32"/>
      <c r="L366" s="32"/>
      <c r="M366" s="32"/>
      <c r="N366" s="316" t="s">
        <v>3856</v>
      </c>
    </row>
    <row r="367" spans="1:14" s="373" customFormat="1" ht="18.75" x14ac:dyDescent="0.2">
      <c r="A367" s="32">
        <f>ROW()-ROW(สำนักงาน!$A$6)+1</f>
        <v>362</v>
      </c>
      <c r="B367" s="52" t="s">
        <v>3148</v>
      </c>
      <c r="C367" s="32" t="s">
        <v>3175</v>
      </c>
      <c r="D367" s="32" t="s">
        <v>3176</v>
      </c>
      <c r="E367" s="53" t="s">
        <v>2862</v>
      </c>
      <c r="F367" s="54">
        <v>749</v>
      </c>
      <c r="G367" s="32" t="s">
        <v>2893</v>
      </c>
      <c r="H367" s="479" t="s">
        <v>4256</v>
      </c>
      <c r="I367" s="32"/>
      <c r="J367" s="32"/>
      <c r="K367" s="32"/>
      <c r="L367" s="32"/>
      <c r="M367" s="32"/>
      <c r="N367" s="316" t="s">
        <v>3856</v>
      </c>
    </row>
    <row r="368" spans="1:14" s="373" customFormat="1" ht="18.75" x14ac:dyDescent="0.2">
      <c r="A368" s="32">
        <f>ROW()-ROW(สำนักงาน!$A$6)+1</f>
        <v>363</v>
      </c>
      <c r="B368" s="52" t="s">
        <v>3148</v>
      </c>
      <c r="C368" s="32" t="s">
        <v>3177</v>
      </c>
      <c r="D368" s="32" t="s">
        <v>3178</v>
      </c>
      <c r="E368" s="53" t="s">
        <v>2862</v>
      </c>
      <c r="F368" s="54">
        <v>749</v>
      </c>
      <c r="G368" s="32" t="s">
        <v>2893</v>
      </c>
      <c r="H368" s="479" t="s">
        <v>4256</v>
      </c>
      <c r="I368" s="32"/>
      <c r="J368" s="32"/>
      <c r="K368" s="32"/>
      <c r="L368" s="32"/>
      <c r="M368" s="32"/>
      <c r="N368" s="316" t="s">
        <v>3856</v>
      </c>
    </row>
    <row r="369" spans="1:14" s="373" customFormat="1" ht="18.75" x14ac:dyDescent="0.2">
      <c r="A369" s="32">
        <f>ROW()-ROW(สำนักงาน!$A$6)+1</f>
        <v>364</v>
      </c>
      <c r="B369" s="52" t="s">
        <v>3148</v>
      </c>
      <c r="C369" s="32" t="s">
        <v>3179</v>
      </c>
      <c r="D369" s="32" t="s">
        <v>3180</v>
      </c>
      <c r="E369" s="53" t="s">
        <v>2862</v>
      </c>
      <c r="F369" s="54">
        <v>749</v>
      </c>
      <c r="G369" s="32" t="s">
        <v>2893</v>
      </c>
      <c r="H369" s="479" t="s">
        <v>4256</v>
      </c>
      <c r="I369" s="32"/>
      <c r="J369" s="32"/>
      <c r="K369" s="32"/>
      <c r="L369" s="32"/>
      <c r="M369" s="32"/>
      <c r="N369" s="316" t="s">
        <v>3856</v>
      </c>
    </row>
    <row r="370" spans="1:14" s="373" customFormat="1" ht="18.75" x14ac:dyDescent="0.2">
      <c r="A370" s="32">
        <f>ROW()-ROW(สำนักงาน!$A$6)+1</f>
        <v>365</v>
      </c>
      <c r="B370" s="52" t="s">
        <v>3148</v>
      </c>
      <c r="C370" s="32" t="s">
        <v>3181</v>
      </c>
      <c r="D370" s="32" t="s">
        <v>3182</v>
      </c>
      <c r="E370" s="53" t="s">
        <v>2862</v>
      </c>
      <c r="F370" s="54">
        <v>749</v>
      </c>
      <c r="G370" s="32" t="s">
        <v>2893</v>
      </c>
      <c r="H370" s="479" t="s">
        <v>4256</v>
      </c>
      <c r="I370" s="32"/>
      <c r="J370" s="32"/>
      <c r="K370" s="32"/>
      <c r="L370" s="32"/>
      <c r="M370" s="32"/>
      <c r="N370" s="316" t="s">
        <v>3856</v>
      </c>
    </row>
    <row r="371" spans="1:14" s="373" customFormat="1" ht="18.75" x14ac:dyDescent="0.2">
      <c r="A371" s="32">
        <f>ROW()-ROW(สำนักงาน!$A$6)+1</f>
        <v>366</v>
      </c>
      <c r="B371" s="52" t="s">
        <v>3148</v>
      </c>
      <c r="C371" s="32" t="s">
        <v>3183</v>
      </c>
      <c r="D371" s="32" t="s">
        <v>3184</v>
      </c>
      <c r="E371" s="53" t="s">
        <v>2862</v>
      </c>
      <c r="F371" s="54">
        <v>749</v>
      </c>
      <c r="G371" s="32" t="s">
        <v>2893</v>
      </c>
      <c r="H371" s="479" t="s">
        <v>4256</v>
      </c>
      <c r="I371" s="32"/>
      <c r="J371" s="32"/>
      <c r="K371" s="32"/>
      <c r="L371" s="32"/>
      <c r="M371" s="32"/>
      <c r="N371" s="316" t="s">
        <v>3856</v>
      </c>
    </row>
    <row r="372" spans="1:14" s="373" customFormat="1" ht="18.75" x14ac:dyDescent="0.2">
      <c r="A372" s="32">
        <f>ROW()-ROW(สำนักงาน!$A$6)+1</f>
        <v>367</v>
      </c>
      <c r="B372" s="52" t="s">
        <v>3148</v>
      </c>
      <c r="C372" s="32" t="s">
        <v>3185</v>
      </c>
      <c r="D372" s="32" t="s">
        <v>3186</v>
      </c>
      <c r="E372" s="53" t="s">
        <v>2862</v>
      </c>
      <c r="F372" s="54">
        <v>749</v>
      </c>
      <c r="G372" s="32" t="s">
        <v>2893</v>
      </c>
      <c r="H372" s="479" t="s">
        <v>4256</v>
      </c>
      <c r="I372" s="32"/>
      <c r="J372" s="32"/>
      <c r="K372" s="32"/>
      <c r="L372" s="32"/>
      <c r="M372" s="32"/>
      <c r="N372" s="316" t="s">
        <v>3856</v>
      </c>
    </row>
    <row r="373" spans="1:14" s="373" customFormat="1" ht="18.75" x14ac:dyDescent="0.2">
      <c r="A373" s="32">
        <f>ROW()-ROW(สำนักงาน!$A$6)+1</f>
        <v>368</v>
      </c>
      <c r="B373" s="52" t="s">
        <v>3148</v>
      </c>
      <c r="C373" s="32" t="s">
        <v>3187</v>
      </c>
      <c r="D373" s="32" t="s">
        <v>3188</v>
      </c>
      <c r="E373" s="53" t="s">
        <v>2862</v>
      </c>
      <c r="F373" s="54">
        <v>749</v>
      </c>
      <c r="G373" s="32" t="s">
        <v>2893</v>
      </c>
      <c r="H373" s="479" t="s">
        <v>4256</v>
      </c>
      <c r="I373" s="32"/>
      <c r="J373" s="32"/>
      <c r="K373" s="32"/>
      <c r="L373" s="32"/>
      <c r="M373" s="32"/>
      <c r="N373" s="316" t="s">
        <v>3856</v>
      </c>
    </row>
    <row r="374" spans="1:14" s="373" customFormat="1" ht="37.5" x14ac:dyDescent="0.2">
      <c r="A374" s="32">
        <f>ROW()-ROW(สำนักงาน!$A$6)+1</f>
        <v>369</v>
      </c>
      <c r="B374" s="52" t="s">
        <v>3189</v>
      </c>
      <c r="C374" s="32" t="s">
        <v>3190</v>
      </c>
      <c r="D374" s="32" t="s">
        <v>3191</v>
      </c>
      <c r="E374" s="53" t="s">
        <v>2862</v>
      </c>
      <c r="F374" s="54">
        <v>1284</v>
      </c>
      <c r="G374" s="32" t="s">
        <v>2893</v>
      </c>
      <c r="H374" s="479" t="s">
        <v>4256</v>
      </c>
      <c r="I374" s="32"/>
      <c r="J374" s="32"/>
      <c r="K374" s="32"/>
      <c r="L374" s="32"/>
      <c r="M374" s="32"/>
      <c r="N374" s="285" t="s">
        <v>3854</v>
      </c>
    </row>
    <row r="375" spans="1:14" s="373" customFormat="1" ht="37.5" x14ac:dyDescent="0.2">
      <c r="A375" s="32">
        <f>ROW()-ROW(สำนักงาน!$A$6)+1</f>
        <v>370</v>
      </c>
      <c r="B375" s="52" t="s">
        <v>3189</v>
      </c>
      <c r="C375" s="32" t="s">
        <v>3192</v>
      </c>
      <c r="D375" s="32" t="s">
        <v>3193</v>
      </c>
      <c r="E375" s="53" t="s">
        <v>2862</v>
      </c>
      <c r="F375" s="54">
        <v>1284</v>
      </c>
      <c r="G375" s="32" t="s">
        <v>2893</v>
      </c>
      <c r="H375" s="479" t="s">
        <v>4256</v>
      </c>
      <c r="I375" s="32"/>
      <c r="J375" s="32"/>
      <c r="K375" s="32"/>
      <c r="L375" s="32"/>
      <c r="M375" s="32"/>
      <c r="N375" s="285" t="s">
        <v>3854</v>
      </c>
    </row>
    <row r="376" spans="1:14" s="373" customFormat="1" ht="37.5" x14ac:dyDescent="0.2">
      <c r="A376" s="32">
        <f>ROW()-ROW(สำนักงาน!$A$6)+1</f>
        <v>371</v>
      </c>
      <c r="B376" s="52" t="s">
        <v>3189</v>
      </c>
      <c r="C376" s="32" t="s">
        <v>3194</v>
      </c>
      <c r="D376" s="32" t="s">
        <v>3195</v>
      </c>
      <c r="E376" s="53" t="s">
        <v>2862</v>
      </c>
      <c r="F376" s="54">
        <v>1284</v>
      </c>
      <c r="G376" s="32" t="s">
        <v>2893</v>
      </c>
      <c r="H376" s="479" t="s">
        <v>4256</v>
      </c>
      <c r="I376" s="32"/>
      <c r="J376" s="32"/>
      <c r="K376" s="32"/>
      <c r="L376" s="32"/>
      <c r="M376" s="32"/>
      <c r="N376" s="285" t="s">
        <v>3854</v>
      </c>
    </row>
    <row r="377" spans="1:14" s="373" customFormat="1" ht="37.5" x14ac:dyDescent="0.2">
      <c r="A377" s="32">
        <f>ROW()-ROW(สำนักงาน!$A$6)+1</f>
        <v>372</v>
      </c>
      <c r="B377" s="52" t="s">
        <v>3189</v>
      </c>
      <c r="C377" s="32" t="s">
        <v>3196</v>
      </c>
      <c r="D377" s="32" t="s">
        <v>3197</v>
      </c>
      <c r="E377" s="53" t="s">
        <v>2862</v>
      </c>
      <c r="F377" s="54">
        <v>1284</v>
      </c>
      <c r="G377" s="32" t="s">
        <v>2893</v>
      </c>
      <c r="H377" s="479" t="s">
        <v>4256</v>
      </c>
      <c r="I377" s="32"/>
      <c r="J377" s="32"/>
      <c r="K377" s="32"/>
      <c r="L377" s="32"/>
      <c r="M377" s="32"/>
      <c r="N377" s="285" t="s">
        <v>3854</v>
      </c>
    </row>
    <row r="378" spans="1:14" s="373" customFormat="1" ht="37.5" x14ac:dyDescent="0.2">
      <c r="A378" s="32">
        <f>ROW()-ROW(สำนักงาน!$A$6)+1</f>
        <v>373</v>
      </c>
      <c r="B378" s="52" t="s">
        <v>3189</v>
      </c>
      <c r="C378" s="32" t="s">
        <v>3198</v>
      </c>
      <c r="D378" s="32" t="s">
        <v>3199</v>
      </c>
      <c r="E378" s="53" t="s">
        <v>2862</v>
      </c>
      <c r="F378" s="54">
        <v>1284</v>
      </c>
      <c r="G378" s="32" t="s">
        <v>2893</v>
      </c>
      <c r="H378" s="479" t="s">
        <v>4256</v>
      </c>
      <c r="I378" s="32"/>
      <c r="J378" s="32"/>
      <c r="K378" s="32"/>
      <c r="L378" s="32"/>
      <c r="M378" s="32"/>
      <c r="N378" s="285" t="s">
        <v>3854</v>
      </c>
    </row>
    <row r="379" spans="1:14" s="373" customFormat="1" ht="37.5" x14ac:dyDescent="0.2">
      <c r="A379" s="32">
        <f>ROW()-ROW(สำนักงาน!$A$6)+1</f>
        <v>374</v>
      </c>
      <c r="B379" s="52" t="s">
        <v>3189</v>
      </c>
      <c r="C379" s="32" t="s">
        <v>3200</v>
      </c>
      <c r="D379" s="32" t="s">
        <v>3201</v>
      </c>
      <c r="E379" s="53" t="s">
        <v>2862</v>
      </c>
      <c r="F379" s="54">
        <v>1284</v>
      </c>
      <c r="G379" s="32" t="s">
        <v>2893</v>
      </c>
      <c r="H379" s="479" t="s">
        <v>4256</v>
      </c>
      <c r="I379" s="32"/>
      <c r="J379" s="32"/>
      <c r="K379" s="32"/>
      <c r="L379" s="32"/>
      <c r="M379" s="32"/>
      <c r="N379" s="285" t="s">
        <v>3854</v>
      </c>
    </row>
    <row r="380" spans="1:14" s="373" customFormat="1" ht="37.5" x14ac:dyDescent="0.2">
      <c r="A380" s="32">
        <f>ROW()-ROW(สำนักงาน!$A$6)+1</f>
        <v>375</v>
      </c>
      <c r="B380" s="52" t="s">
        <v>3189</v>
      </c>
      <c r="C380" s="32" t="s">
        <v>3202</v>
      </c>
      <c r="D380" s="32" t="s">
        <v>3203</v>
      </c>
      <c r="E380" s="53" t="s">
        <v>2862</v>
      </c>
      <c r="F380" s="54">
        <v>1284</v>
      </c>
      <c r="G380" s="32" t="s">
        <v>2893</v>
      </c>
      <c r="H380" s="479" t="s">
        <v>4256</v>
      </c>
      <c r="I380" s="32"/>
      <c r="J380" s="32"/>
      <c r="K380" s="32"/>
      <c r="L380" s="32"/>
      <c r="M380" s="32"/>
      <c r="N380" s="285" t="s">
        <v>3854</v>
      </c>
    </row>
    <row r="381" spans="1:14" s="373" customFormat="1" ht="37.5" x14ac:dyDescent="0.2">
      <c r="A381" s="32">
        <f>ROW()-ROW(สำนักงาน!$A$6)+1</f>
        <v>376</v>
      </c>
      <c r="B381" s="52" t="s">
        <v>3189</v>
      </c>
      <c r="C381" s="32" t="s">
        <v>3204</v>
      </c>
      <c r="D381" s="32" t="s">
        <v>3205</v>
      </c>
      <c r="E381" s="53" t="s">
        <v>2862</v>
      </c>
      <c r="F381" s="54">
        <v>1284</v>
      </c>
      <c r="G381" s="32" t="s">
        <v>2893</v>
      </c>
      <c r="H381" s="479" t="s">
        <v>4256</v>
      </c>
      <c r="I381" s="32"/>
      <c r="J381" s="32"/>
      <c r="K381" s="32"/>
      <c r="L381" s="32"/>
      <c r="M381" s="32"/>
      <c r="N381" s="285" t="s">
        <v>3854</v>
      </c>
    </row>
    <row r="382" spans="1:14" s="373" customFormat="1" ht="37.5" x14ac:dyDescent="0.2">
      <c r="A382" s="32">
        <f>ROW()-ROW(สำนักงาน!$A$6)+1</f>
        <v>377</v>
      </c>
      <c r="B382" s="52" t="s">
        <v>3189</v>
      </c>
      <c r="C382" s="32" t="s">
        <v>3206</v>
      </c>
      <c r="D382" s="32" t="s">
        <v>3207</v>
      </c>
      <c r="E382" s="53" t="s">
        <v>2862</v>
      </c>
      <c r="F382" s="54">
        <v>1284</v>
      </c>
      <c r="G382" s="32" t="s">
        <v>2893</v>
      </c>
      <c r="H382" s="479" t="s">
        <v>4256</v>
      </c>
      <c r="I382" s="32"/>
      <c r="J382" s="32"/>
      <c r="K382" s="32"/>
      <c r="L382" s="32"/>
      <c r="M382" s="32"/>
      <c r="N382" s="285" t="s">
        <v>3854</v>
      </c>
    </row>
    <row r="383" spans="1:14" s="373" customFormat="1" ht="37.5" x14ac:dyDescent="0.2">
      <c r="A383" s="32">
        <f>ROW()-ROW(สำนักงาน!$A$6)+1</f>
        <v>378</v>
      </c>
      <c r="B383" s="52" t="s">
        <v>3189</v>
      </c>
      <c r="C383" s="32" t="s">
        <v>3208</v>
      </c>
      <c r="D383" s="32" t="s">
        <v>3209</v>
      </c>
      <c r="E383" s="53" t="s">
        <v>2862</v>
      </c>
      <c r="F383" s="54">
        <v>1284</v>
      </c>
      <c r="G383" s="32" t="s">
        <v>2893</v>
      </c>
      <c r="H383" s="479" t="s">
        <v>4256</v>
      </c>
      <c r="I383" s="32"/>
      <c r="J383" s="32"/>
      <c r="K383" s="32"/>
      <c r="L383" s="32"/>
      <c r="M383" s="32"/>
      <c r="N383" s="285" t="s">
        <v>3854</v>
      </c>
    </row>
    <row r="384" spans="1:14" s="373" customFormat="1" ht="37.5" x14ac:dyDescent="0.2">
      <c r="A384" s="32">
        <f>ROW()-ROW(สำนักงาน!$A$6)+1</f>
        <v>379</v>
      </c>
      <c r="B384" s="52" t="s">
        <v>3189</v>
      </c>
      <c r="C384" s="32" t="s">
        <v>3210</v>
      </c>
      <c r="D384" s="32" t="s">
        <v>3211</v>
      </c>
      <c r="E384" s="53" t="s">
        <v>2862</v>
      </c>
      <c r="F384" s="54">
        <v>1284</v>
      </c>
      <c r="G384" s="32" t="s">
        <v>2893</v>
      </c>
      <c r="H384" s="479" t="s">
        <v>4256</v>
      </c>
      <c r="I384" s="32"/>
      <c r="J384" s="32"/>
      <c r="K384" s="32"/>
      <c r="L384" s="32"/>
      <c r="M384" s="32"/>
      <c r="N384" s="285" t="s">
        <v>3854</v>
      </c>
    </row>
    <row r="385" spans="1:14" s="373" customFormat="1" ht="37.5" x14ac:dyDescent="0.2">
      <c r="A385" s="32">
        <f>ROW()-ROW(สำนักงาน!$A$6)+1</f>
        <v>380</v>
      </c>
      <c r="B385" s="52" t="s">
        <v>3189</v>
      </c>
      <c r="C385" s="32" t="s">
        <v>3212</v>
      </c>
      <c r="D385" s="32" t="s">
        <v>3213</v>
      </c>
      <c r="E385" s="53" t="s">
        <v>2862</v>
      </c>
      <c r="F385" s="54">
        <v>1284</v>
      </c>
      <c r="G385" s="32" t="s">
        <v>2893</v>
      </c>
      <c r="H385" s="479" t="s">
        <v>4256</v>
      </c>
      <c r="I385" s="32"/>
      <c r="J385" s="32"/>
      <c r="K385" s="32"/>
      <c r="L385" s="32"/>
      <c r="M385" s="32"/>
      <c r="N385" s="285" t="s">
        <v>3854</v>
      </c>
    </row>
    <row r="386" spans="1:14" s="373" customFormat="1" ht="37.5" x14ac:dyDescent="0.2">
      <c r="A386" s="32">
        <f>ROW()-ROW(สำนักงาน!$A$6)+1</f>
        <v>381</v>
      </c>
      <c r="B386" s="52" t="s">
        <v>3189</v>
      </c>
      <c r="C386" s="32" t="s">
        <v>3214</v>
      </c>
      <c r="D386" s="32" t="s">
        <v>3215</v>
      </c>
      <c r="E386" s="53" t="s">
        <v>2862</v>
      </c>
      <c r="F386" s="54">
        <v>1284</v>
      </c>
      <c r="G386" s="32" t="s">
        <v>2893</v>
      </c>
      <c r="H386" s="479" t="s">
        <v>4256</v>
      </c>
      <c r="I386" s="32"/>
      <c r="J386" s="32"/>
      <c r="K386" s="32"/>
      <c r="L386" s="32"/>
      <c r="M386" s="32"/>
      <c r="N386" s="285" t="s">
        <v>3854</v>
      </c>
    </row>
    <row r="387" spans="1:14" s="373" customFormat="1" ht="37.5" x14ac:dyDescent="0.2">
      <c r="A387" s="32">
        <f>ROW()-ROW(สำนักงาน!$A$6)+1</f>
        <v>382</v>
      </c>
      <c r="B387" s="52" t="s">
        <v>3189</v>
      </c>
      <c r="C387" s="32" t="s">
        <v>3216</v>
      </c>
      <c r="D387" s="32" t="s">
        <v>3217</v>
      </c>
      <c r="E387" s="53" t="s">
        <v>2862</v>
      </c>
      <c r="F387" s="54">
        <v>1284</v>
      </c>
      <c r="G387" s="32" t="s">
        <v>2893</v>
      </c>
      <c r="H387" s="479" t="s">
        <v>4256</v>
      </c>
      <c r="I387" s="32"/>
      <c r="J387" s="32"/>
      <c r="K387" s="32"/>
      <c r="L387" s="32"/>
      <c r="M387" s="32"/>
      <c r="N387" s="285" t="s">
        <v>3854</v>
      </c>
    </row>
    <row r="388" spans="1:14" s="373" customFormat="1" ht="37.5" x14ac:dyDescent="0.2">
      <c r="A388" s="32">
        <f>ROW()-ROW(สำนักงาน!$A$6)+1</f>
        <v>383</v>
      </c>
      <c r="B388" s="52" t="s">
        <v>3189</v>
      </c>
      <c r="C388" s="32" t="s">
        <v>3218</v>
      </c>
      <c r="D388" s="32" t="s">
        <v>3219</v>
      </c>
      <c r="E388" s="53" t="s">
        <v>2862</v>
      </c>
      <c r="F388" s="54">
        <v>1284</v>
      </c>
      <c r="G388" s="32" t="s">
        <v>2893</v>
      </c>
      <c r="H388" s="479" t="s">
        <v>4256</v>
      </c>
      <c r="I388" s="32"/>
      <c r="J388" s="32"/>
      <c r="K388" s="32"/>
      <c r="L388" s="32"/>
      <c r="M388" s="32"/>
      <c r="N388" s="285" t="s">
        <v>3854</v>
      </c>
    </row>
    <row r="389" spans="1:14" s="373" customFormat="1" ht="37.5" x14ac:dyDescent="0.2">
      <c r="A389" s="32">
        <f>ROW()-ROW(สำนักงาน!$A$6)+1</f>
        <v>384</v>
      </c>
      <c r="B389" s="52" t="s">
        <v>3189</v>
      </c>
      <c r="C389" s="32" t="s">
        <v>3220</v>
      </c>
      <c r="D389" s="32" t="s">
        <v>3221</v>
      </c>
      <c r="E389" s="53" t="s">
        <v>2862</v>
      </c>
      <c r="F389" s="54">
        <v>1284</v>
      </c>
      <c r="G389" s="32" t="s">
        <v>2893</v>
      </c>
      <c r="H389" s="479" t="s">
        <v>4256</v>
      </c>
      <c r="I389" s="32"/>
      <c r="J389" s="32"/>
      <c r="K389" s="32"/>
      <c r="L389" s="32"/>
      <c r="M389" s="32"/>
      <c r="N389" s="285" t="s">
        <v>3854</v>
      </c>
    </row>
    <row r="390" spans="1:14" s="370" customFormat="1" ht="18.75" x14ac:dyDescent="0.2">
      <c r="A390" s="32">
        <f>ROW()-ROW(สำนักงาน!$A$6)+1</f>
        <v>385</v>
      </c>
      <c r="B390" s="55" t="s">
        <v>582</v>
      </c>
      <c r="C390" s="13" t="s">
        <v>583</v>
      </c>
      <c r="D390" s="13" t="s">
        <v>584</v>
      </c>
      <c r="E390" s="53" t="s">
        <v>585</v>
      </c>
      <c r="F390" s="31">
        <v>5000</v>
      </c>
      <c r="G390" s="32" t="s">
        <v>586</v>
      </c>
      <c r="H390" s="32" t="s">
        <v>4256</v>
      </c>
      <c r="I390" s="32"/>
      <c r="J390" s="32"/>
      <c r="K390" s="32"/>
      <c r="L390" s="32"/>
      <c r="M390" s="32"/>
      <c r="N390" s="56" t="s">
        <v>568</v>
      </c>
    </row>
    <row r="391" spans="1:14" s="370" customFormat="1" ht="18.75" x14ac:dyDescent="0.2">
      <c r="A391" s="32">
        <f>ROW()-ROW(สำนักงาน!$A$6)+1</f>
        <v>386</v>
      </c>
      <c r="B391" s="55" t="s">
        <v>582</v>
      </c>
      <c r="C391" s="13" t="s">
        <v>587</v>
      </c>
      <c r="D391" s="13" t="s">
        <v>588</v>
      </c>
      <c r="E391" s="53" t="s">
        <v>585</v>
      </c>
      <c r="F391" s="31">
        <v>5000</v>
      </c>
      <c r="G391" s="32" t="s">
        <v>586</v>
      </c>
      <c r="H391" s="32" t="s">
        <v>4256</v>
      </c>
      <c r="I391" s="32"/>
      <c r="J391" s="32"/>
      <c r="K391" s="32"/>
      <c r="L391" s="32"/>
      <c r="M391" s="32"/>
      <c r="N391" s="56" t="s">
        <v>275</v>
      </c>
    </row>
    <row r="392" spans="1:14" s="370" customFormat="1" ht="18.75" x14ac:dyDescent="0.2">
      <c r="A392" s="32">
        <f>ROW()-ROW(สำนักงาน!$A$6)+1</f>
        <v>387</v>
      </c>
      <c r="B392" s="55" t="s">
        <v>589</v>
      </c>
      <c r="C392" s="13" t="s">
        <v>590</v>
      </c>
      <c r="D392" s="13" t="s">
        <v>591</v>
      </c>
      <c r="E392" s="53" t="s">
        <v>585</v>
      </c>
      <c r="F392" s="31">
        <v>5000</v>
      </c>
      <c r="G392" s="32" t="s">
        <v>586</v>
      </c>
      <c r="H392" s="32" t="s">
        <v>4256</v>
      </c>
      <c r="I392" s="32"/>
      <c r="J392" s="32"/>
      <c r="K392" s="32"/>
      <c r="L392" s="32"/>
      <c r="M392" s="32"/>
      <c r="N392" s="56" t="s">
        <v>571</v>
      </c>
    </row>
    <row r="393" spans="1:14" s="401" customFormat="1" ht="21" x14ac:dyDescent="0.2">
      <c r="A393" s="32">
        <f>ROW()-ROW(สำนักงาน!$A$6)+1</f>
        <v>388</v>
      </c>
      <c r="B393" s="55" t="s">
        <v>1598</v>
      </c>
      <c r="C393" s="13" t="s">
        <v>1599</v>
      </c>
      <c r="D393" s="13" t="s">
        <v>1600</v>
      </c>
      <c r="E393" s="53" t="s">
        <v>1592</v>
      </c>
      <c r="F393" s="31">
        <v>1900</v>
      </c>
      <c r="G393" s="32" t="s">
        <v>21</v>
      </c>
      <c r="H393" s="32" t="s">
        <v>4256</v>
      </c>
      <c r="I393" s="32"/>
      <c r="J393" s="32"/>
      <c r="K393" s="32"/>
      <c r="L393" s="32"/>
      <c r="M393" s="32"/>
      <c r="N393" s="81"/>
    </row>
    <row r="394" spans="1:14" s="401" customFormat="1" ht="21" x14ac:dyDescent="0.2">
      <c r="A394" s="32">
        <f>ROW()-ROW(สำนักงาน!$A$6)+1</f>
        <v>389</v>
      </c>
      <c r="B394" s="55" t="s">
        <v>1598</v>
      </c>
      <c r="C394" s="13" t="s">
        <v>1601</v>
      </c>
      <c r="D394" s="13" t="s">
        <v>1602</v>
      </c>
      <c r="E394" s="53" t="s">
        <v>1592</v>
      </c>
      <c r="F394" s="31">
        <v>1900</v>
      </c>
      <c r="G394" s="32" t="s">
        <v>21</v>
      </c>
      <c r="H394" s="32" t="s">
        <v>4256</v>
      </c>
      <c r="I394" s="32"/>
      <c r="J394" s="32"/>
      <c r="K394" s="32"/>
      <c r="L394" s="32"/>
      <c r="M394" s="32"/>
      <c r="N394" s="81"/>
    </row>
    <row r="395" spans="1:14" s="401" customFormat="1" ht="21" x14ac:dyDescent="0.2">
      <c r="A395" s="32">
        <f>ROW()-ROW(สำนักงาน!$A$6)+1</f>
        <v>390</v>
      </c>
      <c r="B395" s="55" t="s">
        <v>1598</v>
      </c>
      <c r="C395" s="13" t="s">
        <v>1603</v>
      </c>
      <c r="D395" s="13" t="s">
        <v>1604</v>
      </c>
      <c r="E395" s="53" t="s">
        <v>1592</v>
      </c>
      <c r="F395" s="31">
        <v>1900</v>
      </c>
      <c r="G395" s="32" t="s">
        <v>21</v>
      </c>
      <c r="H395" s="32" t="s">
        <v>4256</v>
      </c>
      <c r="I395" s="32"/>
      <c r="J395" s="32"/>
      <c r="K395" s="32"/>
      <c r="L395" s="32"/>
      <c r="M395" s="32"/>
      <c r="N395" s="81"/>
    </row>
    <row r="396" spans="1:14" s="401" customFormat="1" ht="21" x14ac:dyDescent="0.2">
      <c r="A396" s="32">
        <f>ROW()-ROW(สำนักงาน!$A$6)+1</f>
        <v>391</v>
      </c>
      <c r="B396" s="55" t="s">
        <v>1598</v>
      </c>
      <c r="C396" s="13" t="s">
        <v>1605</v>
      </c>
      <c r="D396" s="13" t="s">
        <v>1606</v>
      </c>
      <c r="E396" s="53" t="s">
        <v>1592</v>
      </c>
      <c r="F396" s="31">
        <v>1900</v>
      </c>
      <c r="G396" s="32" t="s">
        <v>21</v>
      </c>
      <c r="H396" s="32" t="s">
        <v>4256</v>
      </c>
      <c r="I396" s="32"/>
      <c r="J396" s="32"/>
      <c r="K396" s="32"/>
      <c r="L396" s="32"/>
      <c r="M396" s="32"/>
      <c r="N396" s="81"/>
    </row>
    <row r="397" spans="1:14" s="401" customFormat="1" ht="21" x14ac:dyDescent="0.2">
      <c r="A397" s="32">
        <f>ROW()-ROW(สำนักงาน!$A$6)+1</f>
        <v>392</v>
      </c>
      <c r="B397" s="55" t="s">
        <v>1598</v>
      </c>
      <c r="C397" s="13" t="s">
        <v>1607</v>
      </c>
      <c r="D397" s="13" t="s">
        <v>1608</v>
      </c>
      <c r="E397" s="53" t="s">
        <v>1592</v>
      </c>
      <c r="F397" s="31">
        <v>1900</v>
      </c>
      <c r="G397" s="32" t="s">
        <v>21</v>
      </c>
      <c r="H397" s="32" t="s">
        <v>4256</v>
      </c>
      <c r="I397" s="32"/>
      <c r="J397" s="32"/>
      <c r="K397" s="32"/>
      <c r="L397" s="32"/>
      <c r="M397" s="32"/>
      <c r="N397" s="81"/>
    </row>
    <row r="398" spans="1:14" s="401" customFormat="1" ht="21" x14ac:dyDescent="0.2">
      <c r="A398" s="32">
        <f>ROW()-ROW(สำนักงาน!$A$6)+1</f>
        <v>393</v>
      </c>
      <c r="B398" s="55" t="s">
        <v>1598</v>
      </c>
      <c r="C398" s="13" t="s">
        <v>1609</v>
      </c>
      <c r="D398" s="13" t="s">
        <v>1610</v>
      </c>
      <c r="E398" s="53" t="s">
        <v>1592</v>
      </c>
      <c r="F398" s="31">
        <v>1900</v>
      </c>
      <c r="G398" s="32" t="s">
        <v>21</v>
      </c>
      <c r="H398" s="32" t="s">
        <v>4256</v>
      </c>
      <c r="I398" s="32"/>
      <c r="J398" s="32"/>
      <c r="K398" s="32"/>
      <c r="L398" s="32"/>
      <c r="M398" s="32"/>
      <c r="N398" s="81"/>
    </row>
    <row r="399" spans="1:14" s="401" customFormat="1" ht="21" x14ac:dyDescent="0.2">
      <c r="A399" s="32">
        <f>ROW()-ROW(สำนักงาน!$A$6)+1</f>
        <v>394</v>
      </c>
      <c r="B399" s="55" t="s">
        <v>1598</v>
      </c>
      <c r="C399" s="13" t="s">
        <v>1611</v>
      </c>
      <c r="D399" s="13" t="s">
        <v>1612</v>
      </c>
      <c r="E399" s="53" t="s">
        <v>1592</v>
      </c>
      <c r="F399" s="31">
        <v>1900</v>
      </c>
      <c r="G399" s="32" t="s">
        <v>21</v>
      </c>
      <c r="H399" s="32" t="s">
        <v>4256</v>
      </c>
      <c r="I399" s="32"/>
      <c r="J399" s="32"/>
      <c r="K399" s="32"/>
      <c r="L399" s="32"/>
      <c r="M399" s="32"/>
      <c r="N399" s="81"/>
    </row>
    <row r="400" spans="1:14" s="401" customFormat="1" ht="21" x14ac:dyDescent="0.2">
      <c r="A400" s="32">
        <f>ROW()-ROW(สำนักงาน!$A$6)+1</f>
        <v>395</v>
      </c>
      <c r="B400" s="55" t="s">
        <v>1598</v>
      </c>
      <c r="C400" s="13" t="s">
        <v>1613</v>
      </c>
      <c r="D400" s="13" t="s">
        <v>1614</v>
      </c>
      <c r="E400" s="53" t="s">
        <v>1592</v>
      </c>
      <c r="F400" s="31">
        <v>1900</v>
      </c>
      <c r="G400" s="32" t="s">
        <v>21</v>
      </c>
      <c r="H400" s="32" t="s">
        <v>4256</v>
      </c>
      <c r="I400" s="32"/>
      <c r="J400" s="32"/>
      <c r="K400" s="32"/>
      <c r="L400" s="32"/>
      <c r="M400" s="32"/>
      <c r="N400" s="81"/>
    </row>
    <row r="401" spans="1:14" s="401" customFormat="1" ht="21" x14ac:dyDescent="0.2">
      <c r="A401" s="32">
        <f>ROW()-ROW(สำนักงาน!$A$6)+1</f>
        <v>396</v>
      </c>
      <c r="B401" s="55" t="s">
        <v>1598</v>
      </c>
      <c r="C401" s="13" t="s">
        <v>1615</v>
      </c>
      <c r="D401" s="13" t="s">
        <v>1616</v>
      </c>
      <c r="E401" s="53" t="s">
        <v>1592</v>
      </c>
      <c r="F401" s="31">
        <v>1900</v>
      </c>
      <c r="G401" s="32" t="s">
        <v>21</v>
      </c>
      <c r="H401" s="32" t="s">
        <v>4256</v>
      </c>
      <c r="I401" s="32"/>
      <c r="J401" s="32"/>
      <c r="K401" s="32"/>
      <c r="L401" s="32"/>
      <c r="M401" s="32"/>
      <c r="N401" s="81"/>
    </row>
    <row r="402" spans="1:14" s="401" customFormat="1" ht="21" x14ac:dyDescent="0.2">
      <c r="A402" s="32">
        <f>ROW()-ROW(สำนักงาน!$A$6)+1</f>
        <v>397</v>
      </c>
      <c r="B402" s="55" t="s">
        <v>1598</v>
      </c>
      <c r="C402" s="13" t="s">
        <v>1617</v>
      </c>
      <c r="D402" s="13" t="s">
        <v>1618</v>
      </c>
      <c r="E402" s="53" t="s">
        <v>1592</v>
      </c>
      <c r="F402" s="31">
        <v>1900</v>
      </c>
      <c r="G402" s="32" t="s">
        <v>21</v>
      </c>
      <c r="H402" s="32" t="s">
        <v>4256</v>
      </c>
      <c r="I402" s="32"/>
      <c r="J402" s="32"/>
      <c r="K402" s="32"/>
      <c r="L402" s="32"/>
      <c r="M402" s="32"/>
      <c r="N402" s="81"/>
    </row>
    <row r="403" spans="1:14" s="401" customFormat="1" ht="21" x14ac:dyDescent="0.2">
      <c r="A403" s="32">
        <f>ROW()-ROW(สำนักงาน!$A$6)+1</f>
        <v>398</v>
      </c>
      <c r="B403" s="55" t="s">
        <v>1598</v>
      </c>
      <c r="C403" s="13" t="s">
        <v>1619</v>
      </c>
      <c r="D403" s="13" t="s">
        <v>1620</v>
      </c>
      <c r="E403" s="53" t="s">
        <v>1592</v>
      </c>
      <c r="F403" s="31">
        <v>1900</v>
      </c>
      <c r="G403" s="32" t="s">
        <v>21</v>
      </c>
      <c r="H403" s="32" t="s">
        <v>4256</v>
      </c>
      <c r="I403" s="32"/>
      <c r="J403" s="32"/>
      <c r="K403" s="32"/>
      <c r="L403" s="32"/>
      <c r="M403" s="32"/>
      <c r="N403" s="81"/>
    </row>
    <row r="404" spans="1:14" s="401" customFormat="1" ht="21" x14ac:dyDescent="0.2">
      <c r="A404" s="32">
        <f>ROW()-ROW(สำนักงาน!$A$6)+1</f>
        <v>399</v>
      </c>
      <c r="B404" s="82" t="s">
        <v>1735</v>
      </c>
      <c r="C404" s="13" t="s">
        <v>1736</v>
      </c>
      <c r="D404" s="13" t="s">
        <v>1737</v>
      </c>
      <c r="E404" s="53" t="s">
        <v>1738</v>
      </c>
      <c r="F404" s="31">
        <v>550</v>
      </c>
      <c r="G404" s="32" t="s">
        <v>21</v>
      </c>
      <c r="H404" s="32" t="s">
        <v>4256</v>
      </c>
      <c r="I404" s="32"/>
      <c r="J404" s="32"/>
      <c r="K404" s="32"/>
      <c r="L404" s="32"/>
      <c r="M404" s="32"/>
      <c r="N404" s="81"/>
    </row>
    <row r="405" spans="1:14" s="401" customFormat="1" ht="21" x14ac:dyDescent="0.2">
      <c r="A405" s="32">
        <f>ROW()-ROW(สำนักงาน!$A$6)+1</f>
        <v>400</v>
      </c>
      <c r="B405" s="82" t="s">
        <v>1735</v>
      </c>
      <c r="C405" s="13" t="s">
        <v>1739</v>
      </c>
      <c r="D405" s="13" t="s">
        <v>1740</v>
      </c>
      <c r="E405" s="53" t="s">
        <v>1738</v>
      </c>
      <c r="F405" s="31">
        <v>550</v>
      </c>
      <c r="G405" s="32" t="s">
        <v>21</v>
      </c>
      <c r="H405" s="32" t="s">
        <v>4256</v>
      </c>
      <c r="I405" s="32"/>
      <c r="J405" s="32"/>
      <c r="K405" s="32"/>
      <c r="L405" s="32"/>
      <c r="M405" s="32"/>
      <c r="N405" s="81"/>
    </row>
    <row r="406" spans="1:14" s="401" customFormat="1" ht="21" x14ac:dyDescent="0.2">
      <c r="A406" s="32">
        <f>ROW()-ROW(สำนักงาน!$A$6)+1</f>
        <v>401</v>
      </c>
      <c r="B406" s="82" t="s">
        <v>1735</v>
      </c>
      <c r="C406" s="13" t="s">
        <v>1741</v>
      </c>
      <c r="D406" s="13" t="s">
        <v>1742</v>
      </c>
      <c r="E406" s="53" t="s">
        <v>1738</v>
      </c>
      <c r="F406" s="31">
        <v>550</v>
      </c>
      <c r="G406" s="32" t="s">
        <v>21</v>
      </c>
      <c r="H406" s="32" t="s">
        <v>4256</v>
      </c>
      <c r="I406" s="32"/>
      <c r="J406" s="32"/>
      <c r="K406" s="32"/>
      <c r="L406" s="32"/>
      <c r="M406" s="32"/>
      <c r="N406" s="81"/>
    </row>
    <row r="407" spans="1:14" s="401" customFormat="1" ht="21" x14ac:dyDescent="0.2">
      <c r="A407" s="32">
        <f>ROW()-ROW(สำนักงาน!$A$6)+1</f>
        <v>402</v>
      </c>
      <c r="B407" s="82" t="s">
        <v>1735</v>
      </c>
      <c r="C407" s="13" t="s">
        <v>1743</v>
      </c>
      <c r="D407" s="13" t="s">
        <v>1744</v>
      </c>
      <c r="E407" s="53" t="s">
        <v>1738</v>
      </c>
      <c r="F407" s="31">
        <v>550</v>
      </c>
      <c r="G407" s="32" t="s">
        <v>21</v>
      </c>
      <c r="H407" s="32" t="s">
        <v>4256</v>
      </c>
      <c r="I407" s="32"/>
      <c r="J407" s="32"/>
      <c r="K407" s="32"/>
      <c r="L407" s="32"/>
      <c r="M407" s="32"/>
      <c r="N407" s="81"/>
    </row>
    <row r="408" spans="1:14" s="401" customFormat="1" ht="21" x14ac:dyDescent="0.2">
      <c r="A408" s="32">
        <f>ROW()-ROW(สำนักงาน!$A$6)+1</f>
        <v>403</v>
      </c>
      <c r="B408" s="82" t="s">
        <v>1735</v>
      </c>
      <c r="C408" s="13" t="s">
        <v>1745</v>
      </c>
      <c r="D408" s="13" t="s">
        <v>1746</v>
      </c>
      <c r="E408" s="53" t="s">
        <v>1738</v>
      </c>
      <c r="F408" s="31">
        <v>550</v>
      </c>
      <c r="G408" s="32" t="s">
        <v>21</v>
      </c>
      <c r="H408" s="32" t="s">
        <v>4256</v>
      </c>
      <c r="I408" s="32"/>
      <c r="J408" s="32"/>
      <c r="K408" s="32"/>
      <c r="L408" s="32"/>
      <c r="M408" s="32"/>
      <c r="N408" s="81"/>
    </row>
    <row r="409" spans="1:14" s="401" customFormat="1" ht="21" x14ac:dyDescent="0.2">
      <c r="A409" s="32">
        <f>ROW()-ROW(สำนักงาน!$A$6)+1</f>
        <v>404</v>
      </c>
      <c r="B409" s="82" t="s">
        <v>1735</v>
      </c>
      <c r="C409" s="13" t="s">
        <v>1747</v>
      </c>
      <c r="D409" s="13" t="s">
        <v>1748</v>
      </c>
      <c r="E409" s="53" t="s">
        <v>1738</v>
      </c>
      <c r="F409" s="31">
        <v>550</v>
      </c>
      <c r="G409" s="32" t="s">
        <v>21</v>
      </c>
      <c r="H409" s="32" t="s">
        <v>4256</v>
      </c>
      <c r="I409" s="32"/>
      <c r="J409" s="32"/>
      <c r="K409" s="32"/>
      <c r="L409" s="32"/>
      <c r="M409" s="32"/>
      <c r="N409" s="81"/>
    </row>
    <row r="410" spans="1:14" s="401" customFormat="1" ht="21" x14ac:dyDescent="0.2">
      <c r="A410" s="32">
        <f>ROW()-ROW(สำนักงาน!$A$6)+1</f>
        <v>405</v>
      </c>
      <c r="B410" s="82" t="s">
        <v>1735</v>
      </c>
      <c r="C410" s="13" t="s">
        <v>1749</v>
      </c>
      <c r="D410" s="13" t="s">
        <v>1750</v>
      </c>
      <c r="E410" s="53" t="s">
        <v>1738</v>
      </c>
      <c r="F410" s="31">
        <v>550</v>
      </c>
      <c r="G410" s="32" t="s">
        <v>21</v>
      </c>
      <c r="H410" s="32" t="s">
        <v>4256</v>
      </c>
      <c r="I410" s="32"/>
      <c r="J410" s="32"/>
      <c r="K410" s="32"/>
      <c r="L410" s="32"/>
      <c r="M410" s="32"/>
      <c r="N410" s="81"/>
    </row>
    <row r="411" spans="1:14" s="401" customFormat="1" ht="21" x14ac:dyDescent="0.2">
      <c r="A411" s="32">
        <f>ROW()-ROW(สำนักงาน!$A$6)+1</f>
        <v>406</v>
      </c>
      <c r="B411" s="82" t="s">
        <v>1735</v>
      </c>
      <c r="C411" s="13" t="s">
        <v>1751</v>
      </c>
      <c r="D411" s="13" t="s">
        <v>1752</v>
      </c>
      <c r="E411" s="53" t="s">
        <v>1738</v>
      </c>
      <c r="F411" s="31">
        <v>550</v>
      </c>
      <c r="G411" s="32" t="s">
        <v>21</v>
      </c>
      <c r="H411" s="32" t="s">
        <v>4256</v>
      </c>
      <c r="I411" s="32"/>
      <c r="J411" s="32"/>
      <c r="K411" s="32"/>
      <c r="L411" s="32"/>
      <c r="M411" s="32"/>
      <c r="N411" s="81"/>
    </row>
    <row r="412" spans="1:14" s="401" customFormat="1" ht="21" x14ac:dyDescent="0.2">
      <c r="A412" s="32">
        <f>ROW()-ROW(สำนักงาน!$A$6)+1</f>
        <v>407</v>
      </c>
      <c r="B412" s="82" t="s">
        <v>1735</v>
      </c>
      <c r="C412" s="13" t="s">
        <v>1753</v>
      </c>
      <c r="D412" s="13" t="s">
        <v>1754</v>
      </c>
      <c r="E412" s="53" t="s">
        <v>1738</v>
      </c>
      <c r="F412" s="31">
        <v>550</v>
      </c>
      <c r="G412" s="32" t="s">
        <v>21</v>
      </c>
      <c r="H412" s="32" t="s">
        <v>4256</v>
      </c>
      <c r="I412" s="32"/>
      <c r="J412" s="32"/>
      <c r="K412" s="32"/>
      <c r="L412" s="32"/>
      <c r="M412" s="32"/>
      <c r="N412" s="81"/>
    </row>
    <row r="413" spans="1:14" s="401" customFormat="1" ht="21" x14ac:dyDescent="0.2">
      <c r="A413" s="32">
        <f>ROW()-ROW(สำนักงาน!$A$6)+1</f>
        <v>408</v>
      </c>
      <c r="B413" s="82" t="s">
        <v>1735</v>
      </c>
      <c r="C413" s="13" t="s">
        <v>1755</v>
      </c>
      <c r="D413" s="13" t="s">
        <v>1756</v>
      </c>
      <c r="E413" s="53" t="s">
        <v>1738</v>
      </c>
      <c r="F413" s="31">
        <v>550</v>
      </c>
      <c r="G413" s="32" t="s">
        <v>21</v>
      </c>
      <c r="H413" s="32" t="s">
        <v>4256</v>
      </c>
      <c r="I413" s="32"/>
      <c r="J413" s="32"/>
      <c r="K413" s="32"/>
      <c r="L413" s="32"/>
      <c r="M413" s="32"/>
      <c r="N413" s="81"/>
    </row>
    <row r="414" spans="1:14" s="401" customFormat="1" ht="21" x14ac:dyDescent="0.2">
      <c r="A414" s="32">
        <f>ROW()-ROW(สำนักงาน!$A$6)+1</f>
        <v>409</v>
      </c>
      <c r="B414" s="82" t="s">
        <v>1735</v>
      </c>
      <c r="C414" s="13" t="s">
        <v>1757</v>
      </c>
      <c r="D414" s="13" t="s">
        <v>1758</v>
      </c>
      <c r="E414" s="53" t="s">
        <v>1738</v>
      </c>
      <c r="F414" s="31">
        <v>550</v>
      </c>
      <c r="G414" s="32" t="s">
        <v>21</v>
      </c>
      <c r="H414" s="32" t="s">
        <v>4256</v>
      </c>
      <c r="I414" s="32"/>
      <c r="J414" s="32"/>
      <c r="K414" s="32"/>
      <c r="L414" s="32"/>
      <c r="M414" s="32"/>
      <c r="N414" s="81"/>
    </row>
    <row r="415" spans="1:14" s="401" customFormat="1" ht="21" x14ac:dyDescent="0.2">
      <c r="A415" s="32">
        <f>ROW()-ROW(สำนักงาน!$A$6)+1</f>
        <v>410</v>
      </c>
      <c r="B415" s="82" t="s">
        <v>1735</v>
      </c>
      <c r="C415" s="13" t="s">
        <v>1759</v>
      </c>
      <c r="D415" s="13" t="s">
        <v>1760</v>
      </c>
      <c r="E415" s="53" t="s">
        <v>1738</v>
      </c>
      <c r="F415" s="31">
        <v>550</v>
      </c>
      <c r="G415" s="32" t="s">
        <v>21</v>
      </c>
      <c r="H415" s="32" t="s">
        <v>4256</v>
      </c>
      <c r="I415" s="32"/>
      <c r="J415" s="32"/>
      <c r="K415" s="32"/>
      <c r="L415" s="32"/>
      <c r="M415" s="32"/>
      <c r="N415" s="81"/>
    </row>
    <row r="416" spans="1:14" s="401" customFormat="1" ht="21" x14ac:dyDescent="0.2">
      <c r="A416" s="32">
        <f>ROW()-ROW(สำนักงาน!$A$6)+1</f>
        <v>411</v>
      </c>
      <c r="B416" s="82" t="s">
        <v>1735</v>
      </c>
      <c r="C416" s="13" t="s">
        <v>1761</v>
      </c>
      <c r="D416" s="13" t="s">
        <v>1762</v>
      </c>
      <c r="E416" s="53" t="s">
        <v>1738</v>
      </c>
      <c r="F416" s="31">
        <v>550</v>
      </c>
      <c r="G416" s="32" t="s">
        <v>21</v>
      </c>
      <c r="H416" s="32" t="s">
        <v>4256</v>
      </c>
      <c r="I416" s="32"/>
      <c r="J416" s="32"/>
      <c r="K416" s="32"/>
      <c r="L416" s="32"/>
      <c r="M416" s="32"/>
      <c r="N416" s="81"/>
    </row>
    <row r="417" spans="1:14" s="401" customFormat="1" ht="21" x14ac:dyDescent="0.2">
      <c r="A417" s="32">
        <f>ROW()-ROW(สำนักงาน!$A$6)+1</f>
        <v>412</v>
      </c>
      <c r="B417" s="82" t="s">
        <v>1735</v>
      </c>
      <c r="C417" s="13" t="s">
        <v>1763</v>
      </c>
      <c r="D417" s="13" t="s">
        <v>1764</v>
      </c>
      <c r="E417" s="53" t="s">
        <v>1738</v>
      </c>
      <c r="F417" s="31">
        <v>550</v>
      </c>
      <c r="G417" s="32" t="s">
        <v>21</v>
      </c>
      <c r="H417" s="32" t="s">
        <v>4256</v>
      </c>
      <c r="I417" s="32"/>
      <c r="J417" s="32"/>
      <c r="K417" s="32"/>
      <c r="L417" s="32"/>
      <c r="M417" s="32"/>
      <c r="N417" s="81"/>
    </row>
    <row r="418" spans="1:14" s="401" customFormat="1" ht="21" x14ac:dyDescent="0.2">
      <c r="A418" s="32">
        <f>ROW()-ROW(สำนักงาน!$A$6)+1</f>
        <v>413</v>
      </c>
      <c r="B418" s="82" t="s">
        <v>1735</v>
      </c>
      <c r="C418" s="13" t="s">
        <v>1765</v>
      </c>
      <c r="D418" s="13" t="s">
        <v>1766</v>
      </c>
      <c r="E418" s="53" t="s">
        <v>1738</v>
      </c>
      <c r="F418" s="31">
        <v>550</v>
      </c>
      <c r="G418" s="32" t="s">
        <v>21</v>
      </c>
      <c r="H418" s="32" t="s">
        <v>4256</v>
      </c>
      <c r="I418" s="32"/>
      <c r="J418" s="32"/>
      <c r="K418" s="32"/>
      <c r="L418" s="32"/>
      <c r="M418" s="32"/>
      <c r="N418" s="81"/>
    </row>
    <row r="419" spans="1:14" s="401" customFormat="1" ht="21" x14ac:dyDescent="0.2">
      <c r="A419" s="32">
        <f>ROW()-ROW(สำนักงาน!$A$6)+1</f>
        <v>414</v>
      </c>
      <c r="B419" s="82" t="s">
        <v>1735</v>
      </c>
      <c r="C419" s="13" t="s">
        <v>1767</v>
      </c>
      <c r="D419" s="13" t="s">
        <v>1768</v>
      </c>
      <c r="E419" s="53" t="s">
        <v>1738</v>
      </c>
      <c r="F419" s="31">
        <v>550</v>
      </c>
      <c r="G419" s="32" t="s">
        <v>21</v>
      </c>
      <c r="H419" s="32" t="s">
        <v>4256</v>
      </c>
      <c r="I419" s="32"/>
      <c r="J419" s="32"/>
      <c r="K419" s="32"/>
      <c r="L419" s="32"/>
      <c r="M419" s="32"/>
      <c r="N419" s="81"/>
    </row>
    <row r="420" spans="1:14" s="401" customFormat="1" ht="21" x14ac:dyDescent="0.2">
      <c r="A420" s="32">
        <f>ROW()-ROW(สำนักงาน!$A$6)+1</f>
        <v>415</v>
      </c>
      <c r="B420" s="82" t="s">
        <v>1735</v>
      </c>
      <c r="C420" s="13" t="s">
        <v>1769</v>
      </c>
      <c r="D420" s="13" t="s">
        <v>1770</v>
      </c>
      <c r="E420" s="53" t="s">
        <v>1738</v>
      </c>
      <c r="F420" s="31">
        <v>550</v>
      </c>
      <c r="G420" s="32" t="s">
        <v>21</v>
      </c>
      <c r="H420" s="32" t="s">
        <v>4256</v>
      </c>
      <c r="I420" s="32"/>
      <c r="J420" s="32"/>
      <c r="K420" s="32"/>
      <c r="L420" s="32"/>
      <c r="M420" s="32"/>
      <c r="N420" s="81"/>
    </row>
    <row r="421" spans="1:14" s="401" customFormat="1" ht="21" x14ac:dyDescent="0.2">
      <c r="A421" s="32">
        <f>ROW()-ROW(สำนักงาน!$A$6)+1</f>
        <v>416</v>
      </c>
      <c r="B421" s="82" t="s">
        <v>1735</v>
      </c>
      <c r="C421" s="13" t="s">
        <v>1771</v>
      </c>
      <c r="D421" s="13" t="s">
        <v>1772</v>
      </c>
      <c r="E421" s="53" t="s">
        <v>1738</v>
      </c>
      <c r="F421" s="31">
        <v>550</v>
      </c>
      <c r="G421" s="32" t="s">
        <v>21</v>
      </c>
      <c r="H421" s="32" t="s">
        <v>4256</v>
      </c>
      <c r="I421" s="32"/>
      <c r="J421" s="32"/>
      <c r="K421" s="32"/>
      <c r="L421" s="32"/>
      <c r="M421" s="32"/>
      <c r="N421" s="81"/>
    </row>
    <row r="422" spans="1:14" s="401" customFormat="1" ht="21" x14ac:dyDescent="0.2">
      <c r="A422" s="32">
        <f>ROW()-ROW(สำนักงาน!$A$6)+1</f>
        <v>417</v>
      </c>
      <c r="B422" s="82" t="s">
        <v>1735</v>
      </c>
      <c r="C422" s="13" t="s">
        <v>1773</v>
      </c>
      <c r="D422" s="13" t="s">
        <v>1774</v>
      </c>
      <c r="E422" s="53" t="s">
        <v>1738</v>
      </c>
      <c r="F422" s="31">
        <v>550</v>
      </c>
      <c r="G422" s="32" t="s">
        <v>21</v>
      </c>
      <c r="H422" s="32" t="s">
        <v>4256</v>
      </c>
      <c r="I422" s="32"/>
      <c r="J422" s="32"/>
      <c r="K422" s="32"/>
      <c r="L422" s="32"/>
      <c r="M422" s="32"/>
      <c r="N422" s="81"/>
    </row>
    <row r="423" spans="1:14" s="401" customFormat="1" ht="21" x14ac:dyDescent="0.2">
      <c r="A423" s="32">
        <f>ROW()-ROW(สำนักงาน!$A$6)+1</f>
        <v>418</v>
      </c>
      <c r="B423" s="82" t="s">
        <v>1735</v>
      </c>
      <c r="C423" s="13" t="s">
        <v>1775</v>
      </c>
      <c r="D423" s="13" t="s">
        <v>1776</v>
      </c>
      <c r="E423" s="53" t="s">
        <v>1738</v>
      </c>
      <c r="F423" s="31">
        <v>550</v>
      </c>
      <c r="G423" s="32" t="s">
        <v>21</v>
      </c>
      <c r="H423" s="32" t="s">
        <v>4256</v>
      </c>
      <c r="I423" s="32"/>
      <c r="J423" s="32"/>
      <c r="K423" s="32"/>
      <c r="L423" s="32"/>
      <c r="M423" s="32"/>
      <c r="N423" s="81"/>
    </row>
    <row r="424" spans="1:14" s="401" customFormat="1" ht="21" x14ac:dyDescent="0.2">
      <c r="A424" s="32">
        <f>ROW()-ROW(สำนักงาน!$A$6)+1</f>
        <v>419</v>
      </c>
      <c r="B424" s="82" t="s">
        <v>1777</v>
      </c>
      <c r="C424" s="32" t="s">
        <v>1778</v>
      </c>
      <c r="D424" s="13" t="s">
        <v>1779</v>
      </c>
      <c r="E424" s="53" t="s">
        <v>1780</v>
      </c>
      <c r="F424" s="31">
        <v>31999.99</v>
      </c>
      <c r="G424" s="32" t="s">
        <v>21</v>
      </c>
      <c r="H424" s="32" t="s">
        <v>4256</v>
      </c>
      <c r="I424" s="32"/>
      <c r="J424" s="32"/>
      <c r="K424" s="32"/>
      <c r="L424" s="32"/>
      <c r="M424" s="32"/>
      <c r="N424" s="81"/>
    </row>
    <row r="425" spans="1:14" s="401" customFormat="1" ht="21" x14ac:dyDescent="0.2">
      <c r="A425" s="32">
        <f>ROW()-ROW(สำนักงาน!$A$6)+1</f>
        <v>420</v>
      </c>
      <c r="B425" s="82" t="s">
        <v>1777</v>
      </c>
      <c r="C425" s="32" t="s">
        <v>1781</v>
      </c>
      <c r="D425" s="13" t="s">
        <v>1782</v>
      </c>
      <c r="E425" s="53" t="s">
        <v>1780</v>
      </c>
      <c r="F425" s="31">
        <v>32000</v>
      </c>
      <c r="G425" s="32" t="s">
        <v>21</v>
      </c>
      <c r="H425" s="32" t="s">
        <v>4256</v>
      </c>
      <c r="I425" s="32"/>
      <c r="J425" s="32"/>
      <c r="K425" s="32"/>
      <c r="L425" s="32"/>
      <c r="M425" s="32"/>
      <c r="N425" s="56"/>
    </row>
    <row r="426" spans="1:14" s="401" customFormat="1" ht="21" x14ac:dyDescent="0.2">
      <c r="A426" s="32">
        <f>ROW()-ROW(สำนักงาน!$A$6)+1</f>
        <v>421</v>
      </c>
      <c r="B426" s="82" t="s">
        <v>1777</v>
      </c>
      <c r="C426" s="32" t="s">
        <v>1783</v>
      </c>
      <c r="D426" s="13" t="s">
        <v>1784</v>
      </c>
      <c r="E426" s="53" t="s">
        <v>1780</v>
      </c>
      <c r="F426" s="31">
        <v>32000</v>
      </c>
      <c r="G426" s="32" t="s">
        <v>21</v>
      </c>
      <c r="H426" s="32" t="s">
        <v>4256</v>
      </c>
      <c r="I426" s="32"/>
      <c r="J426" s="32"/>
      <c r="K426" s="32"/>
      <c r="L426" s="32"/>
      <c r="M426" s="32"/>
      <c r="N426" s="56"/>
    </row>
    <row r="427" spans="1:14" s="401" customFormat="1" ht="21" x14ac:dyDescent="0.2">
      <c r="A427" s="32">
        <f>ROW()-ROW(สำนักงาน!$A$6)+1</f>
        <v>422</v>
      </c>
      <c r="B427" s="82" t="s">
        <v>1777</v>
      </c>
      <c r="C427" s="32" t="s">
        <v>1785</v>
      </c>
      <c r="D427" s="13" t="s">
        <v>1786</v>
      </c>
      <c r="E427" s="53" t="s">
        <v>1780</v>
      </c>
      <c r="F427" s="31">
        <v>32000</v>
      </c>
      <c r="G427" s="32" t="s">
        <v>21</v>
      </c>
      <c r="H427" s="32" t="s">
        <v>4256</v>
      </c>
      <c r="I427" s="32"/>
      <c r="J427" s="32"/>
      <c r="K427" s="32"/>
      <c r="L427" s="32"/>
      <c r="M427" s="32"/>
      <c r="N427" s="56"/>
    </row>
    <row r="428" spans="1:14" s="372" customFormat="1" ht="21.75" x14ac:dyDescent="0.3">
      <c r="A428" s="32">
        <f>ROW()-ROW(สำนักงาน!$A$6)+1</f>
        <v>423</v>
      </c>
      <c r="B428" s="82" t="s">
        <v>727</v>
      </c>
      <c r="C428" s="645" t="s">
        <v>4217</v>
      </c>
      <c r="D428" s="13" t="s">
        <v>1480</v>
      </c>
      <c r="E428" s="319" t="s">
        <v>1481</v>
      </c>
      <c r="F428" s="310">
        <v>2700</v>
      </c>
      <c r="G428" s="308" t="s">
        <v>1477</v>
      </c>
      <c r="H428" s="326" t="s">
        <v>4256</v>
      </c>
      <c r="I428" s="332"/>
      <c r="J428" s="332"/>
      <c r="K428" s="332"/>
      <c r="L428" s="332"/>
      <c r="M428" s="332"/>
      <c r="N428" s="424"/>
    </row>
    <row r="429" spans="1:14" s="372" customFormat="1" ht="21.75" x14ac:dyDescent="0.3">
      <c r="A429" s="32">
        <f>ROW()-ROW(สำนักงาน!$A$6)+1</f>
        <v>424</v>
      </c>
      <c r="B429" s="82" t="s">
        <v>727</v>
      </c>
      <c r="C429" s="645" t="s">
        <v>4218</v>
      </c>
      <c r="D429" s="13" t="s">
        <v>1482</v>
      </c>
      <c r="E429" s="319" t="s">
        <v>1481</v>
      </c>
      <c r="F429" s="310">
        <v>2700</v>
      </c>
      <c r="G429" s="308" t="s">
        <v>1477</v>
      </c>
      <c r="H429" s="326" t="s">
        <v>4256</v>
      </c>
      <c r="I429" s="332"/>
      <c r="J429" s="332"/>
      <c r="K429" s="332"/>
      <c r="L429" s="332"/>
      <c r="M429" s="332"/>
      <c r="N429" s="424"/>
    </row>
    <row r="430" spans="1:14" s="372" customFormat="1" ht="21.75" x14ac:dyDescent="0.3">
      <c r="A430" s="32">
        <f>ROW()-ROW(สำนักงาน!$A$6)+1</f>
        <v>425</v>
      </c>
      <c r="B430" s="82" t="s">
        <v>727</v>
      </c>
      <c r="C430" s="645" t="s">
        <v>4219</v>
      </c>
      <c r="D430" s="13" t="s">
        <v>1483</v>
      </c>
      <c r="E430" s="319" t="s">
        <v>1481</v>
      </c>
      <c r="F430" s="310">
        <v>2700</v>
      </c>
      <c r="G430" s="308" t="s">
        <v>1477</v>
      </c>
      <c r="H430" s="326" t="s">
        <v>4256</v>
      </c>
      <c r="I430" s="332"/>
      <c r="J430" s="332"/>
      <c r="K430" s="332"/>
      <c r="L430" s="332"/>
      <c r="M430" s="332"/>
      <c r="N430" s="424"/>
    </row>
    <row r="431" spans="1:14" s="372" customFormat="1" ht="21.75" x14ac:dyDescent="0.3">
      <c r="A431" s="32">
        <f>ROW()-ROW(สำนักงาน!$A$6)+1</f>
        <v>426</v>
      </c>
      <c r="B431" s="82" t="s">
        <v>727</v>
      </c>
      <c r="C431" s="645" t="s">
        <v>4220</v>
      </c>
      <c r="D431" s="13" t="s">
        <v>1484</v>
      </c>
      <c r="E431" s="319" t="s">
        <v>1481</v>
      </c>
      <c r="F431" s="310">
        <v>2700</v>
      </c>
      <c r="G431" s="308" t="s">
        <v>1477</v>
      </c>
      <c r="H431" s="326" t="s">
        <v>4256</v>
      </c>
      <c r="I431" s="332"/>
      <c r="J431" s="332"/>
      <c r="K431" s="332"/>
      <c r="L431" s="332"/>
      <c r="M431" s="332"/>
      <c r="N431" s="424"/>
    </row>
    <row r="432" spans="1:14" s="372" customFormat="1" ht="18.75" x14ac:dyDescent="0.3">
      <c r="A432" s="32">
        <f>ROW()-ROW(สำนักงาน!$A$6)+1</f>
        <v>427</v>
      </c>
      <c r="B432" s="82" t="s">
        <v>727</v>
      </c>
      <c r="C432" s="277" t="s">
        <v>4221</v>
      </c>
      <c r="D432" s="13" t="s">
        <v>1485</v>
      </c>
      <c r="E432" s="319" t="s">
        <v>1481</v>
      </c>
      <c r="F432" s="310">
        <v>2700</v>
      </c>
      <c r="G432" s="308" t="s">
        <v>1477</v>
      </c>
      <c r="H432" s="326" t="s">
        <v>4256</v>
      </c>
      <c r="I432" s="332"/>
      <c r="J432" s="332"/>
      <c r="K432" s="332"/>
      <c r="L432" s="332"/>
      <c r="M432" s="332"/>
      <c r="N432" s="424"/>
    </row>
    <row r="433" spans="1:14" s="370" customFormat="1" ht="18.75" x14ac:dyDescent="0.2">
      <c r="A433" s="32">
        <f>ROW()-ROW(สำนักงาน!$A$6)+1</f>
        <v>428</v>
      </c>
      <c r="B433" s="82" t="s">
        <v>727</v>
      </c>
      <c r="C433" s="277" t="s">
        <v>728</v>
      </c>
      <c r="D433" s="13" t="s">
        <v>729</v>
      </c>
      <c r="E433" s="53" t="s">
        <v>730</v>
      </c>
      <c r="F433" s="31">
        <v>2700</v>
      </c>
      <c r="G433" s="32" t="s">
        <v>731</v>
      </c>
      <c r="H433" s="32" t="s">
        <v>4256</v>
      </c>
      <c r="I433" s="32"/>
      <c r="J433" s="32"/>
      <c r="K433" s="32"/>
      <c r="L433" s="32"/>
      <c r="M433" s="32"/>
      <c r="N433" s="252" t="s">
        <v>4322</v>
      </c>
    </row>
    <row r="434" spans="1:14" s="370" customFormat="1" ht="18.75" x14ac:dyDescent="0.2">
      <c r="A434" s="32">
        <f>ROW()-ROW(สำนักงาน!$A$6)+1</f>
        <v>429</v>
      </c>
      <c r="B434" s="82" t="s">
        <v>727</v>
      </c>
      <c r="C434" s="277" t="s">
        <v>732</v>
      </c>
      <c r="D434" s="13" t="s">
        <v>733</v>
      </c>
      <c r="E434" s="53" t="s">
        <v>730</v>
      </c>
      <c r="F434" s="31">
        <v>2700</v>
      </c>
      <c r="G434" s="32" t="s">
        <v>731</v>
      </c>
      <c r="H434" s="32" t="s">
        <v>4256</v>
      </c>
      <c r="I434" s="32"/>
      <c r="J434" s="32"/>
      <c r="K434" s="32"/>
      <c r="L434" s="32"/>
      <c r="M434" s="32"/>
      <c r="N434" s="252" t="s">
        <v>423</v>
      </c>
    </row>
    <row r="435" spans="1:14" s="370" customFormat="1" ht="18.75" x14ac:dyDescent="0.2">
      <c r="A435" s="32">
        <f>ROW()-ROW(สำนักงาน!$A$6)+1</f>
        <v>430</v>
      </c>
      <c r="B435" s="79" t="s">
        <v>806</v>
      </c>
      <c r="C435" s="277" t="s">
        <v>807</v>
      </c>
      <c r="D435" s="32" t="s">
        <v>808</v>
      </c>
      <c r="E435" s="53">
        <v>24216</v>
      </c>
      <c r="F435" s="643">
        <v>3900</v>
      </c>
      <c r="G435" s="32" t="s">
        <v>737</v>
      </c>
      <c r="H435" s="32" t="s">
        <v>4256</v>
      </c>
      <c r="I435" s="32"/>
      <c r="J435" s="32"/>
      <c r="K435" s="32"/>
      <c r="L435" s="32"/>
      <c r="M435" s="32"/>
      <c r="N435" s="56" t="s">
        <v>334</v>
      </c>
    </row>
    <row r="436" spans="1:14" s="370" customFormat="1" ht="18.75" x14ac:dyDescent="0.2">
      <c r="A436" s="32">
        <f>ROW()-ROW(สำนักงาน!$A$6)+1</f>
        <v>431</v>
      </c>
      <c r="B436" s="79" t="s">
        <v>806</v>
      </c>
      <c r="C436" s="277" t="s">
        <v>809</v>
      </c>
      <c r="D436" s="32" t="s">
        <v>810</v>
      </c>
      <c r="E436" s="53">
        <v>24216</v>
      </c>
      <c r="F436" s="643">
        <v>3900</v>
      </c>
      <c r="G436" s="32" t="s">
        <v>737</v>
      </c>
      <c r="H436" s="32" t="s">
        <v>4256</v>
      </c>
      <c r="I436" s="32"/>
      <c r="J436" s="32"/>
      <c r="K436" s="32"/>
      <c r="L436" s="32"/>
      <c r="M436" s="32"/>
      <c r="N436" s="56" t="s">
        <v>802</v>
      </c>
    </row>
    <row r="437" spans="1:14" s="370" customFormat="1" ht="18.75" x14ac:dyDescent="0.2">
      <c r="A437" s="32">
        <f>ROW()-ROW(สำนักงาน!$A$6)+1</f>
        <v>432</v>
      </c>
      <c r="B437" s="79" t="s">
        <v>811</v>
      </c>
      <c r="C437" s="386" t="s">
        <v>812</v>
      </c>
      <c r="D437" s="32" t="s">
        <v>813</v>
      </c>
      <c r="E437" s="53">
        <v>24216</v>
      </c>
      <c r="F437" s="643">
        <v>1690</v>
      </c>
      <c r="G437" s="32" t="s">
        <v>737</v>
      </c>
      <c r="H437" s="32" t="s">
        <v>4256</v>
      </c>
      <c r="I437" s="32"/>
      <c r="J437" s="32"/>
      <c r="K437" s="32"/>
      <c r="L437" s="32"/>
      <c r="M437" s="32"/>
      <c r="N437" s="56" t="s">
        <v>4323</v>
      </c>
    </row>
    <row r="438" spans="1:14" s="370" customFormat="1" ht="37.5" x14ac:dyDescent="0.2">
      <c r="A438" s="32">
        <f>ROW()-ROW(สำนักงาน!$A$6)+1</f>
        <v>433</v>
      </c>
      <c r="B438" s="392" t="s">
        <v>3786</v>
      </c>
      <c r="C438" s="393" t="s">
        <v>4092</v>
      </c>
      <c r="D438" s="393" t="s">
        <v>35</v>
      </c>
      <c r="E438" s="34">
        <v>24482</v>
      </c>
      <c r="F438" s="54">
        <v>2500</v>
      </c>
      <c r="G438" s="393" t="s">
        <v>241</v>
      </c>
      <c r="H438" s="32" t="s">
        <v>4256</v>
      </c>
      <c r="I438" s="32"/>
      <c r="J438" s="32"/>
      <c r="K438" s="32"/>
      <c r="L438" s="32"/>
      <c r="M438" s="32"/>
      <c r="N438" s="56" t="s">
        <v>557</v>
      </c>
    </row>
    <row r="439" spans="1:14" s="370" customFormat="1" ht="37.5" x14ac:dyDescent="0.2">
      <c r="A439" s="32">
        <f>ROW()-ROW(สำนักงาน!$A$6)+1</f>
        <v>434</v>
      </c>
      <c r="B439" s="392" t="s">
        <v>3786</v>
      </c>
      <c r="C439" s="393" t="s">
        <v>4093</v>
      </c>
      <c r="D439" s="393" t="s">
        <v>39</v>
      </c>
      <c r="E439" s="34">
        <v>24482</v>
      </c>
      <c r="F439" s="54">
        <v>2500</v>
      </c>
      <c r="G439" s="393" t="s">
        <v>241</v>
      </c>
      <c r="H439" s="32" t="s">
        <v>4256</v>
      </c>
      <c r="I439" s="32"/>
      <c r="J439" s="32"/>
      <c r="K439" s="32"/>
      <c r="L439" s="32"/>
      <c r="M439" s="32"/>
      <c r="N439" s="56" t="s">
        <v>557</v>
      </c>
    </row>
    <row r="440" spans="1:14" s="370" customFormat="1" ht="37.5" x14ac:dyDescent="0.2">
      <c r="A440" s="32">
        <f>ROW()-ROW(สำนักงาน!$A$6)+1</f>
        <v>435</v>
      </c>
      <c r="B440" s="392" t="s">
        <v>34</v>
      </c>
      <c r="C440" s="393" t="s">
        <v>4094</v>
      </c>
      <c r="D440" s="393" t="s">
        <v>40</v>
      </c>
      <c r="E440" s="34">
        <v>24482</v>
      </c>
      <c r="F440" s="54">
        <v>2500</v>
      </c>
      <c r="G440" s="393" t="s">
        <v>241</v>
      </c>
      <c r="H440" s="32" t="s">
        <v>4256</v>
      </c>
      <c r="I440" s="32"/>
      <c r="J440" s="32"/>
      <c r="K440" s="32"/>
      <c r="L440" s="32"/>
      <c r="M440" s="32"/>
      <c r="N440" s="56" t="s">
        <v>557</v>
      </c>
    </row>
    <row r="441" spans="1:14" s="370" customFormat="1" ht="37.5" x14ac:dyDescent="0.2">
      <c r="A441" s="32">
        <f>ROW()-ROW(สำนักงาน!$A$6)+1</f>
        <v>436</v>
      </c>
      <c r="B441" s="392" t="s">
        <v>3786</v>
      </c>
      <c r="C441" s="393" t="s">
        <v>4095</v>
      </c>
      <c r="D441" s="393" t="s">
        <v>41</v>
      </c>
      <c r="E441" s="34">
        <v>24482</v>
      </c>
      <c r="F441" s="54">
        <v>2500</v>
      </c>
      <c r="G441" s="393" t="s">
        <v>241</v>
      </c>
      <c r="H441" s="32" t="s">
        <v>4256</v>
      </c>
      <c r="I441" s="32"/>
      <c r="J441" s="32"/>
      <c r="K441" s="32"/>
      <c r="L441" s="32"/>
      <c r="M441" s="32"/>
      <c r="N441" s="56" t="s">
        <v>557</v>
      </c>
    </row>
    <row r="442" spans="1:14" s="370" customFormat="1" ht="37.5" x14ac:dyDescent="0.2">
      <c r="A442" s="32">
        <f>ROW()-ROW(สำนักงาน!$A$6)+1</f>
        <v>437</v>
      </c>
      <c r="B442" s="392" t="s">
        <v>3786</v>
      </c>
      <c r="C442" s="393" t="s">
        <v>4096</v>
      </c>
      <c r="D442" s="393" t="s">
        <v>42</v>
      </c>
      <c r="E442" s="34">
        <v>24482</v>
      </c>
      <c r="F442" s="54">
        <v>2500</v>
      </c>
      <c r="G442" s="393" t="s">
        <v>241</v>
      </c>
      <c r="H442" s="32" t="s">
        <v>4256</v>
      </c>
      <c r="I442" s="32"/>
      <c r="J442" s="32"/>
      <c r="K442" s="32"/>
      <c r="L442" s="32"/>
      <c r="M442" s="32"/>
      <c r="N442" s="56" t="s">
        <v>557</v>
      </c>
    </row>
    <row r="443" spans="1:14" s="370" customFormat="1" ht="37.5" x14ac:dyDescent="0.2">
      <c r="A443" s="32">
        <f>ROW()-ROW(สำนักงาน!$A$6)+1</f>
        <v>438</v>
      </c>
      <c r="B443" s="392" t="s">
        <v>3786</v>
      </c>
      <c r="C443" s="393" t="s">
        <v>4097</v>
      </c>
      <c r="D443" s="393" t="s">
        <v>43</v>
      </c>
      <c r="E443" s="34">
        <v>24482</v>
      </c>
      <c r="F443" s="54">
        <v>2500</v>
      </c>
      <c r="G443" s="393" t="s">
        <v>241</v>
      </c>
      <c r="H443" s="32" t="s">
        <v>4256</v>
      </c>
      <c r="I443" s="32"/>
      <c r="J443" s="32"/>
      <c r="K443" s="32"/>
      <c r="L443" s="32"/>
      <c r="M443" s="32"/>
      <c r="N443" s="56" t="s">
        <v>557</v>
      </c>
    </row>
    <row r="444" spans="1:14" s="370" customFormat="1" ht="37.5" x14ac:dyDescent="0.2">
      <c r="A444" s="32">
        <f>ROW()-ROW(สำนักงาน!$A$6)+1</f>
        <v>439</v>
      </c>
      <c r="B444" s="392" t="s">
        <v>3786</v>
      </c>
      <c r="C444" s="393" t="s">
        <v>4098</v>
      </c>
      <c r="D444" s="393" t="s">
        <v>44</v>
      </c>
      <c r="E444" s="34">
        <v>24482</v>
      </c>
      <c r="F444" s="54">
        <v>2500</v>
      </c>
      <c r="G444" s="393" t="s">
        <v>241</v>
      </c>
      <c r="H444" s="32" t="s">
        <v>4256</v>
      </c>
      <c r="I444" s="32"/>
      <c r="J444" s="32"/>
      <c r="K444" s="32"/>
      <c r="L444" s="32"/>
      <c r="M444" s="32"/>
      <c r="N444" s="56" t="s">
        <v>557</v>
      </c>
    </row>
    <row r="445" spans="1:14" s="370" customFormat="1" ht="37.5" x14ac:dyDescent="0.2">
      <c r="A445" s="32">
        <f>ROW()-ROW(สำนักงาน!$A$6)+1</f>
        <v>440</v>
      </c>
      <c r="B445" s="392" t="s">
        <v>3786</v>
      </c>
      <c r="C445" s="393" t="s">
        <v>4099</v>
      </c>
      <c r="D445" s="393" t="s">
        <v>45</v>
      </c>
      <c r="E445" s="34">
        <v>24482</v>
      </c>
      <c r="F445" s="54">
        <v>2500</v>
      </c>
      <c r="G445" s="393" t="s">
        <v>241</v>
      </c>
      <c r="H445" s="32" t="s">
        <v>4256</v>
      </c>
      <c r="I445" s="32"/>
      <c r="J445" s="32"/>
      <c r="K445" s="32"/>
      <c r="L445" s="32"/>
      <c r="M445" s="32"/>
      <c r="N445" s="56" t="s">
        <v>557</v>
      </c>
    </row>
    <row r="446" spans="1:14" s="370" customFormat="1" ht="37.5" x14ac:dyDescent="0.2">
      <c r="A446" s="32">
        <f>ROW()-ROW(สำนักงาน!$A$6)+1</f>
        <v>441</v>
      </c>
      <c r="B446" s="392" t="s">
        <v>3786</v>
      </c>
      <c r="C446" s="393" t="s">
        <v>4100</v>
      </c>
      <c r="D446" s="393" t="s">
        <v>46</v>
      </c>
      <c r="E446" s="34">
        <v>24482</v>
      </c>
      <c r="F446" s="54">
        <v>2500</v>
      </c>
      <c r="G446" s="393" t="s">
        <v>241</v>
      </c>
      <c r="H446" s="32" t="s">
        <v>4256</v>
      </c>
      <c r="I446" s="32"/>
      <c r="J446" s="32"/>
      <c r="K446" s="32"/>
      <c r="L446" s="32"/>
      <c r="M446" s="32"/>
      <c r="N446" s="56" t="s">
        <v>557</v>
      </c>
    </row>
    <row r="447" spans="1:14" s="370" customFormat="1" ht="37.5" x14ac:dyDescent="0.2">
      <c r="A447" s="32">
        <f>ROW()-ROW(สำนักงาน!$A$6)+1</f>
        <v>442</v>
      </c>
      <c r="B447" s="392" t="s">
        <v>3786</v>
      </c>
      <c r="C447" s="393" t="s">
        <v>4101</v>
      </c>
      <c r="D447" s="393" t="s">
        <v>47</v>
      </c>
      <c r="E447" s="34">
        <v>24482</v>
      </c>
      <c r="F447" s="54">
        <v>2500</v>
      </c>
      <c r="G447" s="393" t="s">
        <v>241</v>
      </c>
      <c r="H447" s="32" t="s">
        <v>4256</v>
      </c>
      <c r="I447" s="32"/>
      <c r="J447" s="32"/>
      <c r="K447" s="32"/>
      <c r="L447" s="32"/>
      <c r="M447" s="32"/>
      <c r="N447" s="56" t="s">
        <v>557</v>
      </c>
    </row>
    <row r="448" spans="1:14" s="370" customFormat="1" ht="37.5" x14ac:dyDescent="0.2">
      <c r="A448" s="32">
        <f>ROW()-ROW(สำนักงาน!$A$6)+1</f>
        <v>443</v>
      </c>
      <c r="B448" s="392" t="s">
        <v>3786</v>
      </c>
      <c r="C448" s="393" t="s">
        <v>4102</v>
      </c>
      <c r="D448" s="393" t="s">
        <v>48</v>
      </c>
      <c r="E448" s="34">
        <v>24482</v>
      </c>
      <c r="F448" s="54">
        <v>2500</v>
      </c>
      <c r="G448" s="393" t="s">
        <v>241</v>
      </c>
      <c r="H448" s="32" t="s">
        <v>4256</v>
      </c>
      <c r="I448" s="32"/>
      <c r="J448" s="32"/>
      <c r="K448" s="32"/>
      <c r="L448" s="32"/>
      <c r="M448" s="32"/>
      <c r="N448" s="56" t="s">
        <v>557</v>
      </c>
    </row>
    <row r="449" spans="1:14" s="370" customFormat="1" ht="37.5" x14ac:dyDescent="0.2">
      <c r="A449" s="32">
        <f>ROW()-ROW(สำนักงาน!$A$6)+1</f>
        <v>444</v>
      </c>
      <c r="B449" s="392" t="s">
        <v>3786</v>
      </c>
      <c r="C449" s="393" t="s">
        <v>4103</v>
      </c>
      <c r="D449" s="393" t="s">
        <v>49</v>
      </c>
      <c r="E449" s="34">
        <v>24482</v>
      </c>
      <c r="F449" s="54">
        <v>2500</v>
      </c>
      <c r="G449" s="393" t="s">
        <v>241</v>
      </c>
      <c r="H449" s="32" t="s">
        <v>4256</v>
      </c>
      <c r="I449" s="32"/>
      <c r="J449" s="32"/>
      <c r="K449" s="32"/>
      <c r="L449" s="32"/>
      <c r="M449" s="32"/>
      <c r="N449" s="56" t="s">
        <v>557</v>
      </c>
    </row>
    <row r="450" spans="1:14" s="370" customFormat="1" ht="37.5" x14ac:dyDescent="0.2">
      <c r="A450" s="32">
        <f>ROW()-ROW(สำนักงาน!$A$6)+1</f>
        <v>445</v>
      </c>
      <c r="B450" s="392" t="s">
        <v>3786</v>
      </c>
      <c r="C450" s="393" t="s">
        <v>4104</v>
      </c>
      <c r="D450" s="393" t="s">
        <v>50</v>
      </c>
      <c r="E450" s="34">
        <v>24482</v>
      </c>
      <c r="F450" s="54">
        <v>2500</v>
      </c>
      <c r="G450" s="393" t="s">
        <v>241</v>
      </c>
      <c r="H450" s="32" t="s">
        <v>4256</v>
      </c>
      <c r="I450" s="32"/>
      <c r="J450" s="32"/>
      <c r="K450" s="32"/>
      <c r="L450" s="32"/>
      <c r="M450" s="32"/>
      <c r="N450" s="56" t="s">
        <v>557</v>
      </c>
    </row>
    <row r="451" spans="1:14" s="370" customFormat="1" ht="37.5" x14ac:dyDescent="0.2">
      <c r="A451" s="32">
        <f>ROW()-ROW(สำนักงาน!$A$6)+1</f>
        <v>446</v>
      </c>
      <c r="B451" s="392" t="s">
        <v>3786</v>
      </c>
      <c r="C451" s="393" t="s">
        <v>4105</v>
      </c>
      <c r="D451" s="393" t="s">
        <v>51</v>
      </c>
      <c r="E451" s="34">
        <v>24482</v>
      </c>
      <c r="F451" s="54">
        <v>2500</v>
      </c>
      <c r="G451" s="393" t="s">
        <v>241</v>
      </c>
      <c r="H451" s="32" t="s">
        <v>4256</v>
      </c>
      <c r="I451" s="32"/>
      <c r="J451" s="32"/>
      <c r="K451" s="32"/>
      <c r="L451" s="32"/>
      <c r="M451" s="32"/>
      <c r="N451" s="56" t="s">
        <v>557</v>
      </c>
    </row>
    <row r="452" spans="1:14" s="370" customFormat="1" ht="37.5" x14ac:dyDescent="0.2">
      <c r="A452" s="32">
        <f>ROW()-ROW(สำนักงาน!$A$6)+1</f>
        <v>447</v>
      </c>
      <c r="B452" s="392" t="s">
        <v>3786</v>
      </c>
      <c r="C452" s="393" t="s">
        <v>4106</v>
      </c>
      <c r="D452" s="393" t="s">
        <v>52</v>
      </c>
      <c r="E452" s="34">
        <v>24482</v>
      </c>
      <c r="F452" s="54">
        <v>2500</v>
      </c>
      <c r="G452" s="393" t="s">
        <v>241</v>
      </c>
      <c r="H452" s="32" t="s">
        <v>4256</v>
      </c>
      <c r="I452" s="32"/>
      <c r="J452" s="32"/>
      <c r="K452" s="32"/>
      <c r="L452" s="32"/>
      <c r="M452" s="32"/>
      <c r="N452" s="56" t="s">
        <v>557</v>
      </c>
    </row>
    <row r="453" spans="1:14" s="370" customFormat="1" ht="37.5" x14ac:dyDescent="0.2">
      <c r="A453" s="32">
        <f>ROW()-ROW(สำนักงาน!$A$6)+1</f>
        <v>448</v>
      </c>
      <c r="B453" s="392" t="s">
        <v>3786</v>
      </c>
      <c r="C453" s="393" t="s">
        <v>4107</v>
      </c>
      <c r="D453" s="393" t="s">
        <v>53</v>
      </c>
      <c r="E453" s="34">
        <v>24482</v>
      </c>
      <c r="F453" s="54">
        <v>2500</v>
      </c>
      <c r="G453" s="393" t="s">
        <v>241</v>
      </c>
      <c r="H453" s="32" t="s">
        <v>4256</v>
      </c>
      <c r="I453" s="32"/>
      <c r="J453" s="32"/>
      <c r="K453" s="32"/>
      <c r="L453" s="32"/>
      <c r="M453" s="32"/>
      <c r="N453" s="56" t="s">
        <v>557</v>
      </c>
    </row>
    <row r="454" spans="1:14" s="370" customFormat="1" ht="37.5" x14ac:dyDescent="0.2">
      <c r="A454" s="32">
        <f>ROW()-ROW(สำนักงาน!$A$6)+1</f>
        <v>449</v>
      </c>
      <c r="B454" s="392" t="s">
        <v>3786</v>
      </c>
      <c r="C454" s="393" t="s">
        <v>4108</v>
      </c>
      <c r="D454" s="393" t="s">
        <v>54</v>
      </c>
      <c r="E454" s="34">
        <v>24482</v>
      </c>
      <c r="F454" s="54">
        <v>2500</v>
      </c>
      <c r="G454" s="393" t="s">
        <v>241</v>
      </c>
      <c r="H454" s="32" t="s">
        <v>4256</v>
      </c>
      <c r="I454" s="32"/>
      <c r="J454" s="32"/>
      <c r="K454" s="32"/>
      <c r="L454" s="32"/>
      <c r="M454" s="32"/>
      <c r="N454" s="56" t="s">
        <v>557</v>
      </c>
    </row>
    <row r="455" spans="1:14" s="370" customFormat="1" ht="37.5" x14ac:dyDescent="0.2">
      <c r="A455" s="32">
        <f>ROW()-ROW(สำนักงาน!$A$6)+1</f>
        <v>450</v>
      </c>
      <c r="B455" s="392" t="s">
        <v>3786</v>
      </c>
      <c r="C455" s="393" t="s">
        <v>4109</v>
      </c>
      <c r="D455" s="393" t="s">
        <v>55</v>
      </c>
      <c r="E455" s="34">
        <v>24482</v>
      </c>
      <c r="F455" s="54">
        <v>2500</v>
      </c>
      <c r="G455" s="393" t="s">
        <v>241</v>
      </c>
      <c r="H455" s="32" t="s">
        <v>4256</v>
      </c>
      <c r="I455" s="32"/>
      <c r="J455" s="32"/>
      <c r="K455" s="32"/>
      <c r="L455" s="32"/>
      <c r="M455" s="32"/>
      <c r="N455" s="56" t="s">
        <v>557</v>
      </c>
    </row>
    <row r="456" spans="1:14" s="370" customFormat="1" ht="37.5" x14ac:dyDescent="0.2">
      <c r="A456" s="32">
        <f>ROW()-ROW(สำนักงาน!$A$6)+1</f>
        <v>451</v>
      </c>
      <c r="B456" s="392" t="s">
        <v>3786</v>
      </c>
      <c r="C456" s="393" t="s">
        <v>4110</v>
      </c>
      <c r="D456" s="393" t="s">
        <v>56</v>
      </c>
      <c r="E456" s="34">
        <v>24482</v>
      </c>
      <c r="F456" s="54">
        <v>2500</v>
      </c>
      <c r="G456" s="393" t="s">
        <v>241</v>
      </c>
      <c r="H456" s="32" t="s">
        <v>4256</v>
      </c>
      <c r="I456" s="32"/>
      <c r="J456" s="32"/>
      <c r="K456" s="32"/>
      <c r="L456" s="32"/>
      <c r="M456" s="32"/>
      <c r="N456" s="56" t="s">
        <v>557</v>
      </c>
    </row>
    <row r="457" spans="1:14" s="370" customFormat="1" ht="37.5" x14ac:dyDescent="0.2">
      <c r="A457" s="32">
        <f>ROW()-ROW(สำนักงาน!$A$6)+1</f>
        <v>452</v>
      </c>
      <c r="B457" s="392" t="s">
        <v>3786</v>
      </c>
      <c r="C457" s="393" t="s">
        <v>4111</v>
      </c>
      <c r="D457" s="393" t="s">
        <v>57</v>
      </c>
      <c r="E457" s="34">
        <v>24482</v>
      </c>
      <c r="F457" s="54">
        <v>2500</v>
      </c>
      <c r="G457" s="393" t="s">
        <v>241</v>
      </c>
      <c r="H457" s="32" t="s">
        <v>4256</v>
      </c>
      <c r="I457" s="32"/>
      <c r="J457" s="32"/>
      <c r="K457" s="32"/>
      <c r="L457" s="32"/>
      <c r="M457" s="32"/>
      <c r="N457" s="56" t="s">
        <v>557</v>
      </c>
    </row>
    <row r="458" spans="1:14" s="370" customFormat="1" ht="37.5" x14ac:dyDescent="0.2">
      <c r="A458" s="32">
        <f>ROW()-ROW(สำนักงาน!$A$6)+1</f>
        <v>453</v>
      </c>
      <c r="B458" s="392" t="s">
        <v>3786</v>
      </c>
      <c r="C458" s="393" t="s">
        <v>4112</v>
      </c>
      <c r="D458" s="393" t="s">
        <v>58</v>
      </c>
      <c r="E458" s="34">
        <v>24482</v>
      </c>
      <c r="F458" s="54">
        <v>2500</v>
      </c>
      <c r="G458" s="393" t="s">
        <v>241</v>
      </c>
      <c r="H458" s="32" t="s">
        <v>4256</v>
      </c>
      <c r="I458" s="32"/>
      <c r="J458" s="32"/>
      <c r="K458" s="32"/>
      <c r="L458" s="32"/>
      <c r="M458" s="32"/>
      <c r="N458" s="56" t="s">
        <v>557</v>
      </c>
    </row>
    <row r="459" spans="1:14" s="370" customFormat="1" ht="37.5" x14ac:dyDescent="0.2">
      <c r="A459" s="32">
        <f>ROW()-ROW(สำนักงาน!$A$6)+1</f>
        <v>454</v>
      </c>
      <c r="B459" s="392" t="s">
        <v>3786</v>
      </c>
      <c r="C459" s="393" t="s">
        <v>4113</v>
      </c>
      <c r="D459" s="393" t="s">
        <v>59</v>
      </c>
      <c r="E459" s="34">
        <v>24482</v>
      </c>
      <c r="F459" s="54">
        <v>2500</v>
      </c>
      <c r="G459" s="393" t="s">
        <v>241</v>
      </c>
      <c r="H459" s="32" t="s">
        <v>4256</v>
      </c>
      <c r="I459" s="32"/>
      <c r="J459" s="32"/>
      <c r="K459" s="32"/>
      <c r="L459" s="32"/>
      <c r="M459" s="32"/>
      <c r="N459" s="56" t="s">
        <v>557</v>
      </c>
    </row>
    <row r="460" spans="1:14" s="370" customFormat="1" ht="37.5" x14ac:dyDescent="0.2">
      <c r="A460" s="32">
        <f>ROW()-ROW(สำนักงาน!$A$6)+1</f>
        <v>455</v>
      </c>
      <c r="B460" s="392" t="s">
        <v>34</v>
      </c>
      <c r="C460" s="393" t="s">
        <v>4114</v>
      </c>
      <c r="D460" s="393" t="s">
        <v>3770</v>
      </c>
      <c r="E460" s="34">
        <v>24482</v>
      </c>
      <c r="F460" s="54">
        <v>2500</v>
      </c>
      <c r="G460" s="393" t="s">
        <v>241</v>
      </c>
      <c r="H460" s="32" t="s">
        <v>4256</v>
      </c>
      <c r="I460" s="32"/>
      <c r="J460" s="32"/>
      <c r="K460" s="32"/>
      <c r="L460" s="32"/>
      <c r="M460" s="32"/>
      <c r="N460" s="56" t="s">
        <v>557</v>
      </c>
    </row>
    <row r="461" spans="1:14" s="370" customFormat="1" ht="37.5" x14ac:dyDescent="0.2">
      <c r="A461" s="32">
        <f>ROW()-ROW(สำนักงาน!$A$6)+1</f>
        <v>456</v>
      </c>
      <c r="B461" s="392" t="s">
        <v>34</v>
      </c>
      <c r="C461" s="393" t="s">
        <v>4115</v>
      </c>
      <c r="D461" s="393" t="s">
        <v>3771</v>
      </c>
      <c r="E461" s="34">
        <v>24482</v>
      </c>
      <c r="F461" s="54">
        <v>2500</v>
      </c>
      <c r="G461" s="393" t="s">
        <v>241</v>
      </c>
      <c r="H461" s="32" t="s">
        <v>4256</v>
      </c>
      <c r="I461" s="32"/>
      <c r="J461" s="32"/>
      <c r="K461" s="32"/>
      <c r="L461" s="32"/>
      <c r="M461" s="32"/>
      <c r="N461" s="56" t="s">
        <v>557</v>
      </c>
    </row>
    <row r="462" spans="1:14" s="370" customFormat="1" ht="37.5" x14ac:dyDescent="0.2">
      <c r="A462" s="32">
        <f>ROW()-ROW(สำนักงาน!$A$6)+1</f>
        <v>457</v>
      </c>
      <c r="B462" s="392" t="s">
        <v>34</v>
      </c>
      <c r="C462" s="393" t="s">
        <v>4116</v>
      </c>
      <c r="D462" s="393" t="s">
        <v>3772</v>
      </c>
      <c r="E462" s="34">
        <v>24482</v>
      </c>
      <c r="F462" s="54">
        <v>2500</v>
      </c>
      <c r="G462" s="393" t="s">
        <v>241</v>
      </c>
      <c r="H462" s="32" t="s">
        <v>4256</v>
      </c>
      <c r="I462" s="32"/>
      <c r="J462" s="32"/>
      <c r="K462" s="32"/>
      <c r="L462" s="32"/>
      <c r="M462" s="32"/>
      <c r="N462" s="56" t="s">
        <v>557</v>
      </c>
    </row>
    <row r="463" spans="1:14" s="370" customFormat="1" ht="37.5" x14ac:dyDescent="0.2">
      <c r="A463" s="32">
        <f>ROW()-ROW(สำนักงาน!$A$6)+1</f>
        <v>458</v>
      </c>
      <c r="B463" s="392" t="s">
        <v>34</v>
      </c>
      <c r="C463" s="393" t="s">
        <v>4117</v>
      </c>
      <c r="D463" s="393" t="s">
        <v>3773</v>
      </c>
      <c r="E463" s="34">
        <v>24482</v>
      </c>
      <c r="F463" s="54">
        <v>2500</v>
      </c>
      <c r="G463" s="393" t="s">
        <v>241</v>
      </c>
      <c r="H463" s="32" t="s">
        <v>4256</v>
      </c>
      <c r="I463" s="32"/>
      <c r="J463" s="32"/>
      <c r="K463" s="32"/>
      <c r="L463" s="32"/>
      <c r="M463" s="32"/>
      <c r="N463" s="56" t="s">
        <v>557</v>
      </c>
    </row>
    <row r="464" spans="1:14" s="370" customFormat="1" ht="37.5" x14ac:dyDescent="0.2">
      <c r="A464" s="32">
        <f>ROW()-ROW(สำนักงาน!$A$6)+1</f>
        <v>459</v>
      </c>
      <c r="B464" s="392" t="s">
        <v>34</v>
      </c>
      <c r="C464" s="393" t="s">
        <v>4118</v>
      </c>
      <c r="D464" s="393" t="s">
        <v>3774</v>
      </c>
      <c r="E464" s="34">
        <v>24482</v>
      </c>
      <c r="F464" s="54">
        <v>2500</v>
      </c>
      <c r="G464" s="393" t="s">
        <v>241</v>
      </c>
      <c r="H464" s="32" t="s">
        <v>4256</v>
      </c>
      <c r="I464" s="32"/>
      <c r="J464" s="32"/>
      <c r="K464" s="32"/>
      <c r="L464" s="32"/>
      <c r="M464" s="32"/>
      <c r="N464" s="56" t="s">
        <v>557</v>
      </c>
    </row>
    <row r="465" spans="1:14" s="370" customFormat="1" ht="37.5" x14ac:dyDescent="0.2">
      <c r="A465" s="32">
        <f>ROW()-ROW(สำนักงาน!$A$6)+1</f>
        <v>460</v>
      </c>
      <c r="B465" s="392" t="s">
        <v>34</v>
      </c>
      <c r="C465" s="393" t="s">
        <v>4119</v>
      </c>
      <c r="D465" s="393" t="s">
        <v>3775</v>
      </c>
      <c r="E465" s="34">
        <v>24482</v>
      </c>
      <c r="F465" s="54">
        <v>2500</v>
      </c>
      <c r="G465" s="393" t="s">
        <v>241</v>
      </c>
      <c r="H465" s="32" t="s">
        <v>4256</v>
      </c>
      <c r="I465" s="32"/>
      <c r="J465" s="32"/>
      <c r="K465" s="32"/>
      <c r="L465" s="32"/>
      <c r="M465" s="32"/>
      <c r="N465" s="56" t="s">
        <v>557</v>
      </c>
    </row>
    <row r="466" spans="1:14" s="370" customFormat="1" ht="37.5" x14ac:dyDescent="0.2">
      <c r="A466" s="32">
        <f>ROW()-ROW(สำนักงาน!$A$6)+1</f>
        <v>461</v>
      </c>
      <c r="B466" s="392" t="s">
        <v>34</v>
      </c>
      <c r="C466" s="393" t="s">
        <v>4120</v>
      </c>
      <c r="D466" s="393" t="s">
        <v>3776</v>
      </c>
      <c r="E466" s="34">
        <v>24482</v>
      </c>
      <c r="F466" s="54">
        <v>2500</v>
      </c>
      <c r="G466" s="393" t="s">
        <v>241</v>
      </c>
      <c r="H466" s="32" t="s">
        <v>4256</v>
      </c>
      <c r="I466" s="32"/>
      <c r="J466" s="32"/>
      <c r="K466" s="32"/>
      <c r="L466" s="32"/>
      <c r="M466" s="32"/>
      <c r="N466" s="56" t="s">
        <v>557</v>
      </c>
    </row>
    <row r="467" spans="1:14" s="370" customFormat="1" ht="37.5" x14ac:dyDescent="0.2">
      <c r="A467" s="32">
        <f>ROW()-ROW(สำนักงาน!$A$6)+1</f>
        <v>462</v>
      </c>
      <c r="B467" s="392" t="s">
        <v>34</v>
      </c>
      <c r="C467" s="393" t="s">
        <v>4121</v>
      </c>
      <c r="D467" s="393" t="s">
        <v>3777</v>
      </c>
      <c r="E467" s="34">
        <v>24482</v>
      </c>
      <c r="F467" s="54">
        <v>2500</v>
      </c>
      <c r="G467" s="393" t="s">
        <v>241</v>
      </c>
      <c r="H467" s="32" t="s">
        <v>4256</v>
      </c>
      <c r="I467" s="32"/>
      <c r="J467" s="32"/>
      <c r="K467" s="32"/>
      <c r="L467" s="32"/>
      <c r="M467" s="32"/>
      <c r="N467" s="56" t="s">
        <v>557</v>
      </c>
    </row>
    <row r="468" spans="1:14" s="370" customFormat="1" ht="18.75" x14ac:dyDescent="0.2">
      <c r="A468" s="32">
        <f>ROW()-ROW(สำนักงาน!$A$6)+1</f>
        <v>463</v>
      </c>
      <c r="B468" s="392" t="s">
        <v>3802</v>
      </c>
      <c r="C468" s="393" t="s">
        <v>4122</v>
      </c>
      <c r="D468" s="393" t="s">
        <v>61</v>
      </c>
      <c r="E468" s="34">
        <v>243642</v>
      </c>
      <c r="F468" s="531">
        <v>1900</v>
      </c>
      <c r="G468" s="393" t="s">
        <v>241</v>
      </c>
      <c r="H468" s="32" t="s">
        <v>4256</v>
      </c>
      <c r="I468" s="361"/>
      <c r="J468" s="361"/>
      <c r="K468" s="361"/>
      <c r="L468" s="361"/>
      <c r="M468" s="361"/>
      <c r="N468" s="362" t="s">
        <v>223</v>
      </c>
    </row>
    <row r="469" spans="1:14" s="370" customFormat="1" ht="37.5" x14ac:dyDescent="0.2">
      <c r="A469" s="32">
        <f>ROW()-ROW(สำนักงาน!$A$6)+1</f>
        <v>464</v>
      </c>
      <c r="B469" s="392" t="s">
        <v>3803</v>
      </c>
      <c r="C469" s="393" t="s">
        <v>4123</v>
      </c>
      <c r="D469" s="393" t="s">
        <v>62</v>
      </c>
      <c r="E469" s="34">
        <v>243642</v>
      </c>
      <c r="F469" s="531">
        <v>1900</v>
      </c>
      <c r="G469" s="393" t="s">
        <v>241</v>
      </c>
      <c r="H469" s="32" t="s">
        <v>4256</v>
      </c>
      <c r="I469" s="32"/>
      <c r="J469" s="32"/>
      <c r="K469" s="32"/>
      <c r="L469" s="32"/>
      <c r="M469" s="32"/>
      <c r="N469" s="56" t="s">
        <v>315</v>
      </c>
    </row>
    <row r="470" spans="1:14" s="370" customFormat="1" ht="37.5" x14ac:dyDescent="0.2">
      <c r="A470" s="32">
        <f>ROW()-ROW(สำนักงาน!$A$6)+1</f>
        <v>465</v>
      </c>
      <c r="B470" s="392" t="s">
        <v>3803</v>
      </c>
      <c r="C470" s="393" t="s">
        <v>4124</v>
      </c>
      <c r="D470" s="393" t="s">
        <v>63</v>
      </c>
      <c r="E470" s="34">
        <v>243642</v>
      </c>
      <c r="F470" s="531">
        <v>1900</v>
      </c>
      <c r="G470" s="393" t="s">
        <v>241</v>
      </c>
      <c r="H470" s="32" t="s">
        <v>4256</v>
      </c>
      <c r="I470" s="32"/>
      <c r="J470" s="32"/>
      <c r="K470" s="32"/>
      <c r="L470" s="32"/>
      <c r="M470" s="32"/>
      <c r="N470" s="56" t="s">
        <v>426</v>
      </c>
    </row>
    <row r="471" spans="1:14" s="370" customFormat="1" ht="37.5" x14ac:dyDescent="0.2">
      <c r="A471" s="32">
        <f>ROW()-ROW(สำนักงาน!$A$6)+1</f>
        <v>466</v>
      </c>
      <c r="B471" s="392" t="s">
        <v>3803</v>
      </c>
      <c r="C471" s="393" t="s">
        <v>4125</v>
      </c>
      <c r="D471" s="393" t="s">
        <v>64</v>
      </c>
      <c r="E471" s="34">
        <v>243642</v>
      </c>
      <c r="F471" s="531">
        <v>1900</v>
      </c>
      <c r="G471" s="393" t="s">
        <v>241</v>
      </c>
      <c r="H471" s="32" t="s">
        <v>4256</v>
      </c>
      <c r="I471" s="361"/>
      <c r="J471" s="361"/>
      <c r="K471" s="361"/>
      <c r="L471" s="361"/>
      <c r="M471" s="361"/>
      <c r="N471" s="362" t="s">
        <v>4328</v>
      </c>
    </row>
    <row r="472" spans="1:14" s="370" customFormat="1" ht="37.5" x14ac:dyDescent="0.2">
      <c r="A472" s="32">
        <f>ROW()-ROW(สำนักงาน!$A$6)+1</f>
        <v>467</v>
      </c>
      <c r="B472" s="392" t="s">
        <v>3803</v>
      </c>
      <c r="C472" s="393" t="s">
        <v>4126</v>
      </c>
      <c r="D472" s="393" t="s">
        <v>65</v>
      </c>
      <c r="E472" s="34">
        <v>243642</v>
      </c>
      <c r="F472" s="531">
        <v>1900</v>
      </c>
      <c r="G472" s="393" t="s">
        <v>241</v>
      </c>
      <c r="H472" s="32" t="s">
        <v>4256</v>
      </c>
      <c r="I472" s="361"/>
      <c r="J472" s="361"/>
      <c r="K472" s="361"/>
      <c r="L472" s="361"/>
      <c r="M472" s="361"/>
      <c r="N472" s="362" t="s">
        <v>4324</v>
      </c>
    </row>
    <row r="473" spans="1:14" s="370" customFormat="1" ht="37.5" x14ac:dyDescent="0.2">
      <c r="A473" s="32">
        <f>ROW()-ROW(สำนักงาน!$A$6)+1</f>
        <v>468</v>
      </c>
      <c r="B473" s="392" t="s">
        <v>3803</v>
      </c>
      <c r="C473" s="393" t="s">
        <v>4127</v>
      </c>
      <c r="D473" s="393" t="s">
        <v>66</v>
      </c>
      <c r="E473" s="34">
        <v>243642</v>
      </c>
      <c r="F473" s="531">
        <v>1900</v>
      </c>
      <c r="G473" s="393" t="s">
        <v>241</v>
      </c>
      <c r="H473" s="32" t="s">
        <v>4256</v>
      </c>
      <c r="I473" s="361"/>
      <c r="J473" s="361"/>
      <c r="K473" s="361"/>
      <c r="L473" s="361"/>
      <c r="M473" s="361"/>
      <c r="N473" s="362" t="s">
        <v>279</v>
      </c>
    </row>
    <row r="474" spans="1:14" s="370" customFormat="1" ht="37.5" x14ac:dyDescent="0.2">
      <c r="A474" s="32">
        <f>ROW()-ROW(สำนักงาน!$A$6)+1</f>
        <v>469</v>
      </c>
      <c r="B474" s="392" t="s">
        <v>3803</v>
      </c>
      <c r="C474" s="393" t="s">
        <v>4128</v>
      </c>
      <c r="D474" s="393" t="s">
        <v>67</v>
      </c>
      <c r="E474" s="34">
        <v>243642</v>
      </c>
      <c r="F474" s="531">
        <v>1900</v>
      </c>
      <c r="G474" s="393" t="s">
        <v>241</v>
      </c>
      <c r="H474" s="32" t="s">
        <v>4256</v>
      </c>
      <c r="I474" s="361"/>
      <c r="J474" s="361"/>
      <c r="K474" s="361"/>
      <c r="L474" s="361"/>
      <c r="M474" s="361"/>
      <c r="N474" s="362" t="s">
        <v>4255</v>
      </c>
    </row>
    <row r="475" spans="1:14" s="370" customFormat="1" ht="37.5" x14ac:dyDescent="0.2">
      <c r="A475" s="32">
        <f>ROW()-ROW(สำนักงาน!$A$6)+1</f>
        <v>470</v>
      </c>
      <c r="B475" s="392" t="s">
        <v>3803</v>
      </c>
      <c r="C475" s="393" t="s">
        <v>4129</v>
      </c>
      <c r="D475" s="393" t="s">
        <v>68</v>
      </c>
      <c r="E475" s="34">
        <v>243642</v>
      </c>
      <c r="F475" s="531">
        <v>1900</v>
      </c>
      <c r="G475" s="393" t="s">
        <v>241</v>
      </c>
      <c r="H475" s="32" t="s">
        <v>4256</v>
      </c>
      <c r="I475" s="361"/>
      <c r="J475" s="361"/>
      <c r="K475" s="361"/>
      <c r="L475" s="361"/>
      <c r="M475" s="361"/>
      <c r="N475" s="362" t="s">
        <v>4331</v>
      </c>
    </row>
    <row r="476" spans="1:14" s="370" customFormat="1" ht="37.5" x14ac:dyDescent="0.2">
      <c r="A476" s="32">
        <f>ROW()-ROW(สำนักงาน!$A$6)+1</f>
        <v>471</v>
      </c>
      <c r="B476" s="392" t="s">
        <v>60</v>
      </c>
      <c r="C476" s="393" t="s">
        <v>4130</v>
      </c>
      <c r="D476" s="393" t="s">
        <v>69</v>
      </c>
      <c r="E476" s="34">
        <v>243642</v>
      </c>
      <c r="F476" s="531">
        <v>1900</v>
      </c>
      <c r="G476" s="393" t="s">
        <v>241</v>
      </c>
      <c r="H476" s="32" t="s">
        <v>4256</v>
      </c>
      <c r="I476" s="361"/>
      <c r="J476" s="361"/>
      <c r="K476" s="361"/>
      <c r="L476" s="361"/>
      <c r="M476" s="361"/>
      <c r="N476" s="362" t="s">
        <v>4254</v>
      </c>
    </row>
    <row r="477" spans="1:14" s="370" customFormat="1" ht="37.5" x14ac:dyDescent="0.2">
      <c r="A477" s="32">
        <f>ROW()-ROW(สำนักงาน!$A$6)+1</f>
        <v>472</v>
      </c>
      <c r="B477" s="392" t="s">
        <v>3803</v>
      </c>
      <c r="C477" s="393" t="s">
        <v>4131</v>
      </c>
      <c r="D477" s="393" t="s">
        <v>70</v>
      </c>
      <c r="E477" s="34">
        <v>243642</v>
      </c>
      <c r="F477" s="531">
        <v>1900</v>
      </c>
      <c r="G477" s="393" t="s">
        <v>241</v>
      </c>
      <c r="H477" s="32" t="s">
        <v>4256</v>
      </c>
      <c r="I477" s="361"/>
      <c r="J477" s="361"/>
      <c r="K477" s="361"/>
      <c r="L477" s="361"/>
      <c r="M477" s="361"/>
      <c r="N477" s="362" t="s">
        <v>4332</v>
      </c>
    </row>
    <row r="478" spans="1:14" s="370" customFormat="1" ht="37.5" x14ac:dyDescent="0.2">
      <c r="A478" s="32">
        <f>ROW()-ROW(สำนักงาน!$A$6)+1</f>
        <v>473</v>
      </c>
      <c r="B478" s="392" t="s">
        <v>3803</v>
      </c>
      <c r="C478" s="393" t="s">
        <v>4132</v>
      </c>
      <c r="D478" s="393" t="s">
        <v>71</v>
      </c>
      <c r="E478" s="34">
        <v>243642</v>
      </c>
      <c r="F478" s="531">
        <v>1900</v>
      </c>
      <c r="G478" s="393" t="s">
        <v>241</v>
      </c>
      <c r="H478" s="32" t="s">
        <v>4256</v>
      </c>
      <c r="I478" s="361"/>
      <c r="J478" s="361"/>
      <c r="K478" s="361"/>
      <c r="L478" s="361"/>
      <c r="M478" s="361"/>
      <c r="N478" s="362" t="s">
        <v>4333</v>
      </c>
    </row>
    <row r="479" spans="1:14" s="370" customFormat="1" ht="37.5" x14ac:dyDescent="0.2">
      <c r="A479" s="32">
        <f>ROW()-ROW(สำนักงาน!$A$6)+1</f>
        <v>474</v>
      </c>
      <c r="B479" s="392" t="s">
        <v>3803</v>
      </c>
      <c r="C479" s="393" t="s">
        <v>4133</v>
      </c>
      <c r="D479" s="393" t="s">
        <v>72</v>
      </c>
      <c r="E479" s="34">
        <v>243642</v>
      </c>
      <c r="F479" s="531">
        <v>1900</v>
      </c>
      <c r="G479" s="393" t="s">
        <v>241</v>
      </c>
      <c r="H479" s="32" t="s">
        <v>4256</v>
      </c>
      <c r="I479" s="361"/>
      <c r="J479" s="361"/>
      <c r="K479" s="361"/>
      <c r="L479" s="361"/>
      <c r="M479" s="361"/>
      <c r="N479" s="362" t="s">
        <v>4330</v>
      </c>
    </row>
    <row r="480" spans="1:14" s="370" customFormat="1" ht="37.5" x14ac:dyDescent="0.2">
      <c r="A480" s="32">
        <f>ROW()-ROW(สำนักงาน!$A$6)+1</f>
        <v>475</v>
      </c>
      <c r="B480" s="392" t="s">
        <v>3803</v>
      </c>
      <c r="C480" s="393" t="s">
        <v>4134</v>
      </c>
      <c r="D480" s="393" t="s">
        <v>73</v>
      </c>
      <c r="E480" s="34">
        <v>243642</v>
      </c>
      <c r="F480" s="531">
        <v>1900</v>
      </c>
      <c r="G480" s="393" t="s">
        <v>241</v>
      </c>
      <c r="H480" s="32" t="s">
        <v>4256</v>
      </c>
      <c r="I480" s="361"/>
      <c r="J480" s="361"/>
      <c r="K480" s="361"/>
      <c r="L480" s="361"/>
      <c r="M480" s="361"/>
      <c r="N480" s="362" t="s">
        <v>4952</v>
      </c>
    </row>
    <row r="481" spans="1:14" s="370" customFormat="1" ht="37.5" x14ac:dyDescent="0.2">
      <c r="A481" s="32">
        <f>ROW()-ROW(สำนักงาน!$A$6)+1</f>
        <v>476</v>
      </c>
      <c r="B481" s="392" t="s">
        <v>3803</v>
      </c>
      <c r="C481" s="393" t="s">
        <v>4135</v>
      </c>
      <c r="D481" s="393" t="s">
        <v>74</v>
      </c>
      <c r="E481" s="34">
        <v>243642</v>
      </c>
      <c r="F481" s="531">
        <v>1900</v>
      </c>
      <c r="G481" s="393" t="s">
        <v>241</v>
      </c>
      <c r="H481" s="32" t="s">
        <v>4256</v>
      </c>
      <c r="I481" s="361"/>
      <c r="J481" s="361"/>
      <c r="K481" s="361"/>
      <c r="L481" s="361"/>
      <c r="M481" s="361"/>
      <c r="N481" s="362" t="s">
        <v>499</v>
      </c>
    </row>
    <row r="482" spans="1:14" s="370" customFormat="1" ht="37.5" x14ac:dyDescent="0.2">
      <c r="A482" s="32">
        <f>ROW()-ROW(สำนักงาน!$A$6)+1</f>
        <v>477</v>
      </c>
      <c r="B482" s="392" t="s">
        <v>3803</v>
      </c>
      <c r="C482" s="393" t="s">
        <v>4136</v>
      </c>
      <c r="D482" s="393" t="s">
        <v>75</v>
      </c>
      <c r="E482" s="34">
        <v>243642</v>
      </c>
      <c r="F482" s="531">
        <v>1900</v>
      </c>
      <c r="G482" s="393" t="s">
        <v>241</v>
      </c>
      <c r="H482" s="32" t="s">
        <v>4256</v>
      </c>
      <c r="I482" s="361"/>
      <c r="J482" s="361"/>
      <c r="K482" s="361"/>
      <c r="L482" s="361"/>
      <c r="M482" s="361"/>
      <c r="N482" s="362" t="s">
        <v>4299</v>
      </c>
    </row>
    <row r="483" spans="1:14" s="370" customFormat="1" ht="37.5" x14ac:dyDescent="0.2">
      <c r="A483" s="32">
        <f>ROW()-ROW(สำนักงาน!$A$6)+1</f>
        <v>478</v>
      </c>
      <c r="B483" s="392" t="s">
        <v>3803</v>
      </c>
      <c r="C483" s="393" t="s">
        <v>4137</v>
      </c>
      <c r="D483" s="393" t="s">
        <v>76</v>
      </c>
      <c r="E483" s="34">
        <v>243642</v>
      </c>
      <c r="F483" s="531">
        <v>1900</v>
      </c>
      <c r="G483" s="393" t="s">
        <v>241</v>
      </c>
      <c r="H483" s="32" t="s">
        <v>4256</v>
      </c>
      <c r="I483" s="32"/>
      <c r="J483" s="32"/>
      <c r="K483" s="32"/>
      <c r="L483" s="32"/>
      <c r="M483" s="32"/>
      <c r="N483" s="56" t="s">
        <v>360</v>
      </c>
    </row>
    <row r="484" spans="1:14" s="370" customFormat="1" ht="37.5" x14ac:dyDescent="0.2">
      <c r="A484" s="32">
        <f>ROW()-ROW(สำนักงาน!$A$6)+1</f>
        <v>479</v>
      </c>
      <c r="B484" s="392" t="s">
        <v>3803</v>
      </c>
      <c r="C484" s="393" t="s">
        <v>4138</v>
      </c>
      <c r="D484" s="393" t="s">
        <v>77</v>
      </c>
      <c r="E484" s="34">
        <v>243642</v>
      </c>
      <c r="F484" s="531">
        <v>1900</v>
      </c>
      <c r="G484" s="393" t="s">
        <v>241</v>
      </c>
      <c r="H484" s="32" t="s">
        <v>4256</v>
      </c>
      <c r="I484" s="32"/>
      <c r="J484" s="32"/>
      <c r="K484" s="32"/>
      <c r="L484" s="32"/>
      <c r="M484" s="32"/>
      <c r="N484" s="56" t="s">
        <v>4327</v>
      </c>
    </row>
    <row r="485" spans="1:14" s="370" customFormat="1" ht="37.5" x14ac:dyDescent="0.2">
      <c r="A485" s="32">
        <f>ROW()-ROW(สำนักงาน!$A$6)+1</f>
        <v>480</v>
      </c>
      <c r="B485" s="392" t="s">
        <v>3804</v>
      </c>
      <c r="C485" s="393" t="s">
        <v>4139</v>
      </c>
      <c r="D485" s="393" t="s">
        <v>78</v>
      </c>
      <c r="E485" s="34">
        <v>243642</v>
      </c>
      <c r="F485" s="531">
        <v>1900</v>
      </c>
      <c r="G485" s="393" t="s">
        <v>241</v>
      </c>
      <c r="H485" s="32" t="s">
        <v>4256</v>
      </c>
      <c r="I485" s="32"/>
      <c r="J485" s="32"/>
      <c r="K485" s="32"/>
      <c r="L485" s="32"/>
      <c r="M485" s="32"/>
      <c r="N485" s="56" t="s">
        <v>4334</v>
      </c>
    </row>
    <row r="486" spans="1:14" s="370" customFormat="1" ht="37.5" x14ac:dyDescent="0.2">
      <c r="A486" s="32">
        <f>ROW()-ROW(สำนักงาน!$A$6)+1</f>
        <v>481</v>
      </c>
      <c r="B486" s="392" t="s">
        <v>3803</v>
      </c>
      <c r="C486" s="393" t="s">
        <v>4140</v>
      </c>
      <c r="D486" s="393" t="s">
        <v>79</v>
      </c>
      <c r="E486" s="34">
        <v>243642</v>
      </c>
      <c r="F486" s="531">
        <v>1900</v>
      </c>
      <c r="G486" s="393" t="s">
        <v>241</v>
      </c>
      <c r="H486" s="32" t="s">
        <v>4256</v>
      </c>
      <c r="I486" s="361"/>
      <c r="J486" s="361"/>
      <c r="K486" s="361"/>
      <c r="L486" s="361"/>
      <c r="M486" s="361"/>
      <c r="N486" s="362" t="s">
        <v>484</v>
      </c>
    </row>
    <row r="487" spans="1:14" s="370" customFormat="1" ht="37.5" x14ac:dyDescent="0.2">
      <c r="A487" s="32">
        <f>ROW()-ROW(สำนักงาน!$A$6)+1</f>
        <v>482</v>
      </c>
      <c r="B487" s="392" t="s">
        <v>3803</v>
      </c>
      <c r="C487" s="393" t="s">
        <v>4141</v>
      </c>
      <c r="D487" s="393" t="s">
        <v>80</v>
      </c>
      <c r="E487" s="34">
        <v>243642</v>
      </c>
      <c r="F487" s="531">
        <v>1900</v>
      </c>
      <c r="G487" s="393" t="s">
        <v>241</v>
      </c>
      <c r="H487" s="32" t="s">
        <v>4256</v>
      </c>
      <c r="I487" s="361"/>
      <c r="J487" s="361"/>
      <c r="K487" s="361"/>
      <c r="L487" s="361"/>
      <c r="M487" s="361"/>
      <c r="N487" s="362" t="s">
        <v>4325</v>
      </c>
    </row>
    <row r="488" spans="1:14" s="370" customFormat="1" ht="37.5" x14ac:dyDescent="0.2">
      <c r="A488" s="32">
        <f>ROW()-ROW(สำนักงาน!$A$6)+1</f>
        <v>483</v>
      </c>
      <c r="B488" s="392" t="s">
        <v>3803</v>
      </c>
      <c r="C488" s="393" t="s">
        <v>4142</v>
      </c>
      <c r="D488" s="393" t="s">
        <v>81</v>
      </c>
      <c r="E488" s="34">
        <v>243642</v>
      </c>
      <c r="F488" s="531">
        <v>1900</v>
      </c>
      <c r="G488" s="393" t="s">
        <v>241</v>
      </c>
      <c r="H488" s="32" t="s">
        <v>4256</v>
      </c>
      <c r="I488" s="361"/>
      <c r="J488" s="361"/>
      <c r="K488" s="361"/>
      <c r="L488" s="361"/>
      <c r="M488" s="361"/>
      <c r="N488" s="362" t="s">
        <v>3917</v>
      </c>
    </row>
    <row r="489" spans="1:14" s="370" customFormat="1" ht="37.5" x14ac:dyDescent="0.2">
      <c r="A489" s="32">
        <f>ROW()-ROW(สำนักงาน!$A$6)+1</f>
        <v>484</v>
      </c>
      <c r="B489" s="392" t="s">
        <v>3803</v>
      </c>
      <c r="C489" s="393" t="s">
        <v>4143</v>
      </c>
      <c r="D489" s="393" t="s">
        <v>82</v>
      </c>
      <c r="E489" s="34">
        <v>243642</v>
      </c>
      <c r="F489" s="531">
        <v>1900</v>
      </c>
      <c r="G489" s="393" t="s">
        <v>241</v>
      </c>
      <c r="H489" s="32" t="s">
        <v>4256</v>
      </c>
      <c r="I489" s="361"/>
      <c r="J489" s="361"/>
      <c r="K489" s="361"/>
      <c r="L489" s="361"/>
      <c r="M489" s="361"/>
      <c r="N489" s="362" t="s">
        <v>493</v>
      </c>
    </row>
    <row r="490" spans="1:14" s="370" customFormat="1" ht="37.5" x14ac:dyDescent="0.2">
      <c r="A490" s="32">
        <f>ROW()-ROW(สำนักงาน!$A$6)+1</f>
        <v>485</v>
      </c>
      <c r="B490" s="392" t="s">
        <v>3803</v>
      </c>
      <c r="C490" s="393" t="s">
        <v>4144</v>
      </c>
      <c r="D490" s="393" t="s">
        <v>83</v>
      </c>
      <c r="E490" s="34">
        <v>243642</v>
      </c>
      <c r="F490" s="531">
        <v>1900</v>
      </c>
      <c r="G490" s="393" t="s">
        <v>241</v>
      </c>
      <c r="H490" s="32" t="s">
        <v>4256</v>
      </c>
      <c r="I490" s="361"/>
      <c r="J490" s="361"/>
      <c r="K490" s="361"/>
      <c r="L490" s="361"/>
      <c r="M490" s="361"/>
      <c r="N490" s="362" t="s">
        <v>4319</v>
      </c>
    </row>
    <row r="491" spans="1:14" s="370" customFormat="1" ht="37.5" x14ac:dyDescent="0.2">
      <c r="A491" s="32">
        <f>ROW()-ROW(สำนักงาน!$A$6)+1</f>
        <v>486</v>
      </c>
      <c r="B491" s="392" t="s">
        <v>3803</v>
      </c>
      <c r="C491" s="393" t="s">
        <v>4145</v>
      </c>
      <c r="D491" s="393" t="s">
        <v>84</v>
      </c>
      <c r="E491" s="34">
        <v>243642</v>
      </c>
      <c r="F491" s="531">
        <v>1900</v>
      </c>
      <c r="G491" s="393" t="s">
        <v>241</v>
      </c>
      <c r="H491" s="32" t="s">
        <v>4256</v>
      </c>
      <c r="I491" s="361"/>
      <c r="J491" s="361"/>
      <c r="K491" s="361"/>
      <c r="L491" s="361"/>
      <c r="M491" s="361"/>
      <c r="N491" s="362" t="s">
        <v>493</v>
      </c>
    </row>
    <row r="492" spans="1:14" s="370" customFormat="1" ht="37.5" x14ac:dyDescent="0.2">
      <c r="A492" s="32">
        <f>ROW()-ROW(สำนักงาน!$A$6)+1</f>
        <v>487</v>
      </c>
      <c r="B492" s="392" t="s">
        <v>3803</v>
      </c>
      <c r="C492" s="393" t="s">
        <v>4146</v>
      </c>
      <c r="D492" s="393" t="s">
        <v>85</v>
      </c>
      <c r="E492" s="34">
        <v>243642</v>
      </c>
      <c r="F492" s="531">
        <v>1900</v>
      </c>
      <c r="G492" s="393" t="s">
        <v>241</v>
      </c>
      <c r="H492" s="32" t="s">
        <v>4256</v>
      </c>
      <c r="I492" s="361"/>
      <c r="J492" s="361"/>
      <c r="K492" s="361"/>
      <c r="L492" s="361"/>
      <c r="M492" s="361"/>
      <c r="N492" s="362" t="s">
        <v>4316</v>
      </c>
    </row>
    <row r="493" spans="1:14" s="370" customFormat="1" ht="37.5" x14ac:dyDescent="0.2">
      <c r="A493" s="32">
        <f>ROW()-ROW(สำนักงาน!$A$6)+1</f>
        <v>488</v>
      </c>
      <c r="B493" s="392" t="s">
        <v>3803</v>
      </c>
      <c r="C493" s="393" t="s">
        <v>4147</v>
      </c>
      <c r="D493" s="393" t="s">
        <v>86</v>
      </c>
      <c r="E493" s="34">
        <v>243642</v>
      </c>
      <c r="F493" s="531">
        <v>1900</v>
      </c>
      <c r="G493" s="393" t="s">
        <v>241</v>
      </c>
      <c r="H493" s="32" t="s">
        <v>4256</v>
      </c>
      <c r="I493" s="361"/>
      <c r="J493" s="361"/>
      <c r="K493" s="361"/>
      <c r="L493" s="361"/>
      <c r="M493" s="361"/>
      <c r="N493" s="362" t="s">
        <v>4253</v>
      </c>
    </row>
    <row r="494" spans="1:14" s="370" customFormat="1" ht="37.5" x14ac:dyDescent="0.2">
      <c r="A494" s="32">
        <f>ROW()-ROW(สำนักงาน!$A$6)+1</f>
        <v>489</v>
      </c>
      <c r="B494" s="392" t="s">
        <v>3803</v>
      </c>
      <c r="C494" s="393" t="s">
        <v>4148</v>
      </c>
      <c r="D494" s="393" t="s">
        <v>87</v>
      </c>
      <c r="E494" s="34">
        <v>243642</v>
      </c>
      <c r="F494" s="531">
        <v>1900</v>
      </c>
      <c r="G494" s="393" t="s">
        <v>241</v>
      </c>
      <c r="H494" s="32" t="s">
        <v>4256</v>
      </c>
      <c r="I494" s="32"/>
      <c r="J494" s="32"/>
      <c r="K494" s="32"/>
      <c r="L494" s="32"/>
      <c r="M494" s="32"/>
      <c r="N494" s="56" t="s">
        <v>523</v>
      </c>
    </row>
    <row r="495" spans="1:14" s="370" customFormat="1" ht="37.5" x14ac:dyDescent="0.2">
      <c r="A495" s="32">
        <f>ROW()-ROW(สำนักงาน!$A$6)+1</f>
        <v>490</v>
      </c>
      <c r="B495" s="392" t="s">
        <v>3803</v>
      </c>
      <c r="C495" s="393" t="s">
        <v>4149</v>
      </c>
      <c r="D495" s="393" t="s">
        <v>88</v>
      </c>
      <c r="E495" s="34">
        <v>243642</v>
      </c>
      <c r="F495" s="531">
        <v>1900</v>
      </c>
      <c r="G495" s="393" t="s">
        <v>241</v>
      </c>
      <c r="H495" s="32" t="s">
        <v>4256</v>
      </c>
      <c r="I495" s="32"/>
      <c r="J495" s="32"/>
      <c r="K495" s="32"/>
      <c r="L495" s="32"/>
      <c r="M495" s="32"/>
      <c r="N495" s="56" t="s">
        <v>446</v>
      </c>
    </row>
    <row r="496" spans="1:14" s="370" customFormat="1" ht="37.5" x14ac:dyDescent="0.2">
      <c r="A496" s="32">
        <f>ROW()-ROW(สำนักงาน!$A$6)+1</f>
        <v>491</v>
      </c>
      <c r="B496" s="392" t="s">
        <v>3803</v>
      </c>
      <c r="C496" s="393" t="s">
        <v>4150</v>
      </c>
      <c r="D496" s="393" t="s">
        <v>89</v>
      </c>
      <c r="E496" s="34">
        <v>243642</v>
      </c>
      <c r="F496" s="531">
        <v>1900</v>
      </c>
      <c r="G496" s="393" t="s">
        <v>241</v>
      </c>
      <c r="H496" s="32" t="s">
        <v>4256</v>
      </c>
      <c r="I496" s="361"/>
      <c r="J496" s="361"/>
      <c r="K496" s="361"/>
      <c r="L496" s="361"/>
      <c r="M496" s="361"/>
      <c r="N496" s="362" t="s">
        <v>4313</v>
      </c>
    </row>
    <row r="497" spans="1:15" s="370" customFormat="1" ht="37.5" x14ac:dyDescent="0.2">
      <c r="A497" s="32">
        <f>ROW()-ROW(สำนักงาน!$A$6)+1</f>
        <v>492</v>
      </c>
      <c r="B497" s="392" t="s">
        <v>3803</v>
      </c>
      <c r="C497" s="393" t="s">
        <v>4151</v>
      </c>
      <c r="D497" s="393" t="s">
        <v>90</v>
      </c>
      <c r="E497" s="34">
        <v>243642</v>
      </c>
      <c r="F497" s="531">
        <v>1900</v>
      </c>
      <c r="G497" s="393" t="s">
        <v>241</v>
      </c>
      <c r="H497" s="32" t="s">
        <v>4256</v>
      </c>
      <c r="I497" s="361"/>
      <c r="J497" s="361"/>
      <c r="K497" s="361"/>
      <c r="L497" s="361"/>
      <c r="M497" s="361"/>
      <c r="N497" s="362" t="s">
        <v>4320</v>
      </c>
    </row>
    <row r="498" spans="1:15" s="370" customFormat="1" ht="37.5" x14ac:dyDescent="0.2">
      <c r="A498" s="32">
        <f>ROW()-ROW(สำนักงาน!$A$6)+1</f>
        <v>493</v>
      </c>
      <c r="B498" s="392" t="s">
        <v>3803</v>
      </c>
      <c r="C498" s="393" t="s">
        <v>4152</v>
      </c>
      <c r="D498" s="393" t="s">
        <v>91</v>
      </c>
      <c r="E498" s="34">
        <v>243642</v>
      </c>
      <c r="F498" s="531">
        <v>1900</v>
      </c>
      <c r="G498" s="393" t="s">
        <v>241</v>
      </c>
      <c r="H498" s="32" t="s">
        <v>4256</v>
      </c>
      <c r="I498" s="361"/>
      <c r="J498" s="361"/>
      <c r="K498" s="361"/>
      <c r="L498" s="361"/>
      <c r="M498" s="361"/>
      <c r="N498" s="362" t="s">
        <v>4335</v>
      </c>
    </row>
    <row r="499" spans="1:15" s="370" customFormat="1" ht="37.5" x14ac:dyDescent="0.2">
      <c r="A499" s="32">
        <f>ROW()-ROW(สำนักงาน!$A$6)+1</f>
        <v>494</v>
      </c>
      <c r="B499" s="392" t="s">
        <v>3803</v>
      </c>
      <c r="C499" s="393" t="s">
        <v>4153</v>
      </c>
      <c r="D499" s="393" t="s">
        <v>92</v>
      </c>
      <c r="E499" s="34">
        <v>243642</v>
      </c>
      <c r="F499" s="531">
        <v>1900</v>
      </c>
      <c r="G499" s="393" t="s">
        <v>241</v>
      </c>
      <c r="H499" s="32" t="s">
        <v>4256</v>
      </c>
      <c r="I499" s="361"/>
      <c r="J499" s="361"/>
      <c r="K499" s="361"/>
      <c r="L499" s="361"/>
      <c r="M499" s="361"/>
      <c r="N499" s="362" t="s">
        <v>825</v>
      </c>
      <c r="O499" s="746">
        <f>SUM(F183:F499)</f>
        <v>764261.99</v>
      </c>
    </row>
    <row r="500" spans="1:15" s="646" customFormat="1" ht="18.75" x14ac:dyDescent="0.2">
      <c r="A500" s="32">
        <f>ROW()-ROW(สำนักงาน!$A$6)+1</f>
        <v>495</v>
      </c>
      <c r="B500" s="533" t="s">
        <v>822</v>
      </c>
      <c r="C500" s="534" t="s">
        <v>823</v>
      </c>
      <c r="D500" s="534" t="s">
        <v>824</v>
      </c>
      <c r="E500" s="535">
        <v>16855</v>
      </c>
      <c r="F500" s="536">
        <v>3000</v>
      </c>
      <c r="G500" s="537" t="s">
        <v>825</v>
      </c>
      <c r="H500" s="32" t="s">
        <v>4256</v>
      </c>
      <c r="I500" s="538"/>
      <c r="J500" s="538"/>
      <c r="K500" s="538"/>
      <c r="L500" s="539"/>
      <c r="M500" s="539"/>
      <c r="N500" s="534" t="s">
        <v>825</v>
      </c>
    </row>
    <row r="501" spans="1:15" s="646" customFormat="1" ht="18.75" x14ac:dyDescent="0.2">
      <c r="A501" s="32">
        <f>ROW()-ROW(สำนักงาน!$A$6)+1</f>
        <v>496</v>
      </c>
      <c r="B501" s="533" t="s">
        <v>822</v>
      </c>
      <c r="C501" s="534" t="s">
        <v>826</v>
      </c>
      <c r="D501" s="534" t="s">
        <v>827</v>
      </c>
      <c r="E501" s="535">
        <v>16855</v>
      </c>
      <c r="F501" s="536">
        <v>3000</v>
      </c>
      <c r="G501" s="537" t="s">
        <v>825</v>
      </c>
      <c r="H501" s="32" t="s">
        <v>4256</v>
      </c>
      <c r="I501" s="534"/>
      <c r="J501" s="533"/>
      <c r="K501" s="533"/>
      <c r="L501" s="540"/>
      <c r="M501" s="541"/>
      <c r="N501" s="534" t="s">
        <v>825</v>
      </c>
    </row>
    <row r="502" spans="1:15" s="401" customFormat="1" ht="21" x14ac:dyDescent="0.2">
      <c r="A502" s="32">
        <f>ROW()-ROW(สำนักงาน!$A$6)+1</f>
        <v>497</v>
      </c>
      <c r="B502" s="55" t="s">
        <v>1621</v>
      </c>
      <c r="C502" s="13" t="s">
        <v>1622</v>
      </c>
      <c r="D502" s="13" t="s">
        <v>1623</v>
      </c>
      <c r="E502" s="53" t="s">
        <v>601</v>
      </c>
      <c r="F502" s="31">
        <v>6700</v>
      </c>
      <c r="G502" s="32" t="s">
        <v>21</v>
      </c>
      <c r="H502" s="32" t="s">
        <v>4256</v>
      </c>
      <c r="I502" s="32"/>
      <c r="J502" s="32"/>
      <c r="K502" s="32"/>
      <c r="L502" s="32"/>
      <c r="M502" s="32"/>
      <c r="N502" s="81"/>
    </row>
    <row r="503" spans="1:15" s="401" customFormat="1" ht="21" x14ac:dyDescent="0.2">
      <c r="A503" s="32">
        <f>ROW()-ROW(สำนักงาน!$A$6)+1</f>
        <v>498</v>
      </c>
      <c r="B503" s="55" t="s">
        <v>1621</v>
      </c>
      <c r="C503" s="13" t="s">
        <v>1624</v>
      </c>
      <c r="D503" s="13" t="s">
        <v>1625</v>
      </c>
      <c r="E503" s="53" t="s">
        <v>601</v>
      </c>
      <c r="F503" s="31">
        <v>6700</v>
      </c>
      <c r="G503" s="32" t="s">
        <v>21</v>
      </c>
      <c r="H503" s="32" t="s">
        <v>4256</v>
      </c>
      <c r="I503" s="32"/>
      <c r="J503" s="32"/>
      <c r="K503" s="32"/>
      <c r="L503" s="32"/>
      <c r="M503" s="32"/>
      <c r="N503" s="81"/>
    </row>
    <row r="504" spans="1:15" s="401" customFormat="1" ht="21" x14ac:dyDescent="0.2">
      <c r="A504" s="32">
        <f>ROW()-ROW(สำนักงาน!$A$6)+1</f>
        <v>499</v>
      </c>
      <c r="B504" s="55" t="s">
        <v>1621</v>
      </c>
      <c r="C504" s="13" t="s">
        <v>1626</v>
      </c>
      <c r="D504" s="13" t="s">
        <v>1627</v>
      </c>
      <c r="E504" s="53" t="s">
        <v>601</v>
      </c>
      <c r="F504" s="31">
        <v>6700</v>
      </c>
      <c r="G504" s="32" t="s">
        <v>21</v>
      </c>
      <c r="H504" s="32" t="s">
        <v>4256</v>
      </c>
      <c r="I504" s="32"/>
      <c r="J504" s="32"/>
      <c r="K504" s="32"/>
      <c r="L504" s="32"/>
      <c r="M504" s="32"/>
      <c r="N504" s="81"/>
    </row>
    <row r="505" spans="1:15" s="401" customFormat="1" ht="21" x14ac:dyDescent="0.2">
      <c r="A505" s="32">
        <f>ROW()-ROW(สำนักงาน!$A$6)+1</f>
        <v>500</v>
      </c>
      <c r="B505" s="55" t="s">
        <v>1621</v>
      </c>
      <c r="C505" s="13" t="s">
        <v>1628</v>
      </c>
      <c r="D505" s="13" t="s">
        <v>1629</v>
      </c>
      <c r="E505" s="53" t="s">
        <v>601</v>
      </c>
      <c r="F505" s="31">
        <v>6700</v>
      </c>
      <c r="G505" s="32" t="s">
        <v>21</v>
      </c>
      <c r="H505" s="32" t="s">
        <v>4256</v>
      </c>
      <c r="I505" s="32"/>
      <c r="J505" s="32"/>
      <c r="K505" s="32"/>
      <c r="L505" s="32"/>
      <c r="M505" s="32"/>
      <c r="N505" s="81"/>
    </row>
    <row r="506" spans="1:15" s="401" customFormat="1" ht="21" x14ac:dyDescent="0.2">
      <c r="A506" s="32">
        <f>ROW()-ROW(สำนักงาน!$A$6)+1</f>
        <v>501</v>
      </c>
      <c r="B506" s="55" t="s">
        <v>1621</v>
      </c>
      <c r="C506" s="13" t="s">
        <v>1630</v>
      </c>
      <c r="D506" s="13" t="s">
        <v>1631</v>
      </c>
      <c r="E506" s="53" t="s">
        <v>601</v>
      </c>
      <c r="F506" s="31">
        <v>6700</v>
      </c>
      <c r="G506" s="32" t="s">
        <v>21</v>
      </c>
      <c r="H506" s="32" t="s">
        <v>4256</v>
      </c>
      <c r="I506" s="32"/>
      <c r="J506" s="32"/>
      <c r="K506" s="32"/>
      <c r="L506" s="32"/>
      <c r="M506" s="32"/>
      <c r="N506" s="81"/>
    </row>
    <row r="507" spans="1:15" s="401" customFormat="1" ht="21" x14ac:dyDescent="0.2">
      <c r="A507" s="32">
        <f>ROW()-ROW(สำนักงาน!$A$6)+1</f>
        <v>502</v>
      </c>
      <c r="B507" s="55" t="s">
        <v>1621</v>
      </c>
      <c r="C507" s="13" t="s">
        <v>1632</v>
      </c>
      <c r="D507" s="13" t="s">
        <v>1633</v>
      </c>
      <c r="E507" s="53" t="s">
        <v>601</v>
      </c>
      <c r="F507" s="31">
        <v>6700</v>
      </c>
      <c r="G507" s="32" t="s">
        <v>21</v>
      </c>
      <c r="H507" s="32" t="s">
        <v>4256</v>
      </c>
      <c r="I507" s="32"/>
      <c r="J507" s="32"/>
      <c r="K507" s="32"/>
      <c r="L507" s="32"/>
      <c r="M507" s="32"/>
      <c r="N507" s="81"/>
    </row>
    <row r="508" spans="1:15" s="401" customFormat="1" ht="21" x14ac:dyDescent="0.2">
      <c r="A508" s="32">
        <f>ROW()-ROW(สำนักงาน!$A$6)+1</f>
        <v>503</v>
      </c>
      <c r="B508" s="55" t="s">
        <v>1621</v>
      </c>
      <c r="C508" s="13" t="s">
        <v>1634</v>
      </c>
      <c r="D508" s="13" t="s">
        <v>1635</v>
      </c>
      <c r="E508" s="53" t="s">
        <v>601</v>
      </c>
      <c r="F508" s="31">
        <v>6700</v>
      </c>
      <c r="G508" s="32" t="s">
        <v>21</v>
      </c>
      <c r="H508" s="32" t="s">
        <v>4256</v>
      </c>
      <c r="I508" s="32"/>
      <c r="J508" s="32"/>
      <c r="K508" s="32"/>
      <c r="L508" s="32"/>
      <c r="M508" s="32"/>
      <c r="N508" s="81"/>
    </row>
    <row r="509" spans="1:15" s="401" customFormat="1" ht="21" x14ac:dyDescent="0.2">
      <c r="A509" s="32">
        <f>ROW()-ROW(สำนักงาน!$A$6)+1</f>
        <v>504</v>
      </c>
      <c r="B509" s="55" t="s">
        <v>1621</v>
      </c>
      <c r="C509" s="13" t="s">
        <v>1636</v>
      </c>
      <c r="D509" s="13" t="s">
        <v>1637</v>
      </c>
      <c r="E509" s="53" t="s">
        <v>601</v>
      </c>
      <c r="F509" s="31">
        <v>6700</v>
      </c>
      <c r="G509" s="32" t="s">
        <v>21</v>
      </c>
      <c r="H509" s="32" t="s">
        <v>4256</v>
      </c>
      <c r="I509" s="32"/>
      <c r="J509" s="32"/>
      <c r="K509" s="32"/>
      <c r="L509" s="32"/>
      <c r="M509" s="32"/>
      <c r="N509" s="81"/>
    </row>
    <row r="510" spans="1:15" s="401" customFormat="1" ht="21" x14ac:dyDescent="0.2">
      <c r="A510" s="32">
        <f>ROW()-ROW(สำนักงาน!$A$6)+1</f>
        <v>505</v>
      </c>
      <c r="B510" s="55" t="s">
        <v>1621</v>
      </c>
      <c r="C510" s="13" t="s">
        <v>1638</v>
      </c>
      <c r="D510" s="13" t="s">
        <v>1639</v>
      </c>
      <c r="E510" s="53" t="s">
        <v>601</v>
      </c>
      <c r="F510" s="31">
        <v>6700</v>
      </c>
      <c r="G510" s="32" t="s">
        <v>21</v>
      </c>
      <c r="H510" s="32" t="s">
        <v>4256</v>
      </c>
      <c r="I510" s="32"/>
      <c r="J510" s="32"/>
      <c r="K510" s="32"/>
      <c r="L510" s="32"/>
      <c r="M510" s="32"/>
      <c r="N510" s="81"/>
    </row>
    <row r="511" spans="1:15" s="401" customFormat="1" ht="21" x14ac:dyDescent="0.2">
      <c r="A511" s="32">
        <f>ROW()-ROW(สำนักงาน!$A$6)+1</f>
        <v>506</v>
      </c>
      <c r="B511" s="55" t="s">
        <v>1621</v>
      </c>
      <c r="C511" s="13" t="s">
        <v>1640</v>
      </c>
      <c r="D511" s="13" t="s">
        <v>1641</v>
      </c>
      <c r="E511" s="53" t="s">
        <v>601</v>
      </c>
      <c r="F511" s="31">
        <v>6700</v>
      </c>
      <c r="G511" s="32" t="s">
        <v>21</v>
      </c>
      <c r="H511" s="32" t="s">
        <v>4256</v>
      </c>
      <c r="I511" s="32"/>
      <c r="J511" s="32"/>
      <c r="K511" s="32"/>
      <c r="L511" s="32"/>
      <c r="M511" s="32"/>
      <c r="N511" s="81"/>
      <c r="O511" s="763">
        <f>SUM(F500:F511)</f>
        <v>73000</v>
      </c>
    </row>
    <row r="512" spans="1:15" s="373" customFormat="1" ht="18.75" x14ac:dyDescent="0.2">
      <c r="A512" s="32">
        <f>ROW()-ROW(สำนักงาน!$A$6)+1</f>
        <v>507</v>
      </c>
      <c r="B512" s="89" t="s">
        <v>2375</v>
      </c>
      <c r="C512" s="61" t="s">
        <v>2376</v>
      </c>
      <c r="D512" s="61" t="s">
        <v>2377</v>
      </c>
      <c r="E512" s="90">
        <v>45289</v>
      </c>
      <c r="F512" s="91">
        <v>9000</v>
      </c>
      <c r="G512" s="61" t="s">
        <v>2378</v>
      </c>
      <c r="H512" s="32" t="s">
        <v>4256</v>
      </c>
      <c r="I512" s="61"/>
      <c r="J512" s="62"/>
      <c r="K512" s="62"/>
      <c r="L512" s="63"/>
      <c r="M512" s="64"/>
      <c r="N512" s="542" t="s">
        <v>3831</v>
      </c>
    </row>
    <row r="513" spans="1:15" s="372" customFormat="1" ht="18.75" x14ac:dyDescent="0.3">
      <c r="A513" s="32">
        <f>ROW()-ROW(สำนักงาน!$A$6)+1</f>
        <v>508</v>
      </c>
      <c r="B513" s="543" t="s">
        <v>835</v>
      </c>
      <c r="C513" s="544" t="s">
        <v>836</v>
      </c>
      <c r="D513" s="544" t="s">
        <v>837</v>
      </c>
      <c r="E513" s="545">
        <v>17075</v>
      </c>
      <c r="F513" s="546">
        <v>1500</v>
      </c>
      <c r="G513" s="544" t="s">
        <v>264</v>
      </c>
      <c r="H513" s="371" t="s">
        <v>4256</v>
      </c>
      <c r="I513" s="547"/>
      <c r="J513" s="547"/>
      <c r="K513" s="548"/>
      <c r="L513" s="549"/>
      <c r="M513" s="550"/>
      <c r="N513" s="306"/>
    </row>
    <row r="514" spans="1:15" s="372" customFormat="1" ht="18.75" x14ac:dyDescent="0.3">
      <c r="A514" s="32">
        <f>ROW()-ROW(สำนักงาน!$A$6)+1</f>
        <v>509</v>
      </c>
      <c r="B514" s="543" t="s">
        <v>835</v>
      </c>
      <c r="C514" s="544" t="s">
        <v>838</v>
      </c>
      <c r="D514" s="544" t="s">
        <v>839</v>
      </c>
      <c r="E514" s="545">
        <v>17075</v>
      </c>
      <c r="F514" s="546">
        <v>1500</v>
      </c>
      <c r="G514" s="544" t="s">
        <v>264</v>
      </c>
      <c r="H514" s="371" t="s">
        <v>4256</v>
      </c>
      <c r="I514" s="551"/>
      <c r="J514" s="547"/>
      <c r="K514" s="548"/>
      <c r="L514" s="549"/>
      <c r="M514" s="550"/>
      <c r="N514" s="306"/>
    </row>
    <row r="515" spans="1:15" s="372" customFormat="1" ht="18.75" x14ac:dyDescent="0.3">
      <c r="A515" s="32">
        <f>ROW()-ROW(สำนักงาน!$A$6)+1</f>
        <v>510</v>
      </c>
      <c r="B515" s="543" t="s">
        <v>835</v>
      </c>
      <c r="C515" s="544" t="s">
        <v>840</v>
      </c>
      <c r="D515" s="544" t="s">
        <v>841</v>
      </c>
      <c r="E515" s="545">
        <v>17075</v>
      </c>
      <c r="F515" s="546">
        <v>1500</v>
      </c>
      <c r="G515" s="544" t="s">
        <v>264</v>
      </c>
      <c r="H515" s="371" t="s">
        <v>4256</v>
      </c>
      <c r="I515" s="551"/>
      <c r="J515" s="547"/>
      <c r="K515" s="548"/>
      <c r="L515" s="549"/>
      <c r="M515" s="550"/>
      <c r="N515" s="306"/>
    </row>
    <row r="516" spans="1:15" s="372" customFormat="1" ht="18.75" x14ac:dyDescent="0.3">
      <c r="A516" s="32">
        <f>ROW()-ROW(สำนักงาน!$A$6)+1</f>
        <v>511</v>
      </c>
      <c r="B516" s="543" t="s">
        <v>835</v>
      </c>
      <c r="C516" s="544" t="s">
        <v>842</v>
      </c>
      <c r="D516" s="544" t="s">
        <v>843</v>
      </c>
      <c r="E516" s="545">
        <v>17075</v>
      </c>
      <c r="F516" s="546">
        <v>1500</v>
      </c>
      <c r="G516" s="544" t="s">
        <v>264</v>
      </c>
      <c r="H516" s="371" t="s">
        <v>4256</v>
      </c>
      <c r="I516" s="551"/>
      <c r="J516" s="547"/>
      <c r="K516" s="548"/>
      <c r="L516" s="549"/>
      <c r="M516" s="550"/>
      <c r="N516" s="306"/>
    </row>
    <row r="517" spans="1:15" s="372" customFormat="1" ht="18.75" x14ac:dyDescent="0.3">
      <c r="A517" s="32">
        <f>ROW()-ROW(สำนักงาน!$A$6)+1</f>
        <v>512</v>
      </c>
      <c r="B517" s="543" t="s">
        <v>835</v>
      </c>
      <c r="C517" s="544" t="s">
        <v>844</v>
      </c>
      <c r="D517" s="544" t="s">
        <v>845</v>
      </c>
      <c r="E517" s="545">
        <v>17075</v>
      </c>
      <c r="F517" s="546">
        <v>1500</v>
      </c>
      <c r="G517" s="544" t="s">
        <v>264</v>
      </c>
      <c r="H517" s="371" t="s">
        <v>4256</v>
      </c>
      <c r="I517" s="551"/>
      <c r="J517" s="547"/>
      <c r="K517" s="548"/>
      <c r="L517" s="549"/>
      <c r="M517" s="550"/>
      <c r="N517" s="306"/>
    </row>
    <row r="518" spans="1:15" s="372" customFormat="1" ht="18.75" x14ac:dyDescent="0.3">
      <c r="A518" s="32">
        <f>ROW()-ROW(สำนักงาน!$A$6)+1</f>
        <v>513</v>
      </c>
      <c r="B518" s="543" t="s">
        <v>835</v>
      </c>
      <c r="C518" s="544" t="s">
        <v>846</v>
      </c>
      <c r="D518" s="544" t="s">
        <v>847</v>
      </c>
      <c r="E518" s="545">
        <v>17075</v>
      </c>
      <c r="F518" s="546">
        <v>1500</v>
      </c>
      <c r="G518" s="544" t="s">
        <v>264</v>
      </c>
      <c r="H518" s="371" t="s">
        <v>4256</v>
      </c>
      <c r="I518" s="551"/>
      <c r="J518" s="547"/>
      <c r="K518" s="548"/>
      <c r="L518" s="549"/>
      <c r="M518" s="550"/>
      <c r="N518" s="306"/>
    </row>
    <row r="519" spans="1:15" s="372" customFormat="1" ht="18.75" x14ac:dyDescent="0.3">
      <c r="A519" s="32">
        <f>ROW()-ROW(สำนักงาน!$A$6)+1</f>
        <v>514</v>
      </c>
      <c r="B519" s="543" t="s">
        <v>835</v>
      </c>
      <c r="C519" s="544" t="s">
        <v>848</v>
      </c>
      <c r="D519" s="544" t="s">
        <v>849</v>
      </c>
      <c r="E519" s="545">
        <v>17075</v>
      </c>
      <c r="F519" s="546">
        <v>1500</v>
      </c>
      <c r="G519" s="544" t="s">
        <v>264</v>
      </c>
      <c r="H519" s="371" t="s">
        <v>4256</v>
      </c>
      <c r="I519" s="551"/>
      <c r="J519" s="547"/>
      <c r="K519" s="548"/>
      <c r="L519" s="549"/>
      <c r="M519" s="550"/>
      <c r="N519" s="306"/>
    </row>
    <row r="520" spans="1:15" s="372" customFormat="1" ht="18.75" x14ac:dyDescent="0.3">
      <c r="A520" s="32">
        <f>ROW()-ROW(สำนักงาน!$A$6)+1</f>
        <v>515</v>
      </c>
      <c r="B520" s="82" t="s">
        <v>960</v>
      </c>
      <c r="C520" s="13" t="s">
        <v>961</v>
      </c>
      <c r="D520" s="13" t="s">
        <v>962</v>
      </c>
      <c r="E520" s="220" t="s">
        <v>948</v>
      </c>
      <c r="F520" s="221">
        <v>18000</v>
      </c>
      <c r="G520" s="345" t="s">
        <v>949</v>
      </c>
      <c r="H520" s="371" t="s">
        <v>4256</v>
      </c>
      <c r="I520" s="300"/>
      <c r="J520" s="303"/>
      <c r="K520" s="303"/>
      <c r="L520" s="304"/>
      <c r="M520" s="305"/>
      <c r="N520" s="306"/>
    </row>
    <row r="521" spans="1:15" s="373" customFormat="1" ht="75" x14ac:dyDescent="0.2">
      <c r="A521" s="32">
        <f>ROW()-ROW(สำนักงาน!$A$6)+1</f>
        <v>516</v>
      </c>
      <c r="B521" s="52" t="s">
        <v>3222</v>
      </c>
      <c r="C521" s="32" t="s">
        <v>3223</v>
      </c>
      <c r="D521" s="32" t="s">
        <v>3224</v>
      </c>
      <c r="E521" s="53" t="s">
        <v>2862</v>
      </c>
      <c r="F521" s="54">
        <v>32100</v>
      </c>
      <c r="G521" s="32" t="s">
        <v>2893</v>
      </c>
      <c r="H521" s="479" t="s">
        <v>4256</v>
      </c>
      <c r="I521" s="32"/>
      <c r="J521" s="32"/>
      <c r="K521" s="32"/>
      <c r="L521" s="32"/>
      <c r="M521" s="32"/>
      <c r="N521" s="285" t="s">
        <v>3844</v>
      </c>
    </row>
    <row r="522" spans="1:15" s="373" customFormat="1" ht="56.25" x14ac:dyDescent="0.2">
      <c r="A522" s="32">
        <f>ROW()-ROW(สำนักงาน!$A$6)+1</f>
        <v>517</v>
      </c>
      <c r="B522" s="52" t="s">
        <v>3225</v>
      </c>
      <c r="C522" s="32" t="s">
        <v>3226</v>
      </c>
      <c r="D522" s="32" t="s">
        <v>3227</v>
      </c>
      <c r="E522" s="53" t="s">
        <v>2862</v>
      </c>
      <c r="F522" s="54">
        <v>55640</v>
      </c>
      <c r="G522" s="32" t="s">
        <v>2893</v>
      </c>
      <c r="H522" s="479" t="s">
        <v>4256</v>
      </c>
      <c r="I522" s="32"/>
      <c r="J522" s="32"/>
      <c r="K522" s="32"/>
      <c r="L522" s="32"/>
      <c r="M522" s="32"/>
      <c r="N522" s="285" t="s">
        <v>3867</v>
      </c>
    </row>
    <row r="523" spans="1:15" s="401" customFormat="1" ht="21" x14ac:dyDescent="0.2">
      <c r="A523" s="32">
        <f>ROW()-ROW(สำนักงาน!$A$6)+1</f>
        <v>518</v>
      </c>
      <c r="B523" s="55" t="s">
        <v>1642</v>
      </c>
      <c r="C523" s="13" t="s">
        <v>1643</v>
      </c>
      <c r="D523" s="13" t="s">
        <v>1644</v>
      </c>
      <c r="E523" s="53" t="s">
        <v>1645</v>
      </c>
      <c r="F523" s="31">
        <v>18000</v>
      </c>
      <c r="G523" s="32" t="s">
        <v>21</v>
      </c>
      <c r="H523" s="32" t="s">
        <v>4256</v>
      </c>
      <c r="I523" s="32"/>
      <c r="J523" s="32"/>
      <c r="K523" s="32"/>
      <c r="L523" s="32"/>
      <c r="M523" s="32"/>
      <c r="N523" s="81"/>
      <c r="O523" s="763">
        <f>SUM(F512:F523)</f>
        <v>143240</v>
      </c>
    </row>
    <row r="524" spans="1:15" s="370" customFormat="1" ht="18.75" x14ac:dyDescent="0.2">
      <c r="A524" s="32">
        <f>ROW()-ROW(สำนักงาน!$A$6)+1</f>
        <v>519</v>
      </c>
      <c r="B524" s="150" t="s">
        <v>280</v>
      </c>
      <c r="C524" s="151" t="s">
        <v>281</v>
      </c>
      <c r="D524" s="151" t="s">
        <v>282</v>
      </c>
      <c r="E524" s="152">
        <v>15354</v>
      </c>
      <c r="F524" s="153">
        <v>3800</v>
      </c>
      <c r="G524" s="65" t="s">
        <v>200</v>
      </c>
      <c r="H524" s="32" t="s">
        <v>4256</v>
      </c>
      <c r="I524" s="151"/>
      <c r="J524" s="154"/>
      <c r="K524" s="154"/>
      <c r="L524" s="155"/>
      <c r="M524" s="156"/>
      <c r="N524" s="151" t="s">
        <v>4302</v>
      </c>
    </row>
    <row r="525" spans="1:15" s="370" customFormat="1" ht="18.75" x14ac:dyDescent="0.2">
      <c r="A525" s="32">
        <f>ROW()-ROW(สำนักงาน!$A$6)+1</f>
        <v>520</v>
      </c>
      <c r="B525" s="150" t="s">
        <v>280</v>
      </c>
      <c r="C525" s="151" t="s">
        <v>283</v>
      </c>
      <c r="D525" s="151" t="s">
        <v>284</v>
      </c>
      <c r="E525" s="152">
        <v>15354</v>
      </c>
      <c r="F525" s="153">
        <v>3800</v>
      </c>
      <c r="G525" s="65" t="s">
        <v>200</v>
      </c>
      <c r="H525" s="32" t="s">
        <v>4256</v>
      </c>
      <c r="I525" s="151"/>
      <c r="J525" s="154"/>
      <c r="K525" s="154"/>
      <c r="L525" s="155"/>
      <c r="M525" s="156"/>
      <c r="N525" s="151" t="s">
        <v>4302</v>
      </c>
    </row>
    <row r="526" spans="1:15" s="370" customFormat="1" ht="18.75" x14ac:dyDescent="0.2">
      <c r="A526" s="32">
        <f>ROW()-ROW(สำนักงาน!$A$6)+1</f>
        <v>521</v>
      </c>
      <c r="B526" s="192" t="s">
        <v>347</v>
      </c>
      <c r="C526" s="193" t="s">
        <v>348</v>
      </c>
      <c r="D526" s="193" t="s">
        <v>349</v>
      </c>
      <c r="E526" s="194">
        <v>16855</v>
      </c>
      <c r="F526" s="195">
        <v>2000</v>
      </c>
      <c r="G526" s="186" t="s">
        <v>200</v>
      </c>
      <c r="H526" s="32" t="s">
        <v>4256</v>
      </c>
      <c r="I526" s="193"/>
      <c r="J526" s="196"/>
      <c r="K526" s="196"/>
      <c r="L526" s="197"/>
      <c r="M526" s="198"/>
      <c r="N526" s="151" t="s">
        <v>4307</v>
      </c>
    </row>
    <row r="527" spans="1:15" s="370" customFormat="1" ht="18.75" x14ac:dyDescent="0.2">
      <c r="A527" s="32">
        <f>ROW()-ROW(สำนักงาน!$A$6)+1</f>
        <v>522</v>
      </c>
      <c r="B527" s="192" t="s">
        <v>347</v>
      </c>
      <c r="C527" s="193" t="s">
        <v>350</v>
      </c>
      <c r="D527" s="193" t="s">
        <v>351</v>
      </c>
      <c r="E527" s="194">
        <v>16855</v>
      </c>
      <c r="F527" s="195">
        <v>2000</v>
      </c>
      <c r="G527" s="186" t="s">
        <v>200</v>
      </c>
      <c r="H527" s="193"/>
      <c r="I527" s="32" t="s">
        <v>4256</v>
      </c>
      <c r="J527" s="196"/>
      <c r="K527" s="196"/>
      <c r="L527" s="197"/>
      <c r="M527" s="198"/>
      <c r="N527" s="151" t="s">
        <v>352</v>
      </c>
    </row>
    <row r="528" spans="1:15" s="372" customFormat="1" ht="18.75" x14ac:dyDescent="0.3">
      <c r="A528" s="32">
        <f>ROW()-ROW(สำนักงาน!$A$6)+1</f>
        <v>523</v>
      </c>
      <c r="B528" s="552" t="s">
        <v>850</v>
      </c>
      <c r="C528" s="553" t="s">
        <v>851</v>
      </c>
      <c r="D528" s="553" t="s">
        <v>852</v>
      </c>
      <c r="E528" s="554">
        <v>17075</v>
      </c>
      <c r="F528" s="555">
        <v>2250</v>
      </c>
      <c r="G528" s="553" t="s">
        <v>264</v>
      </c>
      <c r="H528" s="371" t="s">
        <v>4256</v>
      </c>
      <c r="I528" s="556"/>
      <c r="J528" s="557"/>
      <c r="K528" s="557"/>
      <c r="L528" s="558"/>
      <c r="M528" s="559"/>
      <c r="N528" s="560"/>
    </row>
    <row r="529" spans="1:14" s="372" customFormat="1" ht="18.75" x14ac:dyDescent="0.3">
      <c r="A529" s="32">
        <f>ROW()-ROW(สำนักงาน!$A$6)+1</f>
        <v>524</v>
      </c>
      <c r="B529" s="552" t="s">
        <v>850</v>
      </c>
      <c r="C529" s="553" t="s">
        <v>853</v>
      </c>
      <c r="D529" s="553" t="s">
        <v>854</v>
      </c>
      <c r="E529" s="554">
        <v>17075</v>
      </c>
      <c r="F529" s="555">
        <v>2250</v>
      </c>
      <c r="G529" s="553" t="s">
        <v>264</v>
      </c>
      <c r="H529" s="371" t="s">
        <v>4256</v>
      </c>
      <c r="I529" s="556"/>
      <c r="J529" s="557"/>
      <c r="K529" s="557"/>
      <c r="L529" s="558"/>
      <c r="M529" s="559"/>
      <c r="N529" s="560"/>
    </row>
    <row r="530" spans="1:14" s="372" customFormat="1" ht="18.75" x14ac:dyDescent="0.3">
      <c r="A530" s="32">
        <f>ROW()-ROW(สำนักงาน!$A$6)+1</f>
        <v>525</v>
      </c>
      <c r="B530" s="552" t="s">
        <v>855</v>
      </c>
      <c r="C530" s="553" t="s">
        <v>856</v>
      </c>
      <c r="D530" s="553" t="s">
        <v>857</v>
      </c>
      <c r="E530" s="554">
        <v>17075</v>
      </c>
      <c r="F530" s="555">
        <v>9375</v>
      </c>
      <c r="G530" s="553" t="s">
        <v>264</v>
      </c>
      <c r="H530" s="371" t="s">
        <v>4256</v>
      </c>
      <c r="I530" s="556"/>
      <c r="J530" s="557"/>
      <c r="K530" s="557"/>
      <c r="L530" s="558"/>
      <c r="M530" s="559"/>
      <c r="N530" s="560"/>
    </row>
    <row r="531" spans="1:14" s="372" customFormat="1" ht="18.75" x14ac:dyDescent="0.3">
      <c r="A531" s="32">
        <f>ROW()-ROW(สำนักงาน!$A$6)+1</f>
        <v>526</v>
      </c>
      <c r="B531" s="552" t="s">
        <v>855</v>
      </c>
      <c r="C531" s="553" t="s">
        <v>858</v>
      </c>
      <c r="D531" s="553" t="s">
        <v>859</v>
      </c>
      <c r="E531" s="554">
        <v>17075</v>
      </c>
      <c r="F531" s="555">
        <v>9375</v>
      </c>
      <c r="G531" s="553" t="s">
        <v>264</v>
      </c>
      <c r="H531" s="371" t="s">
        <v>4256</v>
      </c>
      <c r="I531" s="556"/>
      <c r="J531" s="557"/>
      <c r="K531" s="557"/>
      <c r="L531" s="558"/>
      <c r="M531" s="559"/>
      <c r="N531" s="560"/>
    </row>
    <row r="532" spans="1:14" s="372" customFormat="1" ht="18.75" x14ac:dyDescent="0.3">
      <c r="A532" s="32">
        <f>ROW()-ROW(สำนักงาน!$A$6)+1</f>
        <v>527</v>
      </c>
      <c r="B532" s="561" t="s">
        <v>860</v>
      </c>
      <c r="C532" s="553" t="s">
        <v>861</v>
      </c>
      <c r="D532" s="562" t="s">
        <v>862</v>
      </c>
      <c r="E532" s="563">
        <v>17075</v>
      </c>
      <c r="F532" s="564">
        <v>3600</v>
      </c>
      <c r="G532" s="562" t="s">
        <v>264</v>
      </c>
      <c r="H532" s="371" t="s">
        <v>4256</v>
      </c>
      <c r="I532" s="565"/>
      <c r="J532" s="566"/>
      <c r="K532" s="566"/>
      <c r="L532" s="567"/>
      <c r="M532" s="568"/>
      <c r="N532" s="560"/>
    </row>
    <row r="533" spans="1:14" s="372" customFormat="1" ht="18.75" x14ac:dyDescent="0.3">
      <c r="A533" s="32">
        <f>ROW()-ROW(สำนักงาน!$A$6)+1</f>
        <v>528</v>
      </c>
      <c r="B533" s="561" t="s">
        <v>863</v>
      </c>
      <c r="C533" s="553" t="s">
        <v>864</v>
      </c>
      <c r="D533" s="562" t="s">
        <v>865</v>
      </c>
      <c r="E533" s="563">
        <v>17075</v>
      </c>
      <c r="F533" s="564">
        <v>3300</v>
      </c>
      <c r="G533" s="562" t="s">
        <v>264</v>
      </c>
      <c r="H533" s="371" t="s">
        <v>4256</v>
      </c>
      <c r="I533" s="565"/>
      <c r="J533" s="566"/>
      <c r="K533" s="566"/>
      <c r="L533" s="567"/>
      <c r="M533" s="568"/>
      <c r="N533" s="560"/>
    </row>
    <row r="534" spans="1:14" s="372" customFormat="1" ht="18.75" x14ac:dyDescent="0.3">
      <c r="A534" s="32">
        <f>ROW()-ROW(สำนักงาน!$A$6)+1</f>
        <v>529</v>
      </c>
      <c r="B534" s="561" t="s">
        <v>863</v>
      </c>
      <c r="C534" s="553" t="s">
        <v>866</v>
      </c>
      <c r="D534" s="562" t="s">
        <v>867</v>
      </c>
      <c r="E534" s="563">
        <v>17075</v>
      </c>
      <c r="F534" s="564">
        <v>3300</v>
      </c>
      <c r="G534" s="562" t="s">
        <v>264</v>
      </c>
      <c r="H534" s="371" t="s">
        <v>4256</v>
      </c>
      <c r="I534" s="565"/>
      <c r="J534" s="566"/>
      <c r="K534" s="566"/>
      <c r="L534" s="567"/>
      <c r="M534" s="568"/>
      <c r="N534" s="560"/>
    </row>
    <row r="535" spans="1:14" s="372" customFormat="1" ht="18.75" x14ac:dyDescent="0.3">
      <c r="A535" s="32">
        <f>ROW()-ROW(สำนักงาน!$A$6)+1</f>
        <v>530</v>
      </c>
      <c r="B535" s="561" t="s">
        <v>863</v>
      </c>
      <c r="C535" s="553" t="s">
        <v>868</v>
      </c>
      <c r="D535" s="562" t="s">
        <v>869</v>
      </c>
      <c r="E535" s="563">
        <v>17075</v>
      </c>
      <c r="F535" s="564">
        <v>3300</v>
      </c>
      <c r="G535" s="562" t="s">
        <v>264</v>
      </c>
      <c r="H535" s="371" t="s">
        <v>4256</v>
      </c>
      <c r="I535" s="565"/>
      <c r="J535" s="566"/>
      <c r="K535" s="566"/>
      <c r="L535" s="567"/>
      <c r="M535" s="568"/>
      <c r="N535" s="560"/>
    </row>
    <row r="536" spans="1:14" s="372" customFormat="1" ht="18.75" x14ac:dyDescent="0.3">
      <c r="A536" s="32">
        <f>ROW()-ROW(สำนักงาน!$A$6)+1</f>
        <v>531</v>
      </c>
      <c r="B536" s="561" t="s">
        <v>863</v>
      </c>
      <c r="C536" s="553" t="s">
        <v>870</v>
      </c>
      <c r="D536" s="562" t="s">
        <v>871</v>
      </c>
      <c r="E536" s="563">
        <v>17075</v>
      </c>
      <c r="F536" s="564">
        <v>3300</v>
      </c>
      <c r="G536" s="562" t="s">
        <v>264</v>
      </c>
      <c r="H536" s="371" t="s">
        <v>4256</v>
      </c>
      <c r="I536" s="565"/>
      <c r="J536" s="566"/>
      <c r="K536" s="566"/>
      <c r="L536" s="567"/>
      <c r="M536" s="568"/>
      <c r="N536" s="560"/>
    </row>
    <row r="537" spans="1:14" s="372" customFormat="1" ht="18.75" x14ac:dyDescent="0.3">
      <c r="A537" s="32">
        <f>ROW()-ROW(สำนักงาน!$A$6)+1</f>
        <v>532</v>
      </c>
      <c r="B537" s="561" t="s">
        <v>863</v>
      </c>
      <c r="C537" s="553" t="s">
        <v>872</v>
      </c>
      <c r="D537" s="562" t="s">
        <v>873</v>
      </c>
      <c r="E537" s="563">
        <v>17075</v>
      </c>
      <c r="F537" s="564">
        <v>3300</v>
      </c>
      <c r="G537" s="562" t="s">
        <v>264</v>
      </c>
      <c r="H537" s="371" t="s">
        <v>4256</v>
      </c>
      <c r="I537" s="565"/>
      <c r="J537" s="566"/>
      <c r="K537" s="566"/>
      <c r="L537" s="567"/>
      <c r="M537" s="568"/>
      <c r="N537" s="560"/>
    </row>
    <row r="538" spans="1:14" s="372" customFormat="1" ht="18.75" x14ac:dyDescent="0.3">
      <c r="A538" s="32">
        <f>ROW()-ROW(สำนักงาน!$A$6)+1</f>
        <v>533</v>
      </c>
      <c r="B538" s="561" t="s">
        <v>863</v>
      </c>
      <c r="C538" s="553" t="s">
        <v>874</v>
      </c>
      <c r="D538" s="562" t="s">
        <v>875</v>
      </c>
      <c r="E538" s="563">
        <v>17075</v>
      </c>
      <c r="F538" s="564">
        <v>3300</v>
      </c>
      <c r="G538" s="562" t="s">
        <v>264</v>
      </c>
      <c r="H538" s="371" t="s">
        <v>4256</v>
      </c>
      <c r="I538" s="565"/>
      <c r="J538" s="566"/>
      <c r="K538" s="566"/>
      <c r="L538" s="567"/>
      <c r="M538" s="568"/>
      <c r="N538" s="560"/>
    </row>
    <row r="539" spans="1:14" s="372" customFormat="1" ht="18.75" x14ac:dyDescent="0.3">
      <c r="A539" s="32">
        <f>ROW()-ROW(สำนักงาน!$A$6)+1</f>
        <v>534</v>
      </c>
      <c r="B539" s="561" t="s">
        <v>863</v>
      </c>
      <c r="C539" s="553" t="s">
        <v>876</v>
      </c>
      <c r="D539" s="562" t="s">
        <v>877</v>
      </c>
      <c r="E539" s="563">
        <v>17075</v>
      </c>
      <c r="F539" s="564">
        <v>3300</v>
      </c>
      <c r="G539" s="562" t="s">
        <v>264</v>
      </c>
      <c r="H539" s="371" t="s">
        <v>4256</v>
      </c>
      <c r="I539" s="565"/>
      <c r="J539" s="566"/>
      <c r="K539" s="566"/>
      <c r="L539" s="567"/>
      <c r="M539" s="568"/>
      <c r="N539" s="560"/>
    </row>
    <row r="540" spans="1:14" s="372" customFormat="1" ht="18.75" x14ac:dyDescent="0.3">
      <c r="A540" s="32">
        <f>ROW()-ROW(สำนักงาน!$A$6)+1</f>
        <v>535</v>
      </c>
      <c r="B540" s="561" t="s">
        <v>863</v>
      </c>
      <c r="C540" s="553" t="s">
        <v>878</v>
      </c>
      <c r="D540" s="562" t="s">
        <v>879</v>
      </c>
      <c r="E540" s="563">
        <v>17075</v>
      </c>
      <c r="F540" s="564">
        <v>3300</v>
      </c>
      <c r="G540" s="562" t="s">
        <v>264</v>
      </c>
      <c r="H540" s="371" t="s">
        <v>4256</v>
      </c>
      <c r="I540" s="565"/>
      <c r="J540" s="566"/>
      <c r="K540" s="566"/>
      <c r="L540" s="567"/>
      <c r="M540" s="568"/>
      <c r="N540" s="560"/>
    </row>
    <row r="541" spans="1:14" s="372" customFormat="1" ht="18.75" x14ac:dyDescent="0.3">
      <c r="A541" s="32">
        <f>ROW()-ROW(สำนักงาน!$A$6)+1</f>
        <v>536</v>
      </c>
      <c r="B541" s="561" t="s">
        <v>863</v>
      </c>
      <c r="C541" s="553" t="s">
        <v>880</v>
      </c>
      <c r="D541" s="562" t="s">
        <v>881</v>
      </c>
      <c r="E541" s="563">
        <v>17075</v>
      </c>
      <c r="F541" s="564">
        <v>3300</v>
      </c>
      <c r="G541" s="562" t="s">
        <v>264</v>
      </c>
      <c r="H541" s="371" t="s">
        <v>4256</v>
      </c>
      <c r="I541" s="565"/>
      <c r="J541" s="566"/>
      <c r="K541" s="566"/>
      <c r="L541" s="567"/>
      <c r="M541" s="568"/>
      <c r="N541" s="560"/>
    </row>
    <row r="542" spans="1:14" s="372" customFormat="1" ht="18.75" x14ac:dyDescent="0.3">
      <c r="A542" s="32">
        <f>ROW()-ROW(สำนักงาน!$A$6)+1</f>
        <v>537</v>
      </c>
      <c r="B542" s="561" t="s">
        <v>882</v>
      </c>
      <c r="C542" s="553" t="s">
        <v>883</v>
      </c>
      <c r="D542" s="562" t="s">
        <v>884</v>
      </c>
      <c r="E542" s="563">
        <v>17075</v>
      </c>
      <c r="F542" s="564">
        <v>5250</v>
      </c>
      <c r="G542" s="562" t="s">
        <v>264</v>
      </c>
      <c r="H542" s="371" t="s">
        <v>4256</v>
      </c>
      <c r="I542" s="565"/>
      <c r="J542" s="566"/>
      <c r="K542" s="566"/>
      <c r="L542" s="567"/>
      <c r="M542" s="568"/>
      <c r="N542" s="560"/>
    </row>
    <row r="543" spans="1:14" s="372" customFormat="1" ht="18.75" x14ac:dyDescent="0.3">
      <c r="A543" s="32">
        <f>ROW()-ROW(สำนักงาน!$A$6)+1</f>
        <v>538</v>
      </c>
      <c r="B543" s="561" t="s">
        <v>882</v>
      </c>
      <c r="C543" s="553" t="s">
        <v>885</v>
      </c>
      <c r="D543" s="562" t="s">
        <v>886</v>
      </c>
      <c r="E543" s="563">
        <v>17075</v>
      </c>
      <c r="F543" s="564">
        <v>5250</v>
      </c>
      <c r="G543" s="562" t="s">
        <v>264</v>
      </c>
      <c r="H543" s="371" t="s">
        <v>4256</v>
      </c>
      <c r="I543" s="565"/>
      <c r="J543" s="566"/>
      <c r="K543" s="566"/>
      <c r="L543" s="567"/>
      <c r="M543" s="568"/>
      <c r="N543" s="560"/>
    </row>
    <row r="544" spans="1:14" s="372" customFormat="1" ht="18.75" x14ac:dyDescent="0.3">
      <c r="A544" s="32">
        <f>ROW()-ROW(สำนักงาน!$A$6)+1</f>
        <v>539</v>
      </c>
      <c r="B544" s="307" t="s">
        <v>1218</v>
      </c>
      <c r="C544" s="308" t="s">
        <v>1219</v>
      </c>
      <c r="D544" s="308" t="s">
        <v>1220</v>
      </c>
      <c r="E544" s="319" t="s">
        <v>1221</v>
      </c>
      <c r="F544" s="310">
        <v>9000</v>
      </c>
      <c r="G544" s="308" t="s">
        <v>825</v>
      </c>
      <c r="H544" s="320" t="s">
        <v>4256</v>
      </c>
      <c r="I544" s="321"/>
      <c r="J544" s="322"/>
      <c r="K544" s="322"/>
      <c r="L544" s="323"/>
      <c r="M544" s="324"/>
      <c r="N544" s="332"/>
    </row>
    <row r="545" spans="1:14" s="372" customFormat="1" ht="18.75" x14ac:dyDescent="0.3">
      <c r="A545" s="32">
        <f>ROW()-ROW(สำนักงาน!$A$6)+1</f>
        <v>540</v>
      </c>
      <c r="B545" s="307" t="s">
        <v>1218</v>
      </c>
      <c r="C545" s="308" t="s">
        <v>1222</v>
      </c>
      <c r="D545" s="308" t="s">
        <v>1223</v>
      </c>
      <c r="E545" s="319" t="s">
        <v>1221</v>
      </c>
      <c r="F545" s="310">
        <v>9000</v>
      </c>
      <c r="G545" s="308" t="s">
        <v>825</v>
      </c>
      <c r="H545" s="320" t="s">
        <v>4256</v>
      </c>
      <c r="I545" s="321"/>
      <c r="J545" s="322"/>
      <c r="K545" s="322"/>
      <c r="L545" s="323"/>
      <c r="M545" s="324"/>
      <c r="N545" s="332"/>
    </row>
    <row r="546" spans="1:14" s="372" customFormat="1" ht="18.75" x14ac:dyDescent="0.3">
      <c r="A546" s="32">
        <f>ROW()-ROW(สำนักงาน!$A$6)+1</f>
        <v>541</v>
      </c>
      <c r="B546" s="307" t="s">
        <v>1218</v>
      </c>
      <c r="C546" s="308" t="s">
        <v>1224</v>
      </c>
      <c r="D546" s="308" t="s">
        <v>1225</v>
      </c>
      <c r="E546" s="319" t="s">
        <v>1221</v>
      </c>
      <c r="F546" s="310">
        <v>9000</v>
      </c>
      <c r="G546" s="308" t="s">
        <v>825</v>
      </c>
      <c r="H546" s="320" t="s">
        <v>4256</v>
      </c>
      <c r="I546" s="321"/>
      <c r="J546" s="322"/>
      <c r="K546" s="322"/>
      <c r="L546" s="323"/>
      <c r="M546" s="324"/>
      <c r="N546" s="332"/>
    </row>
    <row r="547" spans="1:14" s="372" customFormat="1" ht="18.75" x14ac:dyDescent="0.3">
      <c r="A547" s="32">
        <f>ROW()-ROW(สำนักงาน!$A$6)+1</f>
        <v>542</v>
      </c>
      <c r="B547" s="307" t="s">
        <v>1218</v>
      </c>
      <c r="C547" s="308" t="s">
        <v>1226</v>
      </c>
      <c r="D547" s="308" t="s">
        <v>1227</v>
      </c>
      <c r="E547" s="319" t="s">
        <v>1221</v>
      </c>
      <c r="F547" s="310">
        <v>9000</v>
      </c>
      <c r="G547" s="308" t="s">
        <v>825</v>
      </c>
      <c r="H547" s="320" t="s">
        <v>4256</v>
      </c>
      <c r="I547" s="321"/>
      <c r="J547" s="322"/>
      <c r="K547" s="322"/>
      <c r="L547" s="323"/>
      <c r="M547" s="324"/>
      <c r="N547" s="332"/>
    </row>
    <row r="548" spans="1:14" s="372" customFormat="1" ht="18.75" x14ac:dyDescent="0.3">
      <c r="A548" s="32">
        <f>ROW()-ROW(สำนักงาน!$A$6)+1</f>
        <v>543</v>
      </c>
      <c r="B548" s="307" t="s">
        <v>1218</v>
      </c>
      <c r="C548" s="308" t="s">
        <v>1228</v>
      </c>
      <c r="D548" s="308" t="s">
        <v>1229</v>
      </c>
      <c r="E548" s="319" t="s">
        <v>1221</v>
      </c>
      <c r="F548" s="310">
        <v>9000</v>
      </c>
      <c r="G548" s="308" t="s">
        <v>825</v>
      </c>
      <c r="H548" s="320" t="s">
        <v>4256</v>
      </c>
      <c r="I548" s="321"/>
      <c r="J548" s="322"/>
      <c r="K548" s="322"/>
      <c r="L548" s="323"/>
      <c r="M548" s="324"/>
      <c r="N548" s="332"/>
    </row>
    <row r="549" spans="1:14" s="373" customFormat="1" ht="37.5" x14ac:dyDescent="0.2">
      <c r="A549" s="32">
        <f>ROW()-ROW(สำนักงาน!$A$6)+1</f>
        <v>544</v>
      </c>
      <c r="B549" s="569" t="s">
        <v>2795</v>
      </c>
      <c r="C549" s="570" t="s">
        <v>2796</v>
      </c>
      <c r="D549" s="32" t="s">
        <v>2797</v>
      </c>
      <c r="E549" s="53" t="s">
        <v>2798</v>
      </c>
      <c r="F549" s="54">
        <v>8600</v>
      </c>
      <c r="G549" s="56" t="s">
        <v>2383</v>
      </c>
      <c r="H549" s="479" t="s">
        <v>4256</v>
      </c>
      <c r="I549" s="32"/>
      <c r="J549" s="32"/>
      <c r="K549" s="225"/>
      <c r="L549" s="226"/>
      <c r="M549" s="234"/>
      <c r="N549" s="285" t="s">
        <v>3837</v>
      </c>
    </row>
    <row r="550" spans="1:14" s="373" customFormat="1" ht="37.5" x14ac:dyDescent="0.2">
      <c r="A550" s="32">
        <f>ROW()-ROW(สำนักงาน!$A$6)+1</f>
        <v>545</v>
      </c>
      <c r="B550" s="569" t="s">
        <v>2795</v>
      </c>
      <c r="C550" s="570" t="s">
        <v>2799</v>
      </c>
      <c r="D550" s="32" t="s">
        <v>2800</v>
      </c>
      <c r="E550" s="53" t="s">
        <v>2798</v>
      </c>
      <c r="F550" s="54">
        <v>8600</v>
      </c>
      <c r="G550" s="56" t="s">
        <v>2383</v>
      </c>
      <c r="H550" s="479" t="s">
        <v>4256</v>
      </c>
      <c r="I550" s="32"/>
      <c r="J550" s="32"/>
      <c r="K550" s="225"/>
      <c r="L550" s="226"/>
      <c r="M550" s="234"/>
      <c r="N550" s="285" t="s">
        <v>3837</v>
      </c>
    </row>
    <row r="551" spans="1:14" s="373" customFormat="1" ht="37.5" x14ac:dyDescent="0.2">
      <c r="A551" s="32">
        <f>ROW()-ROW(สำนักงาน!$A$6)+1</f>
        <v>546</v>
      </c>
      <c r="B551" s="569" t="s">
        <v>2795</v>
      </c>
      <c r="C551" s="570" t="s">
        <v>2801</v>
      </c>
      <c r="D551" s="32" t="s">
        <v>2802</v>
      </c>
      <c r="E551" s="53" t="s">
        <v>2798</v>
      </c>
      <c r="F551" s="54">
        <v>8600</v>
      </c>
      <c r="G551" s="56" t="s">
        <v>2383</v>
      </c>
      <c r="H551" s="479" t="s">
        <v>4256</v>
      </c>
      <c r="I551" s="32"/>
      <c r="J551" s="32"/>
      <c r="K551" s="225"/>
      <c r="L551" s="226"/>
      <c r="M551" s="234"/>
      <c r="N551" s="285" t="s">
        <v>3837</v>
      </c>
    </row>
    <row r="552" spans="1:14" s="373" customFormat="1" ht="37.5" x14ac:dyDescent="0.2">
      <c r="A552" s="32">
        <f>ROW()-ROW(สำนักงาน!$A$6)+1</f>
        <v>547</v>
      </c>
      <c r="B552" s="569" t="s">
        <v>2795</v>
      </c>
      <c r="C552" s="570" t="s">
        <v>2803</v>
      </c>
      <c r="D552" s="32" t="s">
        <v>2804</v>
      </c>
      <c r="E552" s="53" t="s">
        <v>2798</v>
      </c>
      <c r="F552" s="54">
        <v>8600</v>
      </c>
      <c r="G552" s="56" t="s">
        <v>2383</v>
      </c>
      <c r="H552" s="479" t="s">
        <v>4256</v>
      </c>
      <c r="I552" s="32"/>
      <c r="J552" s="32"/>
      <c r="K552" s="225"/>
      <c r="L552" s="226"/>
      <c r="M552" s="234"/>
      <c r="N552" s="285" t="s">
        <v>3837</v>
      </c>
    </row>
    <row r="553" spans="1:14" s="373" customFormat="1" ht="37.5" x14ac:dyDescent="0.2">
      <c r="A553" s="32">
        <f>ROW()-ROW(สำนักงาน!$A$6)+1</f>
        <v>548</v>
      </c>
      <c r="B553" s="569" t="s">
        <v>2795</v>
      </c>
      <c r="C553" s="570" t="s">
        <v>2805</v>
      </c>
      <c r="D553" s="32" t="s">
        <v>2806</v>
      </c>
      <c r="E553" s="53" t="s">
        <v>2798</v>
      </c>
      <c r="F553" s="54">
        <v>8600</v>
      </c>
      <c r="G553" s="56" t="s">
        <v>2383</v>
      </c>
      <c r="H553" s="479" t="s">
        <v>4256</v>
      </c>
      <c r="I553" s="32"/>
      <c r="J553" s="32"/>
      <c r="K553" s="225"/>
      <c r="L553" s="226"/>
      <c r="M553" s="234"/>
      <c r="N553" s="285" t="s">
        <v>3837</v>
      </c>
    </row>
    <row r="554" spans="1:14" s="373" customFormat="1" ht="37.5" x14ac:dyDescent="0.2">
      <c r="A554" s="32">
        <f>ROW()-ROW(สำนักงาน!$A$6)+1</f>
        <v>549</v>
      </c>
      <c r="B554" s="569" t="s">
        <v>2795</v>
      </c>
      <c r="C554" s="570" t="s">
        <v>2807</v>
      </c>
      <c r="D554" s="32" t="s">
        <v>2808</v>
      </c>
      <c r="E554" s="53" t="s">
        <v>2798</v>
      </c>
      <c r="F554" s="54">
        <v>8600</v>
      </c>
      <c r="G554" s="56" t="s">
        <v>2383</v>
      </c>
      <c r="H554" s="479" t="s">
        <v>4256</v>
      </c>
      <c r="I554" s="32"/>
      <c r="J554" s="32"/>
      <c r="K554" s="225"/>
      <c r="L554" s="226"/>
      <c r="M554" s="234"/>
      <c r="N554" s="285" t="s">
        <v>3838</v>
      </c>
    </row>
    <row r="555" spans="1:14" s="373" customFormat="1" ht="37.5" x14ac:dyDescent="0.2">
      <c r="A555" s="32">
        <f>ROW()-ROW(สำนักงาน!$A$6)+1</f>
        <v>550</v>
      </c>
      <c r="B555" s="569" t="s">
        <v>2795</v>
      </c>
      <c r="C555" s="570" t="s">
        <v>2809</v>
      </c>
      <c r="D555" s="32" t="s">
        <v>2810</v>
      </c>
      <c r="E555" s="53" t="s">
        <v>2798</v>
      </c>
      <c r="F555" s="54">
        <v>8600</v>
      </c>
      <c r="G555" s="56" t="s">
        <v>2383</v>
      </c>
      <c r="H555" s="479" t="s">
        <v>4256</v>
      </c>
      <c r="I555" s="32"/>
      <c r="J555" s="32"/>
      <c r="K555" s="225"/>
      <c r="L555" s="226"/>
      <c r="M555" s="234"/>
      <c r="N555" s="285" t="s">
        <v>3838</v>
      </c>
    </row>
    <row r="556" spans="1:14" s="373" customFormat="1" ht="37.5" x14ac:dyDescent="0.2">
      <c r="A556" s="32">
        <f>ROW()-ROW(สำนักงาน!$A$6)+1</f>
        <v>551</v>
      </c>
      <c r="B556" s="569" t="s">
        <v>2795</v>
      </c>
      <c r="C556" s="570" t="s">
        <v>2811</v>
      </c>
      <c r="D556" s="32" t="s">
        <v>2812</v>
      </c>
      <c r="E556" s="53" t="s">
        <v>2798</v>
      </c>
      <c r="F556" s="54">
        <v>8600</v>
      </c>
      <c r="G556" s="56" t="s">
        <v>2383</v>
      </c>
      <c r="H556" s="479" t="s">
        <v>4256</v>
      </c>
      <c r="I556" s="32"/>
      <c r="J556" s="32"/>
      <c r="K556" s="225"/>
      <c r="L556" s="226"/>
      <c r="M556" s="234"/>
      <c r="N556" s="285" t="s">
        <v>3838</v>
      </c>
    </row>
    <row r="557" spans="1:14" s="373" customFormat="1" ht="37.5" x14ac:dyDescent="0.2">
      <c r="A557" s="32">
        <f>ROW()-ROW(สำนักงาน!$A$6)+1</f>
        <v>552</v>
      </c>
      <c r="B557" s="569" t="s">
        <v>2795</v>
      </c>
      <c r="C557" s="570" t="s">
        <v>2813</v>
      </c>
      <c r="D557" s="32" t="s">
        <v>2814</v>
      </c>
      <c r="E557" s="53" t="s">
        <v>2798</v>
      </c>
      <c r="F557" s="54">
        <v>8600</v>
      </c>
      <c r="G557" s="56" t="s">
        <v>2383</v>
      </c>
      <c r="H557" s="479" t="s">
        <v>4256</v>
      </c>
      <c r="I557" s="32"/>
      <c r="J557" s="32"/>
      <c r="K557" s="225"/>
      <c r="L557" s="226"/>
      <c r="M557" s="234"/>
      <c r="N557" s="285" t="s">
        <v>3838</v>
      </c>
    </row>
    <row r="558" spans="1:14" s="373" customFormat="1" ht="37.5" x14ac:dyDescent="0.2">
      <c r="A558" s="32">
        <f>ROW()-ROW(สำนักงาน!$A$6)+1</f>
        <v>553</v>
      </c>
      <c r="B558" s="569" t="s">
        <v>2795</v>
      </c>
      <c r="C558" s="570" t="s">
        <v>2815</v>
      </c>
      <c r="D558" s="32" t="s">
        <v>2816</v>
      </c>
      <c r="E558" s="53" t="s">
        <v>2798</v>
      </c>
      <c r="F558" s="54">
        <v>8600</v>
      </c>
      <c r="G558" s="56" t="s">
        <v>2383</v>
      </c>
      <c r="H558" s="479" t="s">
        <v>4256</v>
      </c>
      <c r="I558" s="32"/>
      <c r="J558" s="32"/>
      <c r="K558" s="225"/>
      <c r="L558" s="226"/>
      <c r="M558" s="234"/>
      <c r="N558" s="285" t="s">
        <v>3838</v>
      </c>
    </row>
    <row r="559" spans="1:14" s="373" customFormat="1" ht="37.5" x14ac:dyDescent="0.2">
      <c r="A559" s="32">
        <f>ROW()-ROW(สำนักงาน!$A$6)+1</f>
        <v>554</v>
      </c>
      <c r="B559" s="569" t="s">
        <v>2795</v>
      </c>
      <c r="C559" s="570" t="s">
        <v>2817</v>
      </c>
      <c r="D559" s="32" t="s">
        <v>2818</v>
      </c>
      <c r="E559" s="53" t="s">
        <v>2798</v>
      </c>
      <c r="F559" s="54">
        <v>8600</v>
      </c>
      <c r="G559" s="56" t="s">
        <v>2383</v>
      </c>
      <c r="H559" s="479" t="s">
        <v>4256</v>
      </c>
      <c r="I559" s="32"/>
      <c r="J559" s="32"/>
      <c r="K559" s="225"/>
      <c r="L559" s="226"/>
      <c r="M559" s="234"/>
      <c r="N559" s="285" t="s">
        <v>3838</v>
      </c>
    </row>
    <row r="560" spans="1:14" s="373" customFormat="1" ht="37.5" x14ac:dyDescent="0.2">
      <c r="A560" s="32">
        <f>ROW()-ROW(สำนักงาน!$A$6)+1</f>
        <v>555</v>
      </c>
      <c r="B560" s="569" t="s">
        <v>2795</v>
      </c>
      <c r="C560" s="570" t="s">
        <v>2819</v>
      </c>
      <c r="D560" s="32" t="s">
        <v>2820</v>
      </c>
      <c r="E560" s="53" t="s">
        <v>2798</v>
      </c>
      <c r="F560" s="54">
        <v>8600</v>
      </c>
      <c r="G560" s="56" t="s">
        <v>2383</v>
      </c>
      <c r="H560" s="479" t="s">
        <v>4256</v>
      </c>
      <c r="I560" s="32"/>
      <c r="J560" s="32"/>
      <c r="K560" s="225"/>
      <c r="L560" s="226"/>
      <c r="M560" s="234"/>
      <c r="N560" s="285" t="s">
        <v>3838</v>
      </c>
    </row>
    <row r="561" spans="1:14" s="373" customFormat="1" ht="37.5" x14ac:dyDescent="0.2">
      <c r="A561" s="32">
        <f>ROW()-ROW(สำนักงาน!$A$6)+1</f>
        <v>556</v>
      </c>
      <c r="B561" s="569" t="s">
        <v>2795</v>
      </c>
      <c r="C561" s="570" t="s">
        <v>2821</v>
      </c>
      <c r="D561" s="32" t="s">
        <v>2822</v>
      </c>
      <c r="E561" s="53" t="s">
        <v>2798</v>
      </c>
      <c r="F561" s="54">
        <v>8600</v>
      </c>
      <c r="G561" s="56" t="s">
        <v>2383</v>
      </c>
      <c r="H561" s="479" t="s">
        <v>4256</v>
      </c>
      <c r="I561" s="32"/>
      <c r="J561" s="32"/>
      <c r="K561" s="225"/>
      <c r="L561" s="226"/>
      <c r="M561" s="234"/>
      <c r="N561" s="285" t="s">
        <v>3838</v>
      </c>
    </row>
    <row r="562" spans="1:14" s="373" customFormat="1" ht="37.5" x14ac:dyDescent="0.2">
      <c r="A562" s="32">
        <f>ROW()-ROW(สำนักงาน!$A$6)+1</f>
        <v>557</v>
      </c>
      <c r="B562" s="569" t="s">
        <v>2795</v>
      </c>
      <c r="C562" s="570" t="s">
        <v>2823</v>
      </c>
      <c r="D562" s="32" t="s">
        <v>2824</v>
      </c>
      <c r="E562" s="53" t="s">
        <v>2798</v>
      </c>
      <c r="F562" s="54">
        <v>8600</v>
      </c>
      <c r="G562" s="56" t="s">
        <v>2383</v>
      </c>
      <c r="H562" s="479" t="s">
        <v>4256</v>
      </c>
      <c r="I562" s="32"/>
      <c r="J562" s="32"/>
      <c r="K562" s="225"/>
      <c r="L562" s="226"/>
      <c r="M562" s="234"/>
      <c r="N562" s="285" t="s">
        <v>3838</v>
      </c>
    </row>
    <row r="563" spans="1:14" s="373" customFormat="1" ht="37.5" x14ac:dyDescent="0.2">
      <c r="A563" s="32">
        <f>ROW()-ROW(สำนักงาน!$A$6)+1</f>
        <v>558</v>
      </c>
      <c r="B563" s="569" t="s">
        <v>2795</v>
      </c>
      <c r="C563" s="570" t="s">
        <v>2825</v>
      </c>
      <c r="D563" s="32" t="s">
        <v>2826</v>
      </c>
      <c r="E563" s="53" t="s">
        <v>2798</v>
      </c>
      <c r="F563" s="54">
        <v>8600</v>
      </c>
      <c r="G563" s="56" t="s">
        <v>2383</v>
      </c>
      <c r="H563" s="479" t="s">
        <v>4256</v>
      </c>
      <c r="I563" s="32"/>
      <c r="J563" s="32"/>
      <c r="K563" s="225"/>
      <c r="L563" s="226"/>
      <c r="M563" s="234"/>
      <c r="N563" s="285" t="s">
        <v>3838</v>
      </c>
    </row>
    <row r="564" spans="1:14" s="373" customFormat="1" ht="37.5" x14ac:dyDescent="0.2">
      <c r="A564" s="32">
        <f>ROW()-ROW(สำนักงาน!$A$6)+1</f>
        <v>559</v>
      </c>
      <c r="B564" s="569" t="s">
        <v>2795</v>
      </c>
      <c r="C564" s="570" t="s">
        <v>2827</v>
      </c>
      <c r="D564" s="32" t="s">
        <v>2828</v>
      </c>
      <c r="E564" s="53" t="s">
        <v>2798</v>
      </c>
      <c r="F564" s="54">
        <v>8600</v>
      </c>
      <c r="G564" s="56" t="s">
        <v>2383</v>
      </c>
      <c r="H564" s="479" t="s">
        <v>4256</v>
      </c>
      <c r="I564" s="32"/>
      <c r="J564" s="32"/>
      <c r="K564" s="225"/>
      <c r="L564" s="226"/>
      <c r="M564" s="234"/>
      <c r="N564" s="285" t="s">
        <v>3865</v>
      </c>
    </row>
    <row r="565" spans="1:14" s="373" customFormat="1" ht="37.5" x14ac:dyDescent="0.2">
      <c r="A565" s="32">
        <f>ROW()-ROW(สำนักงาน!$A$6)+1</f>
        <v>560</v>
      </c>
      <c r="B565" s="52" t="s">
        <v>3228</v>
      </c>
      <c r="C565" s="32" t="s">
        <v>3229</v>
      </c>
      <c r="D565" s="32" t="s">
        <v>3230</v>
      </c>
      <c r="E565" s="53" t="s">
        <v>2862</v>
      </c>
      <c r="F565" s="54">
        <v>2033</v>
      </c>
      <c r="G565" s="32" t="s">
        <v>2893</v>
      </c>
      <c r="H565" s="479" t="s">
        <v>4256</v>
      </c>
      <c r="I565" s="32"/>
      <c r="J565" s="32"/>
      <c r="K565" s="32"/>
      <c r="L565" s="32"/>
      <c r="M565" s="32"/>
      <c r="N565" s="285" t="s">
        <v>3871</v>
      </c>
    </row>
    <row r="566" spans="1:14" s="373" customFormat="1" ht="37.5" x14ac:dyDescent="0.2">
      <c r="A566" s="32">
        <f>ROW()-ROW(สำนักงาน!$A$6)+1</f>
        <v>561</v>
      </c>
      <c r="B566" s="52" t="s">
        <v>3228</v>
      </c>
      <c r="C566" s="32" t="s">
        <v>3231</v>
      </c>
      <c r="D566" s="32" t="s">
        <v>3232</v>
      </c>
      <c r="E566" s="53" t="s">
        <v>2862</v>
      </c>
      <c r="F566" s="54">
        <v>2033</v>
      </c>
      <c r="G566" s="32" t="s">
        <v>2893</v>
      </c>
      <c r="H566" s="479" t="s">
        <v>4256</v>
      </c>
      <c r="I566" s="32"/>
      <c r="J566" s="32"/>
      <c r="K566" s="32"/>
      <c r="L566" s="32"/>
      <c r="M566" s="32"/>
      <c r="N566" s="285" t="s">
        <v>3854</v>
      </c>
    </row>
    <row r="567" spans="1:14" s="373" customFormat="1" ht="37.5" x14ac:dyDescent="0.2">
      <c r="A567" s="32">
        <f>ROW()-ROW(สำนักงาน!$A$6)+1</f>
        <v>562</v>
      </c>
      <c r="B567" s="52" t="s">
        <v>3228</v>
      </c>
      <c r="C567" s="32" t="s">
        <v>3233</v>
      </c>
      <c r="D567" s="32" t="s">
        <v>3234</v>
      </c>
      <c r="E567" s="53" t="s">
        <v>2862</v>
      </c>
      <c r="F567" s="54">
        <v>2033</v>
      </c>
      <c r="G567" s="32" t="s">
        <v>2893</v>
      </c>
      <c r="H567" s="479" t="s">
        <v>4256</v>
      </c>
      <c r="I567" s="32"/>
      <c r="J567" s="32"/>
      <c r="K567" s="32"/>
      <c r="L567" s="32"/>
      <c r="M567" s="32"/>
      <c r="N567" s="285" t="s">
        <v>3871</v>
      </c>
    </row>
    <row r="568" spans="1:14" s="373" customFormat="1" ht="37.5" x14ac:dyDescent="0.2">
      <c r="A568" s="32">
        <f>ROW()-ROW(สำนักงาน!$A$6)+1</f>
        <v>563</v>
      </c>
      <c r="B568" s="52" t="s">
        <v>3228</v>
      </c>
      <c r="C568" s="32" t="s">
        <v>3235</v>
      </c>
      <c r="D568" s="32" t="s">
        <v>3236</v>
      </c>
      <c r="E568" s="53" t="s">
        <v>2862</v>
      </c>
      <c r="F568" s="54">
        <v>2033</v>
      </c>
      <c r="G568" s="32" t="s">
        <v>2893</v>
      </c>
      <c r="H568" s="479" t="s">
        <v>4256</v>
      </c>
      <c r="I568" s="32"/>
      <c r="J568" s="32"/>
      <c r="K568" s="32"/>
      <c r="L568" s="32"/>
      <c r="M568" s="32"/>
      <c r="N568" s="285" t="s">
        <v>3871</v>
      </c>
    </row>
    <row r="569" spans="1:14" s="373" customFormat="1" ht="37.5" x14ac:dyDescent="0.2">
      <c r="A569" s="32">
        <f>ROW()-ROW(สำนักงาน!$A$6)+1</f>
        <v>564</v>
      </c>
      <c r="B569" s="52" t="s">
        <v>3228</v>
      </c>
      <c r="C569" s="32" t="s">
        <v>3237</v>
      </c>
      <c r="D569" s="32" t="s">
        <v>3238</v>
      </c>
      <c r="E569" s="53" t="s">
        <v>2862</v>
      </c>
      <c r="F569" s="54">
        <v>2033</v>
      </c>
      <c r="G569" s="32" t="s">
        <v>2893</v>
      </c>
      <c r="H569" s="479" t="s">
        <v>4256</v>
      </c>
      <c r="I569" s="32"/>
      <c r="J569" s="32"/>
      <c r="K569" s="32"/>
      <c r="L569" s="32"/>
      <c r="M569" s="32"/>
      <c r="N569" s="285" t="s">
        <v>3871</v>
      </c>
    </row>
    <row r="570" spans="1:14" s="373" customFormat="1" ht="37.5" x14ac:dyDescent="0.2">
      <c r="A570" s="32">
        <f>ROW()-ROW(สำนักงาน!$A$6)+1</f>
        <v>565</v>
      </c>
      <c r="B570" s="52" t="s">
        <v>3228</v>
      </c>
      <c r="C570" s="32" t="s">
        <v>3239</v>
      </c>
      <c r="D570" s="32" t="s">
        <v>3240</v>
      </c>
      <c r="E570" s="53" t="s">
        <v>2862</v>
      </c>
      <c r="F570" s="54">
        <v>2033</v>
      </c>
      <c r="G570" s="32" t="s">
        <v>2893</v>
      </c>
      <c r="H570" s="479" t="s">
        <v>4256</v>
      </c>
      <c r="I570" s="32"/>
      <c r="J570" s="32"/>
      <c r="K570" s="32"/>
      <c r="L570" s="32"/>
      <c r="M570" s="32"/>
      <c r="N570" s="285" t="s">
        <v>3871</v>
      </c>
    </row>
    <row r="571" spans="1:14" s="373" customFormat="1" ht="37.5" x14ac:dyDescent="0.2">
      <c r="A571" s="32">
        <f>ROW()-ROW(สำนักงาน!$A$6)+1</f>
        <v>566</v>
      </c>
      <c r="B571" s="52" t="s">
        <v>3228</v>
      </c>
      <c r="C571" s="32" t="s">
        <v>3241</v>
      </c>
      <c r="D571" s="32" t="s">
        <v>3242</v>
      </c>
      <c r="E571" s="53" t="s">
        <v>2862</v>
      </c>
      <c r="F571" s="54">
        <v>2033</v>
      </c>
      <c r="G571" s="32" t="s">
        <v>2893</v>
      </c>
      <c r="H571" s="479" t="s">
        <v>4256</v>
      </c>
      <c r="I571" s="32"/>
      <c r="J571" s="32"/>
      <c r="K571" s="32"/>
      <c r="L571" s="32"/>
      <c r="M571" s="32"/>
      <c r="N571" s="285" t="s">
        <v>3854</v>
      </c>
    </row>
    <row r="572" spans="1:14" s="373" customFormat="1" ht="37.5" x14ac:dyDescent="0.2">
      <c r="A572" s="32">
        <f>ROW()-ROW(สำนักงาน!$A$6)+1</f>
        <v>567</v>
      </c>
      <c r="B572" s="52" t="s">
        <v>3228</v>
      </c>
      <c r="C572" s="32" t="s">
        <v>3243</v>
      </c>
      <c r="D572" s="32" t="s">
        <v>3244</v>
      </c>
      <c r="E572" s="53" t="s">
        <v>2862</v>
      </c>
      <c r="F572" s="54">
        <v>2033</v>
      </c>
      <c r="G572" s="32" t="s">
        <v>2893</v>
      </c>
      <c r="H572" s="479" t="s">
        <v>4256</v>
      </c>
      <c r="I572" s="32"/>
      <c r="J572" s="32"/>
      <c r="K572" s="32"/>
      <c r="L572" s="32"/>
      <c r="M572" s="32"/>
      <c r="N572" s="285" t="s">
        <v>3854</v>
      </c>
    </row>
    <row r="573" spans="1:14" s="373" customFormat="1" ht="37.5" x14ac:dyDescent="0.2">
      <c r="A573" s="32">
        <f>ROW()-ROW(สำนักงาน!$A$6)+1</f>
        <v>568</v>
      </c>
      <c r="B573" s="52" t="s">
        <v>3228</v>
      </c>
      <c r="C573" s="32" t="s">
        <v>3245</v>
      </c>
      <c r="D573" s="32" t="s">
        <v>3246</v>
      </c>
      <c r="E573" s="53" t="s">
        <v>2862</v>
      </c>
      <c r="F573" s="54">
        <v>2033</v>
      </c>
      <c r="G573" s="32" t="s">
        <v>2893</v>
      </c>
      <c r="H573" s="479" t="s">
        <v>4256</v>
      </c>
      <c r="I573" s="32"/>
      <c r="J573" s="32"/>
      <c r="K573" s="32"/>
      <c r="L573" s="32"/>
      <c r="M573" s="32"/>
      <c r="N573" s="285" t="s">
        <v>3854</v>
      </c>
    </row>
    <row r="574" spans="1:14" s="373" customFormat="1" ht="37.5" x14ac:dyDescent="0.2">
      <c r="A574" s="32">
        <f>ROW()-ROW(สำนักงาน!$A$6)+1</f>
        <v>569</v>
      </c>
      <c r="B574" s="52" t="s">
        <v>3228</v>
      </c>
      <c r="C574" s="32" t="s">
        <v>3247</v>
      </c>
      <c r="D574" s="32" t="s">
        <v>3248</v>
      </c>
      <c r="E574" s="53" t="s">
        <v>2862</v>
      </c>
      <c r="F574" s="54">
        <v>2033</v>
      </c>
      <c r="G574" s="32" t="s">
        <v>2893</v>
      </c>
      <c r="H574" s="479" t="s">
        <v>4256</v>
      </c>
      <c r="I574" s="32"/>
      <c r="J574" s="32"/>
      <c r="K574" s="32"/>
      <c r="L574" s="32"/>
      <c r="M574" s="32"/>
      <c r="N574" s="285" t="s">
        <v>3854</v>
      </c>
    </row>
    <row r="575" spans="1:14" s="401" customFormat="1" ht="21" x14ac:dyDescent="0.2">
      <c r="A575" s="32">
        <f>ROW()-ROW(สำนักงาน!$A$6)+1</f>
        <v>570</v>
      </c>
      <c r="B575" s="55" t="s">
        <v>1646</v>
      </c>
      <c r="C575" s="13" t="s">
        <v>1647</v>
      </c>
      <c r="D575" s="13" t="s">
        <v>1648</v>
      </c>
      <c r="E575" s="53" t="s">
        <v>1649</v>
      </c>
      <c r="F575" s="31">
        <v>15900</v>
      </c>
      <c r="G575" s="32" t="s">
        <v>21</v>
      </c>
      <c r="H575" s="32" t="s">
        <v>4256</v>
      </c>
      <c r="I575" s="32"/>
      <c r="J575" s="32"/>
      <c r="K575" s="32"/>
      <c r="L575" s="32"/>
      <c r="M575" s="32"/>
      <c r="N575" s="81"/>
    </row>
    <row r="576" spans="1:14" s="401" customFormat="1" ht="21" x14ac:dyDescent="0.2">
      <c r="A576" s="32">
        <f>ROW()-ROW(สำนักงาน!$A$6)+1</f>
        <v>571</v>
      </c>
      <c r="B576" s="55" t="s">
        <v>1646</v>
      </c>
      <c r="C576" s="13" t="s">
        <v>1650</v>
      </c>
      <c r="D576" s="13" t="s">
        <v>1651</v>
      </c>
      <c r="E576" s="53" t="s">
        <v>1649</v>
      </c>
      <c r="F576" s="31">
        <v>15900</v>
      </c>
      <c r="G576" s="32" t="s">
        <v>21</v>
      </c>
      <c r="H576" s="32" t="s">
        <v>4256</v>
      </c>
      <c r="I576" s="32"/>
      <c r="J576" s="32"/>
      <c r="K576" s="32"/>
      <c r="L576" s="32"/>
      <c r="M576" s="32"/>
      <c r="N576" s="81"/>
    </row>
    <row r="577" spans="1:15" s="400" customFormat="1" ht="37.5" x14ac:dyDescent="0.3">
      <c r="A577" s="32">
        <f>ROW()-ROW(สำนักงาน!$A$6)+1</f>
        <v>572</v>
      </c>
      <c r="B577" s="394" t="s">
        <v>136</v>
      </c>
      <c r="C577" s="395" t="s">
        <v>3806</v>
      </c>
      <c r="D577" s="277" t="s">
        <v>137</v>
      </c>
      <c r="E577" s="396">
        <v>243705</v>
      </c>
      <c r="F577" s="397">
        <v>15000</v>
      </c>
      <c r="G577" s="398" t="s">
        <v>18</v>
      </c>
      <c r="H577" s="32" t="s">
        <v>4256</v>
      </c>
      <c r="I577" s="399"/>
      <c r="J577" s="399"/>
      <c r="K577" s="399"/>
      <c r="L577" s="399"/>
      <c r="M577" s="399"/>
      <c r="N577" s="399"/>
    </row>
    <row r="578" spans="1:15" s="400" customFormat="1" ht="37.5" x14ac:dyDescent="0.3">
      <c r="A578" s="32">
        <f>ROW()-ROW(สำนักงาน!$A$6)+1</f>
        <v>573</v>
      </c>
      <c r="B578" s="394" t="s">
        <v>136</v>
      </c>
      <c r="C578" s="395" t="s">
        <v>3807</v>
      </c>
      <c r="D578" s="277" t="s">
        <v>138</v>
      </c>
      <c r="E578" s="396">
        <v>243705</v>
      </c>
      <c r="F578" s="397">
        <v>15000</v>
      </c>
      <c r="G578" s="398" t="s">
        <v>18</v>
      </c>
      <c r="H578" s="32" t="s">
        <v>4256</v>
      </c>
      <c r="I578" s="399"/>
      <c r="J578" s="399"/>
      <c r="K578" s="399"/>
      <c r="L578" s="399"/>
      <c r="M578" s="399"/>
      <c r="N578" s="399"/>
    </row>
    <row r="579" spans="1:15" s="400" customFormat="1" ht="37.5" x14ac:dyDescent="0.3">
      <c r="A579" s="32">
        <f>ROW()-ROW(สำนักงาน!$A$6)+1</f>
        <v>574</v>
      </c>
      <c r="B579" s="394" t="s">
        <v>136</v>
      </c>
      <c r="C579" s="395" t="s">
        <v>3808</v>
      </c>
      <c r="D579" s="277" t="s">
        <v>139</v>
      </c>
      <c r="E579" s="396">
        <v>243705</v>
      </c>
      <c r="F579" s="397">
        <v>15000</v>
      </c>
      <c r="G579" s="398" t="s">
        <v>18</v>
      </c>
      <c r="H579" s="32" t="s">
        <v>4256</v>
      </c>
      <c r="I579" s="399"/>
      <c r="J579" s="399"/>
      <c r="K579" s="399"/>
      <c r="L579" s="399"/>
      <c r="M579" s="399"/>
      <c r="N579" s="399"/>
      <c r="O579" s="762">
        <f>SUM(F524:F579)</f>
        <v>358380</v>
      </c>
    </row>
    <row r="580" spans="1:15" s="401" customFormat="1" ht="56.25" x14ac:dyDescent="0.2">
      <c r="A580" s="32">
        <f>ROW()-ROW(สำนักงาน!$A$6)+1</f>
        <v>575</v>
      </c>
      <c r="B580" s="392" t="s">
        <v>131</v>
      </c>
      <c r="C580" s="393" t="s">
        <v>4158</v>
      </c>
      <c r="D580" s="393" t="s">
        <v>132</v>
      </c>
      <c r="E580" s="34">
        <v>24510</v>
      </c>
      <c r="F580" s="31">
        <v>27000</v>
      </c>
      <c r="G580" s="32" t="s">
        <v>21</v>
      </c>
      <c r="H580" s="32" t="s">
        <v>4256</v>
      </c>
      <c r="I580" s="32"/>
      <c r="J580" s="32"/>
      <c r="K580" s="32"/>
      <c r="L580" s="32"/>
      <c r="M580" s="32"/>
      <c r="N580" s="56"/>
      <c r="O580" s="763">
        <f>SUM(F580:F581)</f>
        <v>54000</v>
      </c>
    </row>
    <row r="581" spans="1:15" s="401" customFormat="1" ht="56.25" x14ac:dyDescent="0.2">
      <c r="A581" s="32">
        <f>ROW()-ROW(สำนักงาน!$A$6)+1</f>
        <v>576</v>
      </c>
      <c r="B581" s="392" t="s">
        <v>131</v>
      </c>
      <c r="C581" s="393" t="s">
        <v>4159</v>
      </c>
      <c r="D581" s="393" t="s">
        <v>133</v>
      </c>
      <c r="E581" s="34">
        <v>24510</v>
      </c>
      <c r="F581" s="31">
        <v>27000</v>
      </c>
      <c r="G581" s="32" t="s">
        <v>21</v>
      </c>
      <c r="H581" s="32" t="s">
        <v>4256</v>
      </c>
      <c r="I581" s="32"/>
      <c r="J581" s="32"/>
      <c r="K581" s="32"/>
      <c r="L581" s="32"/>
      <c r="M581" s="32"/>
      <c r="N581" s="56"/>
    </row>
    <row r="582" spans="1:15" s="370" customFormat="1" ht="18.75" x14ac:dyDescent="0.2">
      <c r="A582" s="32">
        <f>ROW()-ROW(สำนักงาน!$A$6)+1</f>
        <v>577</v>
      </c>
      <c r="B582" s="571" t="s">
        <v>197</v>
      </c>
      <c r="C582" s="65" t="s">
        <v>3919</v>
      </c>
      <c r="D582" s="65" t="s">
        <v>3920</v>
      </c>
      <c r="E582" s="572">
        <v>40471</v>
      </c>
      <c r="F582" s="573">
        <v>1900</v>
      </c>
      <c r="G582" s="574" t="s">
        <v>3921</v>
      </c>
      <c r="H582" s="32" t="s">
        <v>4256</v>
      </c>
      <c r="I582" s="65"/>
      <c r="J582" s="571"/>
      <c r="K582" s="571"/>
      <c r="L582" s="575"/>
      <c r="M582" s="576"/>
      <c r="N582" s="65" t="s">
        <v>3922</v>
      </c>
      <c r="O582" s="746">
        <f>SUM(F582:F684)</f>
        <v>564624.66</v>
      </c>
    </row>
    <row r="583" spans="1:15" s="370" customFormat="1" ht="18.75" x14ac:dyDescent="0.2">
      <c r="A583" s="32">
        <f>ROW()-ROW(สำนักงาน!$A$6)+1</f>
        <v>578</v>
      </c>
      <c r="B583" s="89" t="s">
        <v>197</v>
      </c>
      <c r="C583" s="61" t="s">
        <v>198</v>
      </c>
      <c r="D583" s="61" t="s">
        <v>199</v>
      </c>
      <c r="E583" s="90">
        <v>42462</v>
      </c>
      <c r="F583" s="91">
        <v>1378</v>
      </c>
      <c r="G583" s="65" t="s">
        <v>200</v>
      </c>
      <c r="H583" s="32" t="s">
        <v>4256</v>
      </c>
      <c r="I583" s="61"/>
      <c r="J583" s="62"/>
      <c r="K583" s="62"/>
      <c r="L583" s="63"/>
      <c r="M583" s="64"/>
      <c r="N583" s="65" t="s">
        <v>201</v>
      </c>
    </row>
    <row r="584" spans="1:15" s="370" customFormat="1" ht="18.75" x14ac:dyDescent="0.2">
      <c r="A584" s="32">
        <f>ROW()-ROW(สำนักงาน!$A$6)+1</f>
        <v>579</v>
      </c>
      <c r="B584" s="89" t="s">
        <v>202</v>
      </c>
      <c r="C584" s="61" t="s">
        <v>203</v>
      </c>
      <c r="D584" s="61" t="s">
        <v>204</v>
      </c>
      <c r="E584" s="90">
        <v>43780</v>
      </c>
      <c r="F584" s="91">
        <v>2200</v>
      </c>
      <c r="G584" s="61" t="s">
        <v>6</v>
      </c>
      <c r="H584" s="32" t="s">
        <v>4256</v>
      </c>
      <c r="I584" s="61"/>
      <c r="J584" s="62"/>
      <c r="K584" s="62"/>
      <c r="L584" s="63"/>
      <c r="M584" s="64"/>
      <c r="N584" s="65" t="s">
        <v>205</v>
      </c>
    </row>
    <row r="585" spans="1:15" s="370" customFormat="1" ht="18.75" x14ac:dyDescent="0.2">
      <c r="A585" s="32">
        <f>ROW()-ROW(สำนักงาน!$A$6)+1</f>
        <v>580</v>
      </c>
      <c r="B585" s="89" t="s">
        <v>206</v>
      </c>
      <c r="C585" s="61" t="s">
        <v>207</v>
      </c>
      <c r="D585" s="61" t="s">
        <v>208</v>
      </c>
      <c r="E585" s="90">
        <v>44235</v>
      </c>
      <c r="F585" s="91">
        <v>8900</v>
      </c>
      <c r="G585" s="61" t="s">
        <v>6</v>
      </c>
      <c r="H585" s="32" t="s">
        <v>4256</v>
      </c>
      <c r="I585" s="61"/>
      <c r="J585" s="62"/>
      <c r="K585" s="62"/>
      <c r="L585" s="63"/>
      <c r="M585" s="64"/>
      <c r="N585" s="65" t="s">
        <v>205</v>
      </c>
    </row>
    <row r="586" spans="1:15" s="370" customFormat="1" ht="18.75" x14ac:dyDescent="0.2">
      <c r="A586" s="32">
        <f>ROW()-ROW(สำนักงาน!$A$6)+1</f>
        <v>581</v>
      </c>
      <c r="B586" s="89" t="s">
        <v>209</v>
      </c>
      <c r="C586" s="61" t="s">
        <v>210</v>
      </c>
      <c r="D586" s="61" t="s">
        <v>211</v>
      </c>
      <c r="E586" s="90">
        <v>44566</v>
      </c>
      <c r="F586" s="91">
        <v>8900</v>
      </c>
      <c r="G586" s="65" t="s">
        <v>200</v>
      </c>
      <c r="H586" s="32" t="s">
        <v>4256</v>
      </c>
      <c r="I586" s="61"/>
      <c r="J586" s="62"/>
      <c r="K586" s="62"/>
      <c r="L586" s="63"/>
      <c r="M586" s="64"/>
      <c r="N586" s="65" t="s">
        <v>201</v>
      </c>
    </row>
    <row r="587" spans="1:15" s="370" customFormat="1" ht="18.75" x14ac:dyDescent="0.2">
      <c r="A587" s="32">
        <f>ROW()-ROW(สำนักงาน!$A$6)+1</f>
        <v>582</v>
      </c>
      <c r="B587" s="89" t="s">
        <v>212</v>
      </c>
      <c r="C587" s="61" t="s">
        <v>213</v>
      </c>
      <c r="D587" s="61" t="s">
        <v>214</v>
      </c>
      <c r="E587" s="90">
        <v>44619</v>
      </c>
      <c r="F587" s="91">
        <v>2200</v>
      </c>
      <c r="G587" s="61" t="s">
        <v>6</v>
      </c>
      <c r="H587" s="32" t="s">
        <v>4256</v>
      </c>
      <c r="I587" s="61"/>
      <c r="J587" s="62"/>
      <c r="K587" s="62"/>
      <c r="L587" s="63"/>
      <c r="M587" s="64"/>
      <c r="N587" s="65" t="s">
        <v>205</v>
      </c>
    </row>
    <row r="588" spans="1:15" s="370" customFormat="1" ht="18.75" x14ac:dyDescent="0.2">
      <c r="A588" s="32">
        <f>ROW()-ROW(สำนักงาน!$A$6)+1</f>
        <v>583</v>
      </c>
      <c r="B588" s="89" t="s">
        <v>212</v>
      </c>
      <c r="C588" s="61" t="s">
        <v>215</v>
      </c>
      <c r="D588" s="61" t="s">
        <v>216</v>
      </c>
      <c r="E588" s="90">
        <v>44619</v>
      </c>
      <c r="F588" s="91">
        <v>2200</v>
      </c>
      <c r="G588" s="61" t="s">
        <v>6</v>
      </c>
      <c r="H588" s="32" t="s">
        <v>4256</v>
      </c>
      <c r="I588" s="61"/>
      <c r="J588" s="62"/>
      <c r="K588" s="62"/>
      <c r="L588" s="63"/>
      <c r="M588" s="64"/>
      <c r="N588" s="65" t="s">
        <v>205</v>
      </c>
    </row>
    <row r="589" spans="1:15" s="370" customFormat="1" ht="18.75" x14ac:dyDescent="0.2">
      <c r="A589" s="32">
        <f>ROW()-ROW(สำนักงาน!$A$6)+1</f>
        <v>584</v>
      </c>
      <c r="B589" s="62" t="s">
        <v>3923</v>
      </c>
      <c r="C589" s="61" t="s">
        <v>3924</v>
      </c>
      <c r="D589" s="61" t="s">
        <v>3925</v>
      </c>
      <c r="E589" s="90">
        <v>45434</v>
      </c>
      <c r="F589" s="91">
        <v>1374</v>
      </c>
      <c r="G589" s="577" t="s">
        <v>3921</v>
      </c>
      <c r="H589" s="32" t="s">
        <v>4256</v>
      </c>
      <c r="I589" s="61"/>
      <c r="J589" s="62"/>
      <c r="K589" s="62"/>
      <c r="L589" s="63"/>
      <c r="M589" s="64"/>
      <c r="N589" s="65" t="s">
        <v>3922</v>
      </c>
    </row>
    <row r="590" spans="1:15" s="370" customFormat="1" ht="18.75" x14ac:dyDescent="0.2">
      <c r="A590" s="32">
        <f>ROW()-ROW(สำนักงาน!$A$6)+1</f>
        <v>585</v>
      </c>
      <c r="B590" s="89" t="s">
        <v>3902</v>
      </c>
      <c r="C590" s="61" t="s">
        <v>3903</v>
      </c>
      <c r="D590" s="61" t="s">
        <v>3904</v>
      </c>
      <c r="E590" s="90">
        <v>45530</v>
      </c>
      <c r="F590" s="91">
        <v>1950</v>
      </c>
      <c r="G590" s="61" t="s">
        <v>220</v>
      </c>
      <c r="H590" s="32" t="s">
        <v>4256</v>
      </c>
      <c r="I590" s="61"/>
      <c r="J590" s="62"/>
      <c r="K590" s="62"/>
      <c r="L590" s="63"/>
      <c r="M590" s="64"/>
      <c r="N590" s="65" t="s">
        <v>3957</v>
      </c>
    </row>
    <row r="591" spans="1:15" s="370" customFormat="1" ht="18.75" x14ac:dyDescent="0.2">
      <c r="A591" s="32">
        <f>ROW()-ROW(สำนักงาน!$A$6)+1</f>
        <v>586</v>
      </c>
      <c r="B591" s="89" t="s">
        <v>3902</v>
      </c>
      <c r="C591" s="61" t="s">
        <v>3905</v>
      </c>
      <c r="D591" s="61" t="s">
        <v>3906</v>
      </c>
      <c r="E591" s="90">
        <v>45530</v>
      </c>
      <c r="F591" s="91">
        <v>1950</v>
      </c>
      <c r="G591" s="61" t="s">
        <v>220</v>
      </c>
      <c r="H591" s="32" t="s">
        <v>4256</v>
      </c>
      <c r="I591" s="61"/>
      <c r="J591" s="62"/>
      <c r="K591" s="62"/>
      <c r="L591" s="63"/>
      <c r="M591" s="64"/>
      <c r="N591" s="65" t="s">
        <v>3957</v>
      </c>
    </row>
    <row r="592" spans="1:15" s="370" customFormat="1" ht="18.75" x14ac:dyDescent="0.2">
      <c r="A592" s="32">
        <f>ROW()-ROW(สำนักงาน!$A$6)+1</f>
        <v>587</v>
      </c>
      <c r="B592" s="89" t="s">
        <v>3902</v>
      </c>
      <c r="C592" s="61" t="s">
        <v>3907</v>
      </c>
      <c r="D592" s="61" t="s">
        <v>3908</v>
      </c>
      <c r="E592" s="90">
        <v>45530</v>
      </c>
      <c r="F592" s="91">
        <v>1950</v>
      </c>
      <c r="G592" s="61" t="s">
        <v>220</v>
      </c>
      <c r="H592" s="32" t="s">
        <v>4256</v>
      </c>
      <c r="I592" s="61"/>
      <c r="J592" s="62"/>
      <c r="K592" s="62"/>
      <c r="L592" s="63"/>
      <c r="M592" s="64"/>
      <c r="N592" s="65" t="s">
        <v>3957</v>
      </c>
    </row>
    <row r="593" spans="1:14" s="370" customFormat="1" ht="18.75" x14ac:dyDescent="0.2">
      <c r="A593" s="32">
        <f>ROW()-ROW(สำนักงาน!$A$6)+1</f>
        <v>588</v>
      </c>
      <c r="B593" s="89" t="s">
        <v>3902</v>
      </c>
      <c r="C593" s="61" t="s">
        <v>3909</v>
      </c>
      <c r="D593" s="61" t="s">
        <v>3910</v>
      </c>
      <c r="E593" s="90">
        <v>45530</v>
      </c>
      <c r="F593" s="91">
        <v>1950</v>
      </c>
      <c r="G593" s="61" t="s">
        <v>220</v>
      </c>
      <c r="H593" s="32" t="s">
        <v>4256</v>
      </c>
      <c r="I593" s="61"/>
      <c r="J593" s="62"/>
      <c r="K593" s="62"/>
      <c r="L593" s="63"/>
      <c r="M593" s="64"/>
      <c r="N593" s="65" t="s">
        <v>3957</v>
      </c>
    </row>
    <row r="594" spans="1:14" s="370" customFormat="1" ht="18.75" x14ac:dyDescent="0.2">
      <c r="A594" s="32">
        <f>ROW()-ROW(สำนักงาน!$A$6)+1</f>
        <v>589</v>
      </c>
      <c r="B594" s="578" t="s">
        <v>3926</v>
      </c>
      <c r="C594" s="579" t="s">
        <v>3927</v>
      </c>
      <c r="D594" s="579" t="s">
        <v>3928</v>
      </c>
      <c r="E594" s="580">
        <v>45840</v>
      </c>
      <c r="F594" s="581">
        <v>1350</v>
      </c>
      <c r="G594" s="582" t="s">
        <v>3921</v>
      </c>
      <c r="H594" s="32" t="s">
        <v>4256</v>
      </c>
      <c r="I594" s="579"/>
      <c r="J594" s="578"/>
      <c r="K594" s="578"/>
      <c r="L594" s="583"/>
      <c r="M594" s="584"/>
      <c r="N594" s="65" t="s">
        <v>3922</v>
      </c>
    </row>
    <row r="595" spans="1:14" s="370" customFormat="1" ht="18.75" x14ac:dyDescent="0.2">
      <c r="A595" s="32">
        <f>ROW()-ROW(สำนักงาน!$A$6)+1</f>
        <v>590</v>
      </c>
      <c r="B595" s="99" t="s">
        <v>224</v>
      </c>
      <c r="C595" s="100" t="s">
        <v>225</v>
      </c>
      <c r="D595" s="100" t="s">
        <v>226</v>
      </c>
      <c r="E595" s="101">
        <v>46077</v>
      </c>
      <c r="F595" s="102">
        <v>1335</v>
      </c>
      <c r="G595" s="65" t="s">
        <v>200</v>
      </c>
      <c r="H595" s="32" t="s">
        <v>4256</v>
      </c>
      <c r="I595" s="100"/>
      <c r="J595" s="103"/>
      <c r="K595" s="103"/>
      <c r="L595" s="104"/>
      <c r="M595" s="105"/>
      <c r="N595" s="65" t="s">
        <v>4298</v>
      </c>
    </row>
    <row r="596" spans="1:14" s="370" customFormat="1" ht="18.75" x14ac:dyDescent="0.2">
      <c r="A596" s="32">
        <f>ROW()-ROW(สำนักงาน!$A$6)+1</f>
        <v>591</v>
      </c>
      <c r="B596" s="99" t="s">
        <v>224</v>
      </c>
      <c r="C596" s="100" t="s">
        <v>227</v>
      </c>
      <c r="D596" s="100" t="s">
        <v>228</v>
      </c>
      <c r="E596" s="101">
        <v>46074</v>
      </c>
      <c r="F596" s="102">
        <v>1340</v>
      </c>
      <c r="G596" s="100" t="s">
        <v>6</v>
      </c>
      <c r="H596" s="32" t="s">
        <v>4256</v>
      </c>
      <c r="I596" s="100"/>
      <c r="J596" s="103"/>
      <c r="K596" s="103"/>
      <c r="L596" s="104"/>
      <c r="M596" s="105"/>
      <c r="N596" s="65" t="s">
        <v>205</v>
      </c>
    </row>
    <row r="597" spans="1:14" s="370" customFormat="1" ht="18.75" x14ac:dyDescent="0.2">
      <c r="A597" s="32">
        <f>ROW()-ROW(สำนักงาน!$A$6)+1</f>
        <v>592</v>
      </c>
      <c r="B597" s="99" t="s">
        <v>229</v>
      </c>
      <c r="C597" s="100" t="s">
        <v>230</v>
      </c>
      <c r="D597" s="100" t="s">
        <v>231</v>
      </c>
      <c r="E597" s="101">
        <v>46537</v>
      </c>
      <c r="F597" s="102">
        <v>1400</v>
      </c>
      <c r="G597" s="65" t="s">
        <v>200</v>
      </c>
      <c r="H597" s="32" t="s">
        <v>4256</v>
      </c>
      <c r="I597" s="100"/>
      <c r="J597" s="103"/>
      <c r="K597" s="103"/>
      <c r="L597" s="104"/>
      <c r="M597" s="105"/>
      <c r="N597" s="106" t="s">
        <v>4299</v>
      </c>
    </row>
    <row r="598" spans="1:14" s="370" customFormat="1" ht="18.75" x14ac:dyDescent="0.2">
      <c r="A598" s="32">
        <f>ROW()-ROW(สำนักงาน!$A$6)+1</f>
        <v>593</v>
      </c>
      <c r="B598" s="99" t="s">
        <v>229</v>
      </c>
      <c r="C598" s="100" t="s">
        <v>233</v>
      </c>
      <c r="D598" s="100" t="s">
        <v>234</v>
      </c>
      <c r="E598" s="101">
        <v>46537</v>
      </c>
      <c r="F598" s="102">
        <v>1400</v>
      </c>
      <c r="G598" s="100" t="s">
        <v>200</v>
      </c>
      <c r="H598" s="32" t="s">
        <v>4256</v>
      </c>
      <c r="I598" s="100"/>
      <c r="J598" s="103"/>
      <c r="K598" s="103"/>
      <c r="L598" s="104"/>
      <c r="M598" s="105"/>
      <c r="N598" s="65" t="s">
        <v>235</v>
      </c>
    </row>
    <row r="599" spans="1:14" s="370" customFormat="1" ht="18.75" x14ac:dyDescent="0.2">
      <c r="A599" s="32">
        <f>ROW()-ROW(สำนักงาน!$A$6)+1</f>
        <v>594</v>
      </c>
      <c r="B599" s="107" t="s">
        <v>236</v>
      </c>
      <c r="C599" s="108" t="s">
        <v>237</v>
      </c>
      <c r="D599" s="108" t="s">
        <v>238</v>
      </c>
      <c r="E599" s="109">
        <v>11026</v>
      </c>
      <c r="F599" s="110">
        <v>1400</v>
      </c>
      <c r="G599" s="108" t="s">
        <v>220</v>
      </c>
      <c r="H599" s="32" t="s">
        <v>4256</v>
      </c>
      <c r="I599" s="108"/>
      <c r="J599" s="111"/>
      <c r="K599" s="111"/>
      <c r="L599" s="112"/>
      <c r="M599" s="113"/>
      <c r="N599" s="65" t="s">
        <v>223</v>
      </c>
    </row>
    <row r="600" spans="1:14" s="370" customFormat="1" ht="18.75" x14ac:dyDescent="0.2">
      <c r="A600" s="32">
        <f>ROW()-ROW(สำนักงาน!$A$6)+1</f>
        <v>595</v>
      </c>
      <c r="B600" s="107" t="s">
        <v>236</v>
      </c>
      <c r="C600" s="108" t="s">
        <v>239</v>
      </c>
      <c r="D600" s="108" t="s">
        <v>240</v>
      </c>
      <c r="E600" s="109">
        <v>11026</v>
      </c>
      <c r="F600" s="110">
        <v>1400</v>
      </c>
      <c r="G600" s="108" t="s">
        <v>241</v>
      </c>
      <c r="H600" s="32" t="s">
        <v>4256</v>
      </c>
      <c r="I600" s="108"/>
      <c r="J600" s="111"/>
      <c r="K600" s="111"/>
      <c r="L600" s="112"/>
      <c r="M600" s="113"/>
      <c r="N600" s="65" t="s">
        <v>205</v>
      </c>
    </row>
    <row r="601" spans="1:14" s="370" customFormat="1" ht="18.75" x14ac:dyDescent="0.2">
      <c r="A601" s="32">
        <f>ROW()-ROW(สำนักงาน!$A$6)+1</f>
        <v>596</v>
      </c>
      <c r="B601" s="122" t="s">
        <v>246</v>
      </c>
      <c r="C601" s="123" t="s">
        <v>247</v>
      </c>
      <c r="D601" s="123" t="s">
        <v>248</v>
      </c>
      <c r="E601" s="124">
        <v>11409</v>
      </c>
      <c r="F601" s="125">
        <v>3500</v>
      </c>
      <c r="G601" s="115" t="s">
        <v>220</v>
      </c>
      <c r="H601" s="32" t="s">
        <v>4256</v>
      </c>
      <c r="I601" s="123"/>
      <c r="J601" s="123"/>
      <c r="K601" s="126"/>
      <c r="L601" s="127"/>
      <c r="M601" s="128"/>
      <c r="N601" s="65" t="s">
        <v>4254</v>
      </c>
    </row>
    <row r="602" spans="1:14" s="370" customFormat="1" ht="18.75" x14ac:dyDescent="0.2">
      <c r="A602" s="32">
        <f>ROW()-ROW(สำนักงาน!$A$6)+1</f>
        <v>597</v>
      </c>
      <c r="B602" s="122" t="s">
        <v>249</v>
      </c>
      <c r="C602" s="123" t="s">
        <v>250</v>
      </c>
      <c r="D602" s="123" t="s">
        <v>251</v>
      </c>
      <c r="E602" s="124">
        <v>11604</v>
      </c>
      <c r="F602" s="125">
        <v>12000</v>
      </c>
      <c r="G602" s="115" t="s">
        <v>220</v>
      </c>
      <c r="H602" s="32" t="s">
        <v>4256</v>
      </c>
      <c r="I602" s="123"/>
      <c r="J602" s="123"/>
      <c r="K602" s="126"/>
      <c r="L602" s="127"/>
      <c r="M602" s="128"/>
      <c r="N602" s="65" t="s">
        <v>252</v>
      </c>
    </row>
    <row r="603" spans="1:14" s="370" customFormat="1" ht="18.75" x14ac:dyDescent="0.2">
      <c r="A603" s="32">
        <f>ROW()-ROW(สำนักงาน!$A$6)+1</f>
        <v>598</v>
      </c>
      <c r="B603" s="122" t="s">
        <v>253</v>
      </c>
      <c r="C603" s="123" t="s">
        <v>254</v>
      </c>
      <c r="D603" s="123" t="s">
        <v>255</v>
      </c>
      <c r="E603" s="124" t="s">
        <v>256</v>
      </c>
      <c r="F603" s="125">
        <v>1800</v>
      </c>
      <c r="G603" s="65" t="s">
        <v>200</v>
      </c>
      <c r="H603" s="32" t="s">
        <v>4256</v>
      </c>
      <c r="I603" s="123"/>
      <c r="J603" s="123"/>
      <c r="K603" s="126"/>
      <c r="L603" s="127"/>
      <c r="M603" s="128"/>
      <c r="N603" s="65" t="s">
        <v>201</v>
      </c>
    </row>
    <row r="604" spans="1:14" s="370" customFormat="1" ht="18.75" x14ac:dyDescent="0.2">
      <c r="A604" s="32">
        <f>ROW()-ROW(สำนักงาน!$A$6)+1</f>
        <v>599</v>
      </c>
      <c r="B604" s="122" t="s">
        <v>257</v>
      </c>
      <c r="C604" s="123" t="s">
        <v>258</v>
      </c>
      <c r="D604" s="123" t="s">
        <v>259</v>
      </c>
      <c r="E604" s="124">
        <v>12930</v>
      </c>
      <c r="F604" s="125">
        <v>2200</v>
      </c>
      <c r="G604" s="123" t="s">
        <v>200</v>
      </c>
      <c r="H604" s="32" t="s">
        <v>4256</v>
      </c>
      <c r="I604" s="123"/>
      <c r="J604" s="123"/>
      <c r="K604" s="126"/>
      <c r="L604" s="127"/>
      <c r="M604" s="128"/>
      <c r="N604" s="65" t="s">
        <v>4300</v>
      </c>
    </row>
    <row r="605" spans="1:14" s="370" customFormat="1" ht="18.75" x14ac:dyDescent="0.2">
      <c r="A605" s="32">
        <f>ROW()-ROW(สำนักงาน!$A$6)+1</f>
        <v>600</v>
      </c>
      <c r="B605" s="122" t="s">
        <v>257</v>
      </c>
      <c r="C605" s="123" t="s">
        <v>260</v>
      </c>
      <c r="D605" s="123" t="s">
        <v>261</v>
      </c>
      <c r="E605" s="124">
        <v>12930</v>
      </c>
      <c r="F605" s="125">
        <v>2200</v>
      </c>
      <c r="G605" s="65" t="s">
        <v>200</v>
      </c>
      <c r="H605" s="32" t="s">
        <v>4256</v>
      </c>
      <c r="I605" s="123"/>
      <c r="J605" s="123"/>
      <c r="K605" s="126"/>
      <c r="L605" s="127"/>
      <c r="M605" s="128"/>
      <c r="N605" s="65" t="s">
        <v>4301</v>
      </c>
    </row>
    <row r="606" spans="1:14" s="370" customFormat="1" ht="18.75" x14ac:dyDescent="0.2">
      <c r="A606" s="32">
        <f>ROW()-ROW(สำนักงาน!$A$6)+1</f>
        <v>601</v>
      </c>
      <c r="B606" s="122" t="s">
        <v>257</v>
      </c>
      <c r="C606" s="123" t="s">
        <v>262</v>
      </c>
      <c r="D606" s="123" t="s">
        <v>263</v>
      </c>
      <c r="E606" s="124">
        <v>12930</v>
      </c>
      <c r="F606" s="125">
        <v>2200</v>
      </c>
      <c r="G606" s="115" t="s">
        <v>200</v>
      </c>
      <c r="H606" s="32" t="s">
        <v>4256</v>
      </c>
      <c r="I606" s="123"/>
      <c r="J606" s="123"/>
      <c r="K606" s="126"/>
      <c r="L606" s="127"/>
      <c r="M606" s="128"/>
      <c r="N606" s="65" t="s">
        <v>4301</v>
      </c>
    </row>
    <row r="607" spans="1:14" s="370" customFormat="1" ht="18.75" x14ac:dyDescent="0.2">
      <c r="A607" s="32">
        <f>ROW()-ROW(สำนักงาน!$A$6)+1</f>
        <v>602</v>
      </c>
      <c r="B607" s="136" t="s">
        <v>268</v>
      </c>
      <c r="C607" s="137" t="s">
        <v>269</v>
      </c>
      <c r="D607" s="137" t="s">
        <v>270</v>
      </c>
      <c r="E607" s="138">
        <v>14948</v>
      </c>
      <c r="F607" s="139">
        <v>2300</v>
      </c>
      <c r="G607" s="115" t="s">
        <v>220</v>
      </c>
      <c r="H607" s="32" t="s">
        <v>4256</v>
      </c>
      <c r="I607" s="137"/>
      <c r="J607" s="140"/>
      <c r="K607" s="140"/>
      <c r="L607" s="141"/>
      <c r="M607" s="142"/>
      <c r="N607" s="65" t="s">
        <v>264</v>
      </c>
    </row>
    <row r="608" spans="1:14" s="370" customFormat="1" ht="18.75" x14ac:dyDescent="0.2">
      <c r="A608" s="32">
        <f>ROW()-ROW(สำนักงาน!$A$6)+1</f>
        <v>603</v>
      </c>
      <c r="B608" s="136" t="s">
        <v>268</v>
      </c>
      <c r="C608" s="137" t="s">
        <v>271</v>
      </c>
      <c r="D608" s="137" t="s">
        <v>272</v>
      </c>
      <c r="E608" s="138">
        <v>14948</v>
      </c>
      <c r="F608" s="139">
        <v>2300</v>
      </c>
      <c r="G608" s="115" t="s">
        <v>220</v>
      </c>
      <c r="H608" s="32" t="s">
        <v>4256</v>
      </c>
      <c r="I608" s="137"/>
      <c r="J608" s="140"/>
      <c r="K608" s="140"/>
      <c r="L608" s="141"/>
      <c r="M608" s="142"/>
      <c r="N608" s="65" t="s">
        <v>264</v>
      </c>
    </row>
    <row r="609" spans="1:14" s="370" customFormat="1" ht="18.75" x14ac:dyDescent="0.2">
      <c r="A609" s="32">
        <f>ROW()-ROW(สำนักงาน!$A$6)+1</f>
        <v>604</v>
      </c>
      <c r="B609" s="136" t="s">
        <v>268</v>
      </c>
      <c r="C609" s="137" t="s">
        <v>273</v>
      </c>
      <c r="D609" s="137" t="s">
        <v>274</v>
      </c>
      <c r="E609" s="138">
        <v>14948</v>
      </c>
      <c r="F609" s="139">
        <v>2300</v>
      </c>
      <c r="G609" s="115" t="s">
        <v>200</v>
      </c>
      <c r="H609" s="32" t="s">
        <v>4256</v>
      </c>
      <c r="I609" s="137"/>
      <c r="J609" s="140"/>
      <c r="K609" s="140"/>
      <c r="L609" s="141"/>
      <c r="M609" s="142"/>
      <c r="N609" s="65" t="s">
        <v>275</v>
      </c>
    </row>
    <row r="610" spans="1:14" s="370" customFormat="1" ht="18.75" x14ac:dyDescent="0.2">
      <c r="A610" s="32">
        <f>ROW()-ROW(สำนักงาน!$A$6)+1</f>
        <v>605</v>
      </c>
      <c r="B610" s="136" t="s">
        <v>285</v>
      </c>
      <c r="C610" s="137" t="s">
        <v>286</v>
      </c>
      <c r="D610" s="137" t="s">
        <v>287</v>
      </c>
      <c r="E610" s="138">
        <v>15354</v>
      </c>
      <c r="F610" s="139">
        <v>2600</v>
      </c>
      <c r="G610" s="65" t="s">
        <v>200</v>
      </c>
      <c r="H610" s="32" t="s">
        <v>4256</v>
      </c>
      <c r="I610" s="137"/>
      <c r="J610" s="140"/>
      <c r="K610" s="140"/>
      <c r="L610" s="141"/>
      <c r="M610" s="142"/>
      <c r="N610" s="65" t="s">
        <v>288</v>
      </c>
    </row>
    <row r="611" spans="1:14" s="370" customFormat="1" ht="18.75" x14ac:dyDescent="0.2">
      <c r="A611" s="32">
        <f>ROW()-ROW(สำนักงาน!$A$6)+1</f>
        <v>606</v>
      </c>
      <c r="B611" s="136" t="s">
        <v>285</v>
      </c>
      <c r="C611" s="137" t="s">
        <v>289</v>
      </c>
      <c r="D611" s="137" t="s">
        <v>290</v>
      </c>
      <c r="E611" s="138">
        <v>15354</v>
      </c>
      <c r="F611" s="139">
        <v>2600</v>
      </c>
      <c r="G611" s="65" t="s">
        <v>200</v>
      </c>
      <c r="H611" s="32" t="s">
        <v>4256</v>
      </c>
      <c r="I611" s="137"/>
      <c r="J611" s="140"/>
      <c r="K611" s="140"/>
      <c r="L611" s="141"/>
      <c r="M611" s="142"/>
      <c r="N611" s="65" t="s">
        <v>291</v>
      </c>
    </row>
    <row r="612" spans="1:14" s="370" customFormat="1" ht="18.75" x14ac:dyDescent="0.2">
      <c r="A612" s="32">
        <f>ROW()-ROW(สำนักงาน!$A$6)+1</f>
        <v>607</v>
      </c>
      <c r="B612" s="136" t="s">
        <v>292</v>
      </c>
      <c r="C612" s="137" t="s">
        <v>293</v>
      </c>
      <c r="D612" s="137" t="s">
        <v>294</v>
      </c>
      <c r="E612" s="138">
        <v>15702</v>
      </c>
      <c r="F612" s="139">
        <v>3900</v>
      </c>
      <c r="G612" s="115" t="s">
        <v>220</v>
      </c>
      <c r="H612" s="32" t="s">
        <v>4256</v>
      </c>
      <c r="I612" s="137"/>
      <c r="J612" s="140"/>
      <c r="K612" s="140"/>
      <c r="L612" s="141"/>
      <c r="M612" s="142"/>
      <c r="N612" s="65" t="s">
        <v>295</v>
      </c>
    </row>
    <row r="613" spans="1:14" s="370" customFormat="1" ht="18.75" x14ac:dyDescent="0.2">
      <c r="A613" s="32">
        <f>ROW()-ROW(สำนักงาน!$A$6)+1</f>
        <v>608</v>
      </c>
      <c r="B613" s="136" t="s">
        <v>292</v>
      </c>
      <c r="C613" s="137" t="s">
        <v>296</v>
      </c>
      <c r="D613" s="137" t="s">
        <v>297</v>
      </c>
      <c r="E613" s="138">
        <v>15702</v>
      </c>
      <c r="F613" s="139">
        <v>3900</v>
      </c>
      <c r="G613" s="115" t="s">
        <v>220</v>
      </c>
      <c r="H613" s="32" t="s">
        <v>4256</v>
      </c>
      <c r="I613" s="137"/>
      <c r="J613" s="140"/>
      <c r="K613" s="140"/>
      <c r="L613" s="141"/>
      <c r="M613" s="142"/>
      <c r="N613" s="65" t="s">
        <v>298</v>
      </c>
    </row>
    <row r="614" spans="1:14" s="370" customFormat="1" ht="18.75" x14ac:dyDescent="0.2">
      <c r="A614" s="32">
        <f>ROW()-ROW(สำนักงาน!$A$6)+1</f>
        <v>609</v>
      </c>
      <c r="B614" s="136" t="s">
        <v>292</v>
      </c>
      <c r="C614" s="137" t="s">
        <v>299</v>
      </c>
      <c r="D614" s="137" t="s">
        <v>300</v>
      </c>
      <c r="E614" s="138">
        <v>15702</v>
      </c>
      <c r="F614" s="139">
        <v>3900</v>
      </c>
      <c r="G614" s="65" t="s">
        <v>200</v>
      </c>
      <c r="H614" s="32" t="s">
        <v>4256</v>
      </c>
      <c r="I614" s="137"/>
      <c r="J614" s="140"/>
      <c r="K614" s="140"/>
      <c r="L614" s="141"/>
      <c r="M614" s="142"/>
      <c r="N614" s="65" t="s">
        <v>201</v>
      </c>
    </row>
    <row r="615" spans="1:14" s="370" customFormat="1" ht="18.75" x14ac:dyDescent="0.2">
      <c r="A615" s="32">
        <f>ROW()-ROW(สำนักงาน!$A$6)+1</f>
        <v>610</v>
      </c>
      <c r="B615" s="157" t="s">
        <v>301</v>
      </c>
      <c r="C615" s="158" t="s">
        <v>302</v>
      </c>
      <c r="D615" s="158" t="s">
        <v>303</v>
      </c>
      <c r="E615" s="159">
        <v>16182</v>
      </c>
      <c r="F615" s="160">
        <v>2300</v>
      </c>
      <c r="G615" s="115" t="s">
        <v>220</v>
      </c>
      <c r="H615" s="32" t="s">
        <v>4256</v>
      </c>
      <c r="I615" s="158"/>
      <c r="J615" s="161"/>
      <c r="K615" s="161"/>
      <c r="L615" s="162"/>
      <c r="M615" s="163"/>
      <c r="N615" s="65" t="s">
        <v>4303</v>
      </c>
    </row>
    <row r="616" spans="1:14" s="370" customFormat="1" ht="18.75" x14ac:dyDescent="0.2">
      <c r="A616" s="32">
        <f>ROW()-ROW(สำนักงาน!$A$6)+1</f>
        <v>611</v>
      </c>
      <c r="B616" s="157" t="s">
        <v>197</v>
      </c>
      <c r="C616" s="158" t="s">
        <v>304</v>
      </c>
      <c r="D616" s="158" t="s">
        <v>305</v>
      </c>
      <c r="E616" s="159">
        <v>16182</v>
      </c>
      <c r="F616" s="160">
        <v>2300</v>
      </c>
      <c r="G616" s="65" t="s">
        <v>200</v>
      </c>
      <c r="H616" s="32" t="s">
        <v>4256</v>
      </c>
      <c r="I616" s="158"/>
      <c r="J616" s="161"/>
      <c r="K616" s="161"/>
      <c r="L616" s="162"/>
      <c r="M616" s="163"/>
      <c r="N616" s="65" t="s">
        <v>4304</v>
      </c>
    </row>
    <row r="617" spans="1:14" s="370" customFormat="1" ht="18.75" x14ac:dyDescent="0.2">
      <c r="A617" s="32">
        <f>ROW()-ROW(สำนักงาน!$A$6)+1</f>
        <v>612</v>
      </c>
      <c r="B617" s="157" t="s">
        <v>316</v>
      </c>
      <c r="C617" s="158" t="s">
        <v>317</v>
      </c>
      <c r="D617" s="158" t="s">
        <v>318</v>
      </c>
      <c r="E617" s="159">
        <v>16587</v>
      </c>
      <c r="F617" s="160">
        <v>825</v>
      </c>
      <c r="G617" s="65" t="s">
        <v>200</v>
      </c>
      <c r="H617" s="32" t="s">
        <v>4256</v>
      </c>
      <c r="I617" s="158"/>
      <c r="J617" s="161"/>
      <c r="K617" s="161"/>
      <c r="L617" s="162"/>
      <c r="M617" s="163"/>
      <c r="N617" s="65" t="s">
        <v>288</v>
      </c>
    </row>
    <row r="618" spans="1:14" s="370" customFormat="1" ht="18.75" x14ac:dyDescent="0.2">
      <c r="A618" s="32">
        <f>ROW()-ROW(สำนักงาน!$A$6)+1</f>
        <v>613</v>
      </c>
      <c r="B618" s="178" t="s">
        <v>328</v>
      </c>
      <c r="C618" s="179" t="s">
        <v>329</v>
      </c>
      <c r="D618" s="179" t="s">
        <v>330</v>
      </c>
      <c r="E618" s="180" t="s">
        <v>331</v>
      </c>
      <c r="F618" s="181">
        <v>2300</v>
      </c>
      <c r="G618" s="179" t="s">
        <v>200</v>
      </c>
      <c r="H618" s="32" t="s">
        <v>4256</v>
      </c>
      <c r="I618" s="179"/>
      <c r="J618" s="182"/>
      <c r="K618" s="182"/>
      <c r="L618" s="183"/>
      <c r="M618" s="184"/>
      <c r="N618" s="65" t="s">
        <v>4305</v>
      </c>
    </row>
    <row r="619" spans="1:14" s="370" customFormat="1" ht="18.75" x14ac:dyDescent="0.2">
      <c r="A619" s="32">
        <f>ROW()-ROW(สำนักงาน!$A$6)+1</f>
        <v>614</v>
      </c>
      <c r="B619" s="178" t="s">
        <v>328</v>
      </c>
      <c r="C619" s="179" t="s">
        <v>332</v>
      </c>
      <c r="D619" s="179" t="s">
        <v>333</v>
      </c>
      <c r="E619" s="180" t="s">
        <v>331</v>
      </c>
      <c r="F619" s="181">
        <v>2300</v>
      </c>
      <c r="G619" s="179" t="s">
        <v>220</v>
      </c>
      <c r="H619" s="32" t="s">
        <v>4256</v>
      </c>
      <c r="I619" s="179"/>
      <c r="J619" s="182"/>
      <c r="K619" s="182"/>
      <c r="L619" s="183"/>
      <c r="M619" s="184"/>
      <c r="N619" s="65" t="s">
        <v>4306</v>
      </c>
    </row>
    <row r="620" spans="1:14" s="370" customFormat="1" ht="18.75" x14ac:dyDescent="0.2">
      <c r="A620" s="32">
        <f>ROW()-ROW(สำนักงาน!$A$6)+1</f>
        <v>615</v>
      </c>
      <c r="B620" s="178" t="s">
        <v>335</v>
      </c>
      <c r="C620" s="179" t="s">
        <v>336</v>
      </c>
      <c r="D620" s="179" t="s">
        <v>337</v>
      </c>
      <c r="E620" s="180" t="s">
        <v>331</v>
      </c>
      <c r="F620" s="181">
        <v>2300</v>
      </c>
      <c r="G620" s="179" t="s">
        <v>220</v>
      </c>
      <c r="H620" s="32" t="s">
        <v>4256</v>
      </c>
      <c r="I620" s="179"/>
      <c r="J620" s="182"/>
      <c r="K620" s="182"/>
      <c r="L620" s="183"/>
      <c r="M620" s="184"/>
      <c r="N620" s="65" t="s">
        <v>223</v>
      </c>
    </row>
    <row r="621" spans="1:14" s="372" customFormat="1" ht="18.75" x14ac:dyDescent="0.3">
      <c r="A621" s="32">
        <f>ROW()-ROW(สำนักงาน!$A$6)+1</f>
        <v>616</v>
      </c>
      <c r="B621" s="585" t="s">
        <v>887</v>
      </c>
      <c r="C621" s="586" t="s">
        <v>888</v>
      </c>
      <c r="D621" s="586" t="s">
        <v>889</v>
      </c>
      <c r="E621" s="587">
        <v>17075</v>
      </c>
      <c r="F621" s="588">
        <v>3300</v>
      </c>
      <c r="G621" s="586" t="s">
        <v>264</v>
      </c>
      <c r="H621" s="371" t="s">
        <v>4256</v>
      </c>
      <c r="I621" s="589"/>
      <c r="J621" s="590"/>
      <c r="K621" s="590"/>
      <c r="L621" s="591"/>
      <c r="M621" s="592"/>
      <c r="N621" s="306"/>
    </row>
    <row r="622" spans="1:14" s="372" customFormat="1" ht="18.75" x14ac:dyDescent="0.3">
      <c r="A622" s="32">
        <f>ROW()-ROW(สำนักงาน!$A$6)+1</f>
        <v>617</v>
      </c>
      <c r="B622" s="585" t="s">
        <v>887</v>
      </c>
      <c r="C622" s="586" t="s">
        <v>890</v>
      </c>
      <c r="D622" s="586" t="s">
        <v>891</v>
      </c>
      <c r="E622" s="587">
        <v>17075</v>
      </c>
      <c r="F622" s="588">
        <v>3300</v>
      </c>
      <c r="G622" s="586" t="s">
        <v>264</v>
      </c>
      <c r="H622" s="371" t="s">
        <v>4256</v>
      </c>
      <c r="I622" s="589"/>
      <c r="J622" s="590"/>
      <c r="K622" s="590"/>
      <c r="L622" s="591"/>
      <c r="M622" s="592"/>
      <c r="N622" s="306"/>
    </row>
    <row r="623" spans="1:14" s="372" customFormat="1" ht="18.75" x14ac:dyDescent="0.3">
      <c r="A623" s="32">
        <f>ROW()-ROW(สำนักงาน!$A$6)+1</f>
        <v>618</v>
      </c>
      <c r="B623" s="593" t="s">
        <v>892</v>
      </c>
      <c r="C623" s="594" t="s">
        <v>893</v>
      </c>
      <c r="D623" s="594" t="s">
        <v>894</v>
      </c>
      <c r="E623" s="595">
        <v>17075</v>
      </c>
      <c r="F623" s="596">
        <v>3300</v>
      </c>
      <c r="G623" s="594" t="s">
        <v>264</v>
      </c>
      <c r="H623" s="371" t="s">
        <v>4256</v>
      </c>
      <c r="I623" s="597"/>
      <c r="J623" s="598"/>
      <c r="K623" s="598"/>
      <c r="L623" s="599"/>
      <c r="M623" s="600"/>
      <c r="N623" s="306"/>
    </row>
    <row r="624" spans="1:14" s="372" customFormat="1" ht="18.75" x14ac:dyDescent="0.3">
      <c r="A624" s="32">
        <f>ROW()-ROW(สำนักงาน!$A$6)+1</f>
        <v>619</v>
      </c>
      <c r="B624" s="601" t="s">
        <v>895</v>
      </c>
      <c r="C624" s="602" t="s">
        <v>896</v>
      </c>
      <c r="D624" s="602" t="s">
        <v>897</v>
      </c>
      <c r="E624" s="603">
        <v>17075</v>
      </c>
      <c r="F624" s="604">
        <v>4400</v>
      </c>
      <c r="G624" s="602" t="s">
        <v>264</v>
      </c>
      <c r="H624" s="371" t="s">
        <v>4256</v>
      </c>
      <c r="I624" s="605"/>
      <c r="J624" s="606"/>
      <c r="K624" s="606"/>
      <c r="L624" s="607"/>
      <c r="M624" s="608"/>
      <c r="N624" s="306"/>
    </row>
    <row r="625" spans="1:14" s="372" customFormat="1" ht="18.75" x14ac:dyDescent="0.3">
      <c r="A625" s="32">
        <f>ROW()-ROW(สำนักงาน!$A$6)+1</f>
        <v>620</v>
      </c>
      <c r="B625" s="601" t="s">
        <v>898</v>
      </c>
      <c r="C625" s="602" t="s">
        <v>899</v>
      </c>
      <c r="D625" s="602" t="s">
        <v>900</v>
      </c>
      <c r="E625" s="603">
        <v>17075</v>
      </c>
      <c r="F625" s="604">
        <v>16000</v>
      </c>
      <c r="G625" s="602" t="s">
        <v>264</v>
      </c>
      <c r="H625" s="371" t="s">
        <v>4256</v>
      </c>
      <c r="I625" s="605"/>
      <c r="J625" s="606"/>
      <c r="K625" s="606"/>
      <c r="L625" s="607"/>
      <c r="M625" s="608"/>
      <c r="N625" s="306"/>
    </row>
    <row r="626" spans="1:14" s="372" customFormat="1" ht="18.75" x14ac:dyDescent="0.3">
      <c r="A626" s="32">
        <f>ROW()-ROW(สำนักงาน!$A$6)+1</f>
        <v>621</v>
      </c>
      <c r="B626" s="601" t="s">
        <v>898</v>
      </c>
      <c r="C626" s="602" t="s">
        <v>901</v>
      </c>
      <c r="D626" s="602" t="s">
        <v>902</v>
      </c>
      <c r="E626" s="603">
        <v>17075</v>
      </c>
      <c r="F626" s="604">
        <v>16000</v>
      </c>
      <c r="G626" s="602" t="s">
        <v>264</v>
      </c>
      <c r="H626" s="371" t="s">
        <v>4256</v>
      </c>
      <c r="I626" s="605"/>
      <c r="J626" s="606"/>
      <c r="K626" s="606"/>
      <c r="L626" s="607"/>
      <c r="M626" s="608"/>
      <c r="N626" s="306"/>
    </row>
    <row r="627" spans="1:14" s="372" customFormat="1" ht="18.75" x14ac:dyDescent="0.3">
      <c r="A627" s="32">
        <f>ROW()-ROW(สำนักงาน!$A$6)+1</f>
        <v>622</v>
      </c>
      <c r="B627" s="601" t="s">
        <v>903</v>
      </c>
      <c r="C627" s="602" t="s">
        <v>904</v>
      </c>
      <c r="D627" s="602" t="s">
        <v>905</v>
      </c>
      <c r="E627" s="603" t="s">
        <v>906</v>
      </c>
      <c r="F627" s="604">
        <v>3600</v>
      </c>
      <c r="G627" s="602" t="s">
        <v>264</v>
      </c>
      <c r="H627" s="371" t="s">
        <v>4256</v>
      </c>
      <c r="I627" s="605"/>
      <c r="J627" s="606"/>
      <c r="K627" s="606"/>
      <c r="L627" s="607"/>
      <c r="M627" s="608"/>
      <c r="N627" s="306"/>
    </row>
    <row r="628" spans="1:14" s="372" customFormat="1" ht="18.75" x14ac:dyDescent="0.3">
      <c r="A628" s="32">
        <f>ROW()-ROW(สำนักงาน!$A$6)+1</f>
        <v>623</v>
      </c>
      <c r="B628" s="601" t="s">
        <v>903</v>
      </c>
      <c r="C628" s="602" t="s">
        <v>907</v>
      </c>
      <c r="D628" s="602" t="s">
        <v>908</v>
      </c>
      <c r="E628" s="603" t="s">
        <v>906</v>
      </c>
      <c r="F628" s="604">
        <v>2950</v>
      </c>
      <c r="G628" s="609" t="s">
        <v>264</v>
      </c>
      <c r="H628" s="371" t="s">
        <v>4256</v>
      </c>
      <c r="I628" s="605"/>
      <c r="J628" s="606"/>
      <c r="K628" s="606"/>
      <c r="L628" s="607"/>
      <c r="M628" s="608"/>
      <c r="N628" s="306"/>
    </row>
    <row r="629" spans="1:14" s="372" customFormat="1" ht="18.75" x14ac:dyDescent="0.3">
      <c r="A629" s="32">
        <f>ROW()-ROW(สำนักงาน!$A$6)+1</f>
        <v>624</v>
      </c>
      <c r="B629" s="601" t="s">
        <v>909</v>
      </c>
      <c r="C629" s="602" t="s">
        <v>910</v>
      </c>
      <c r="D629" s="602" t="s">
        <v>911</v>
      </c>
      <c r="E629" s="603" t="s">
        <v>906</v>
      </c>
      <c r="F629" s="604">
        <v>2300</v>
      </c>
      <c r="G629" s="609" t="s">
        <v>264</v>
      </c>
      <c r="H629" s="371" t="s">
        <v>4256</v>
      </c>
      <c r="I629" s="605"/>
      <c r="J629" s="606"/>
      <c r="K629" s="606"/>
      <c r="L629" s="607"/>
      <c r="M629" s="608"/>
      <c r="N629" s="306"/>
    </row>
    <row r="630" spans="1:14" s="372" customFormat="1" ht="18.75" x14ac:dyDescent="0.3">
      <c r="A630" s="32">
        <f>ROW()-ROW(สำนักงาน!$A$6)+1</f>
        <v>625</v>
      </c>
      <c r="B630" s="601" t="s">
        <v>909</v>
      </c>
      <c r="C630" s="602" t="s">
        <v>912</v>
      </c>
      <c r="D630" s="602" t="s">
        <v>913</v>
      </c>
      <c r="E630" s="603" t="s">
        <v>906</v>
      </c>
      <c r="F630" s="604">
        <v>2300</v>
      </c>
      <c r="G630" s="609" t="s">
        <v>264</v>
      </c>
      <c r="H630" s="371" t="s">
        <v>4256</v>
      </c>
      <c r="I630" s="605"/>
      <c r="J630" s="606"/>
      <c r="K630" s="606"/>
      <c r="L630" s="607"/>
      <c r="M630" s="608"/>
      <c r="N630" s="306"/>
    </row>
    <row r="631" spans="1:14" s="372" customFormat="1" ht="18.75" x14ac:dyDescent="0.3">
      <c r="A631" s="32">
        <f>ROW()-ROW(สำนักงาน!$A$6)+1</f>
        <v>626</v>
      </c>
      <c r="B631" s="601" t="s">
        <v>914</v>
      </c>
      <c r="C631" s="602" t="s">
        <v>915</v>
      </c>
      <c r="D631" s="602" t="s">
        <v>916</v>
      </c>
      <c r="E631" s="603" t="s">
        <v>906</v>
      </c>
      <c r="F631" s="604">
        <v>8500</v>
      </c>
      <c r="G631" s="609" t="s">
        <v>264</v>
      </c>
      <c r="H631" s="610"/>
      <c r="I631" s="371" t="s">
        <v>4256</v>
      </c>
      <c r="J631" s="606"/>
      <c r="K631" s="606"/>
      <c r="L631" s="607"/>
      <c r="M631" s="608"/>
      <c r="N631" s="306"/>
    </row>
    <row r="632" spans="1:14" s="372" customFormat="1" ht="18.75" x14ac:dyDescent="0.3">
      <c r="A632" s="32">
        <f>ROW()-ROW(สำนักงาน!$A$6)+1</f>
        <v>627</v>
      </c>
      <c r="B632" s="601" t="s">
        <v>914</v>
      </c>
      <c r="C632" s="602" t="s">
        <v>917</v>
      </c>
      <c r="D632" s="602" t="s">
        <v>918</v>
      </c>
      <c r="E632" s="603" t="s">
        <v>906</v>
      </c>
      <c r="F632" s="604">
        <v>8500</v>
      </c>
      <c r="G632" s="609" t="s">
        <v>264</v>
      </c>
      <c r="H632" s="610"/>
      <c r="I632" s="371" t="s">
        <v>4256</v>
      </c>
      <c r="J632" s="606"/>
      <c r="K632" s="606"/>
      <c r="L632" s="607"/>
      <c r="M632" s="608"/>
      <c r="N632" s="306"/>
    </row>
    <row r="633" spans="1:14" s="372" customFormat="1" ht="18.75" x14ac:dyDescent="0.3">
      <c r="A633" s="32">
        <f>ROW()-ROW(สำนักงาน!$A$6)+1</f>
        <v>628</v>
      </c>
      <c r="B633" s="601" t="s">
        <v>919</v>
      </c>
      <c r="C633" s="602" t="s">
        <v>920</v>
      </c>
      <c r="D633" s="602" t="s">
        <v>921</v>
      </c>
      <c r="E633" s="603" t="s">
        <v>906</v>
      </c>
      <c r="F633" s="604">
        <v>4000</v>
      </c>
      <c r="G633" s="609" t="s">
        <v>264</v>
      </c>
      <c r="H633" s="371" t="s">
        <v>4256</v>
      </c>
      <c r="I633" s="605"/>
      <c r="J633" s="606"/>
      <c r="K633" s="606"/>
      <c r="L633" s="607"/>
      <c r="M633" s="608"/>
      <c r="N633" s="306"/>
    </row>
    <row r="634" spans="1:14" s="370" customFormat="1" ht="18.75" x14ac:dyDescent="0.2">
      <c r="A634" s="32">
        <f>ROW()-ROW(สำนักงาน!$A$6)+1</f>
        <v>629</v>
      </c>
      <c r="B634" s="199" t="s">
        <v>353</v>
      </c>
      <c r="C634" s="200" t="s">
        <v>354</v>
      </c>
      <c r="D634" s="200" t="s">
        <v>355</v>
      </c>
      <c r="E634" s="201">
        <v>17430</v>
      </c>
      <c r="F634" s="202">
        <v>2900</v>
      </c>
      <c r="G634" s="203" t="s">
        <v>356</v>
      </c>
      <c r="H634" s="32" t="s">
        <v>4256</v>
      </c>
      <c r="I634" s="200"/>
      <c r="J634" s="204"/>
      <c r="K634" s="204"/>
      <c r="L634" s="205"/>
      <c r="M634" s="206"/>
      <c r="N634" s="65" t="s">
        <v>4308</v>
      </c>
    </row>
    <row r="635" spans="1:14" s="370" customFormat="1" ht="18.75" x14ac:dyDescent="0.2">
      <c r="A635" s="32">
        <f>ROW()-ROW(สำนักงาน!$A$6)+1</f>
        <v>630</v>
      </c>
      <c r="B635" s="207" t="s">
        <v>357</v>
      </c>
      <c r="C635" s="208" t="s">
        <v>358</v>
      </c>
      <c r="D635" s="208" t="s">
        <v>4346</v>
      </c>
      <c r="E635" s="209" t="s">
        <v>359</v>
      </c>
      <c r="F635" s="210">
        <v>3500</v>
      </c>
      <c r="G635" s="208" t="s">
        <v>200</v>
      </c>
      <c r="H635" s="32" t="s">
        <v>4256</v>
      </c>
      <c r="I635" s="208"/>
      <c r="J635" s="211"/>
      <c r="K635" s="211"/>
      <c r="L635" s="212"/>
      <c r="M635" s="213"/>
      <c r="N635" s="65" t="s">
        <v>360</v>
      </c>
    </row>
    <row r="636" spans="1:14" s="370" customFormat="1" ht="18.75" x14ac:dyDescent="0.2">
      <c r="A636" s="32">
        <f>ROW()-ROW(สำนักงาน!$A$6)+1</f>
        <v>631</v>
      </c>
      <c r="B636" s="214" t="s">
        <v>361</v>
      </c>
      <c r="C636" s="208" t="s">
        <v>362</v>
      </c>
      <c r="D636" s="203" t="s">
        <v>363</v>
      </c>
      <c r="E636" s="215">
        <v>17775</v>
      </c>
      <c r="F636" s="216">
        <v>2300</v>
      </c>
      <c r="G636" s="203" t="s">
        <v>356</v>
      </c>
      <c r="H636" s="32" t="s">
        <v>4256</v>
      </c>
      <c r="I636" s="203"/>
      <c r="J636" s="217"/>
      <c r="K636" s="217"/>
      <c r="L636" s="218"/>
      <c r="M636" s="219"/>
      <c r="N636" s="65" t="s">
        <v>322</v>
      </c>
    </row>
    <row r="637" spans="1:14" s="370" customFormat="1" ht="18.75" x14ac:dyDescent="0.2">
      <c r="A637" s="32">
        <f>ROW()-ROW(สำนักงาน!$A$6)+1</f>
        <v>632</v>
      </c>
      <c r="B637" s="214" t="s">
        <v>364</v>
      </c>
      <c r="C637" s="208" t="s">
        <v>365</v>
      </c>
      <c r="D637" s="203" t="s">
        <v>366</v>
      </c>
      <c r="E637" s="215">
        <v>17775</v>
      </c>
      <c r="F637" s="216">
        <v>2300</v>
      </c>
      <c r="G637" s="203" t="s">
        <v>367</v>
      </c>
      <c r="H637" s="32" t="s">
        <v>4256</v>
      </c>
      <c r="I637" s="203"/>
      <c r="J637" s="217"/>
      <c r="K637" s="217"/>
      <c r="L637" s="218"/>
      <c r="M637" s="219"/>
      <c r="N637" s="65" t="s">
        <v>4309</v>
      </c>
    </row>
    <row r="638" spans="1:14" s="370" customFormat="1" ht="18.75" x14ac:dyDescent="0.2">
      <c r="A638" s="32">
        <f>ROW()-ROW(สำนักงาน!$A$6)+1</f>
        <v>633</v>
      </c>
      <c r="B638" s="214" t="s">
        <v>361</v>
      </c>
      <c r="C638" s="208" t="s">
        <v>368</v>
      </c>
      <c r="D638" s="203" t="s">
        <v>369</v>
      </c>
      <c r="E638" s="215">
        <v>17775</v>
      </c>
      <c r="F638" s="216">
        <v>2300</v>
      </c>
      <c r="G638" s="203" t="s">
        <v>356</v>
      </c>
      <c r="H638" s="32" t="s">
        <v>4256</v>
      </c>
      <c r="I638" s="203"/>
      <c r="J638" s="217"/>
      <c r="K638" s="217"/>
      <c r="L638" s="218"/>
      <c r="M638" s="219"/>
      <c r="N638" s="65" t="s">
        <v>4310</v>
      </c>
    </row>
    <row r="639" spans="1:14" s="370" customFormat="1" ht="18.75" x14ac:dyDescent="0.2">
      <c r="A639" s="32">
        <f>ROW()-ROW(สำนักงาน!$A$6)+1</f>
        <v>634</v>
      </c>
      <c r="B639" s="214" t="s">
        <v>361</v>
      </c>
      <c r="C639" s="208" t="s">
        <v>370</v>
      </c>
      <c r="D639" s="203" t="s">
        <v>371</v>
      </c>
      <c r="E639" s="215">
        <v>17775</v>
      </c>
      <c r="F639" s="216">
        <v>2300</v>
      </c>
      <c r="G639" s="203" t="s">
        <v>356</v>
      </c>
      <c r="H639" s="32" t="s">
        <v>4256</v>
      </c>
      <c r="I639" s="203"/>
      <c r="J639" s="217"/>
      <c r="K639" s="217"/>
      <c r="L639" s="218"/>
      <c r="M639" s="219"/>
      <c r="N639" s="65" t="s">
        <v>4310</v>
      </c>
    </row>
    <row r="640" spans="1:14" s="372" customFormat="1" ht="18.75" x14ac:dyDescent="0.3">
      <c r="A640" s="32">
        <f>ROW()-ROW(สำนักงาน!$A$6)+1</f>
        <v>635</v>
      </c>
      <c r="B640" s="307" t="s">
        <v>1104</v>
      </c>
      <c r="C640" s="308" t="s">
        <v>1105</v>
      </c>
      <c r="D640" s="308" t="s">
        <v>1106</v>
      </c>
      <c r="E640" s="317" t="s">
        <v>1107</v>
      </c>
      <c r="F640" s="310">
        <v>3999.66</v>
      </c>
      <c r="G640" s="346" t="s">
        <v>949</v>
      </c>
      <c r="H640" s="371" t="s">
        <v>4256</v>
      </c>
      <c r="I640" s="321"/>
      <c r="J640" s="322"/>
      <c r="K640" s="322"/>
      <c r="L640" s="323"/>
      <c r="M640" s="324"/>
      <c r="N640" s="315"/>
    </row>
    <row r="641" spans="1:14" s="372" customFormat="1" ht="18.75" x14ac:dyDescent="0.3">
      <c r="A641" s="32">
        <f>ROW()-ROW(สำนักงาน!$A$6)+1</f>
        <v>636</v>
      </c>
      <c r="B641" s="307" t="s">
        <v>1108</v>
      </c>
      <c r="C641" s="308" t="s">
        <v>1109</v>
      </c>
      <c r="D641" s="308" t="s">
        <v>1110</v>
      </c>
      <c r="E641" s="309" t="s">
        <v>1107</v>
      </c>
      <c r="F641" s="310">
        <v>6420</v>
      </c>
      <c r="G641" s="346" t="s">
        <v>949</v>
      </c>
      <c r="H641" s="371" t="s">
        <v>4256</v>
      </c>
      <c r="I641" s="321"/>
      <c r="J641" s="322"/>
      <c r="K641" s="322"/>
      <c r="L641" s="323"/>
      <c r="M641" s="324"/>
      <c r="N641" s="315"/>
    </row>
    <row r="642" spans="1:14" s="372" customFormat="1" ht="18.75" x14ac:dyDescent="0.3">
      <c r="A642" s="32">
        <f>ROW()-ROW(สำนักงาน!$A$6)+1</f>
        <v>637</v>
      </c>
      <c r="B642" s="307" t="s">
        <v>1111</v>
      </c>
      <c r="C642" s="308" t="s">
        <v>1112</v>
      </c>
      <c r="D642" s="308" t="s">
        <v>1113</v>
      </c>
      <c r="E642" s="309" t="s">
        <v>1107</v>
      </c>
      <c r="F642" s="310">
        <v>6420</v>
      </c>
      <c r="G642" s="346" t="s">
        <v>949</v>
      </c>
      <c r="H642" s="371" t="s">
        <v>4256</v>
      </c>
      <c r="I642" s="321"/>
      <c r="J642" s="322"/>
      <c r="K642" s="322"/>
      <c r="L642" s="323"/>
      <c r="M642" s="324"/>
      <c r="N642" s="315"/>
    </row>
    <row r="643" spans="1:14" s="335" customFormat="1" ht="18.75" x14ac:dyDescent="0.3">
      <c r="A643" s="32">
        <f>ROW()-ROW(สำนักงาน!$A$6)+1</f>
        <v>638</v>
      </c>
      <c r="B643" s="611" t="s">
        <v>4050</v>
      </c>
      <c r="C643" s="612" t="s">
        <v>4051</v>
      </c>
      <c r="D643" s="612" t="s">
        <v>4052</v>
      </c>
      <c r="E643" s="613" t="s">
        <v>4043</v>
      </c>
      <c r="F643" s="614">
        <v>18000</v>
      </c>
      <c r="G643" s="612" t="s">
        <v>3892</v>
      </c>
      <c r="H643" s="32" t="s">
        <v>4256</v>
      </c>
      <c r="I643" s="612"/>
      <c r="J643" s="615"/>
      <c r="K643" s="615"/>
      <c r="L643" s="616"/>
      <c r="M643" s="617"/>
      <c r="N643" s="618"/>
    </row>
    <row r="644" spans="1:14" s="372" customFormat="1" ht="18.75" x14ac:dyDescent="0.3">
      <c r="A644" s="32">
        <f>ROW()-ROW(สำนักงาน!$A$6)+1</f>
        <v>639</v>
      </c>
      <c r="B644" s="307" t="s">
        <v>1198</v>
      </c>
      <c r="C644" s="308" t="s">
        <v>1199</v>
      </c>
      <c r="D644" s="308" t="s">
        <v>1200</v>
      </c>
      <c r="E644" s="319" t="s">
        <v>1201</v>
      </c>
      <c r="F644" s="310">
        <v>7200</v>
      </c>
      <c r="G644" s="308" t="s">
        <v>825</v>
      </c>
      <c r="H644" s="320" t="s">
        <v>4256</v>
      </c>
      <c r="I644" s="321"/>
      <c r="J644" s="322"/>
      <c r="K644" s="322"/>
      <c r="L644" s="323"/>
      <c r="M644" s="324"/>
      <c r="N644" s="354"/>
    </row>
    <row r="645" spans="1:14" s="372" customFormat="1" ht="18.75" x14ac:dyDescent="0.3">
      <c r="A645" s="32">
        <f>ROW()-ROW(สำนักงาน!$A$6)+1</f>
        <v>640</v>
      </c>
      <c r="B645" s="307" t="s">
        <v>1198</v>
      </c>
      <c r="C645" s="308" t="s">
        <v>1202</v>
      </c>
      <c r="D645" s="308" t="s">
        <v>1203</v>
      </c>
      <c r="E645" s="319" t="s">
        <v>1201</v>
      </c>
      <c r="F645" s="310">
        <v>7200</v>
      </c>
      <c r="G645" s="308" t="s">
        <v>825</v>
      </c>
      <c r="H645" s="320" t="s">
        <v>4256</v>
      </c>
      <c r="I645" s="321"/>
      <c r="J645" s="322"/>
      <c r="K645" s="322"/>
      <c r="L645" s="323"/>
      <c r="M645" s="324"/>
      <c r="N645" s="354"/>
    </row>
    <row r="646" spans="1:14" s="373" customFormat="1" ht="37.5" x14ac:dyDescent="0.2">
      <c r="A646" s="32">
        <f>ROW()-ROW(สำนักงาน!$A$6)+1</f>
        <v>641</v>
      </c>
      <c r="B646" s="52" t="s">
        <v>3249</v>
      </c>
      <c r="C646" s="32" t="s">
        <v>3250</v>
      </c>
      <c r="D646" s="32" t="s">
        <v>3251</v>
      </c>
      <c r="E646" s="53" t="s">
        <v>2862</v>
      </c>
      <c r="F646" s="54">
        <v>7490</v>
      </c>
      <c r="G646" s="32" t="s">
        <v>2893</v>
      </c>
      <c r="H646" s="479" t="s">
        <v>4256</v>
      </c>
      <c r="I646" s="32"/>
      <c r="J646" s="32"/>
      <c r="K646" s="32"/>
      <c r="L646" s="32"/>
      <c r="M646" s="32"/>
      <c r="N646" s="285" t="s">
        <v>3842</v>
      </c>
    </row>
    <row r="647" spans="1:14" s="373" customFormat="1" ht="37.5" x14ac:dyDescent="0.2">
      <c r="A647" s="32">
        <f>ROW()-ROW(สำนักงาน!$A$6)+1</f>
        <v>642</v>
      </c>
      <c r="B647" s="52" t="s">
        <v>3249</v>
      </c>
      <c r="C647" s="32" t="s">
        <v>3252</v>
      </c>
      <c r="D647" s="32" t="s">
        <v>3253</v>
      </c>
      <c r="E647" s="53" t="s">
        <v>2862</v>
      </c>
      <c r="F647" s="54">
        <v>7490</v>
      </c>
      <c r="G647" s="32" t="s">
        <v>2893</v>
      </c>
      <c r="H647" s="479" t="s">
        <v>4256</v>
      </c>
      <c r="I647" s="32"/>
      <c r="J647" s="32"/>
      <c r="K647" s="32"/>
      <c r="L647" s="32"/>
      <c r="M647" s="32"/>
      <c r="N647" s="285" t="s">
        <v>3842</v>
      </c>
    </row>
    <row r="648" spans="1:14" s="373" customFormat="1" ht="37.5" x14ac:dyDescent="0.2">
      <c r="A648" s="32">
        <f>ROW()-ROW(สำนักงาน!$A$6)+1</f>
        <v>643</v>
      </c>
      <c r="B648" s="52" t="s">
        <v>3249</v>
      </c>
      <c r="C648" s="32" t="s">
        <v>3254</v>
      </c>
      <c r="D648" s="32" t="s">
        <v>3255</v>
      </c>
      <c r="E648" s="53" t="s">
        <v>2862</v>
      </c>
      <c r="F648" s="54">
        <v>7490</v>
      </c>
      <c r="G648" s="32" t="s">
        <v>2893</v>
      </c>
      <c r="H648" s="479" t="s">
        <v>4256</v>
      </c>
      <c r="I648" s="32"/>
      <c r="J648" s="32"/>
      <c r="K648" s="32"/>
      <c r="L648" s="32"/>
      <c r="M648" s="32"/>
      <c r="N648" s="285" t="s">
        <v>3842</v>
      </c>
    </row>
    <row r="649" spans="1:14" s="373" customFormat="1" ht="18.75" x14ac:dyDescent="0.2">
      <c r="A649" s="32">
        <f>ROW()-ROW(สำนักงาน!$A$6)+1</f>
        <v>644</v>
      </c>
      <c r="B649" s="52" t="s">
        <v>3256</v>
      </c>
      <c r="C649" s="32" t="s">
        <v>3257</v>
      </c>
      <c r="D649" s="32" t="s">
        <v>3258</v>
      </c>
      <c r="E649" s="53" t="s">
        <v>2862</v>
      </c>
      <c r="F649" s="54">
        <v>5457</v>
      </c>
      <c r="G649" s="32" t="s">
        <v>2863</v>
      </c>
      <c r="H649" s="479" t="s">
        <v>4256</v>
      </c>
      <c r="I649" s="32"/>
      <c r="J649" s="32"/>
      <c r="K649" s="32"/>
      <c r="L649" s="32"/>
      <c r="M649" s="32"/>
      <c r="N649" s="285" t="s">
        <v>3835</v>
      </c>
    </row>
    <row r="650" spans="1:14" s="373" customFormat="1" ht="18.75" x14ac:dyDescent="0.2">
      <c r="A650" s="32">
        <f>ROW()-ROW(สำนักงาน!$A$6)+1</f>
        <v>645</v>
      </c>
      <c r="B650" s="52" t="s">
        <v>3256</v>
      </c>
      <c r="C650" s="32" t="s">
        <v>3259</v>
      </c>
      <c r="D650" s="32" t="s">
        <v>3260</v>
      </c>
      <c r="E650" s="53" t="s">
        <v>2862</v>
      </c>
      <c r="F650" s="54">
        <v>5457</v>
      </c>
      <c r="G650" s="32" t="s">
        <v>2863</v>
      </c>
      <c r="H650" s="479" t="s">
        <v>4256</v>
      </c>
      <c r="I650" s="32"/>
      <c r="J650" s="32"/>
      <c r="K650" s="32"/>
      <c r="L650" s="32"/>
      <c r="M650" s="32"/>
      <c r="N650" s="285" t="s">
        <v>3856</v>
      </c>
    </row>
    <row r="651" spans="1:14" s="373" customFormat="1" ht="56.25" x14ac:dyDescent="0.2">
      <c r="A651" s="32">
        <f>ROW()-ROW(สำนักงาน!$A$6)+1</f>
        <v>646</v>
      </c>
      <c r="B651" s="52" t="s">
        <v>3261</v>
      </c>
      <c r="C651" s="32" t="s">
        <v>3262</v>
      </c>
      <c r="D651" s="32" t="s">
        <v>3263</v>
      </c>
      <c r="E651" s="53" t="s">
        <v>2862</v>
      </c>
      <c r="F651" s="54">
        <v>1712</v>
      </c>
      <c r="G651" s="32" t="s">
        <v>2863</v>
      </c>
      <c r="H651" s="479" t="s">
        <v>4256</v>
      </c>
      <c r="I651" s="32"/>
      <c r="J651" s="32"/>
      <c r="K651" s="32"/>
      <c r="L651" s="32"/>
      <c r="M651" s="32"/>
      <c r="N651" s="285" t="s">
        <v>3854</v>
      </c>
    </row>
    <row r="652" spans="1:14" s="373" customFormat="1" ht="56.25" x14ac:dyDescent="0.2">
      <c r="A652" s="32">
        <f>ROW()-ROW(สำนักงาน!$A$6)+1</f>
        <v>647</v>
      </c>
      <c r="B652" s="52" t="s">
        <v>3261</v>
      </c>
      <c r="C652" s="32" t="s">
        <v>3264</v>
      </c>
      <c r="D652" s="32" t="s">
        <v>3265</v>
      </c>
      <c r="E652" s="53" t="s">
        <v>2862</v>
      </c>
      <c r="F652" s="54">
        <v>1712</v>
      </c>
      <c r="G652" s="32" t="s">
        <v>2863</v>
      </c>
      <c r="H652" s="479" t="s">
        <v>4256</v>
      </c>
      <c r="I652" s="32"/>
      <c r="J652" s="32"/>
      <c r="K652" s="32"/>
      <c r="L652" s="32"/>
      <c r="M652" s="32"/>
      <c r="N652" s="285" t="s">
        <v>3854</v>
      </c>
    </row>
    <row r="653" spans="1:14" s="401" customFormat="1" ht="21" x14ac:dyDescent="0.2">
      <c r="A653" s="32">
        <f>ROW()-ROW(สำนักงาน!$A$6)+1</f>
        <v>648</v>
      </c>
      <c r="B653" s="82" t="s">
        <v>1652</v>
      </c>
      <c r="C653" s="13" t="s">
        <v>1653</v>
      </c>
      <c r="D653" s="13" t="s">
        <v>1654</v>
      </c>
      <c r="E653" s="53" t="s">
        <v>1649</v>
      </c>
      <c r="F653" s="31">
        <v>7000</v>
      </c>
      <c r="G653" s="32" t="s">
        <v>21</v>
      </c>
      <c r="H653" s="32" t="s">
        <v>4256</v>
      </c>
      <c r="I653" s="32"/>
      <c r="J653" s="32"/>
      <c r="K653" s="32"/>
      <c r="L653" s="32"/>
      <c r="M653" s="32"/>
      <c r="N653" s="81"/>
    </row>
    <row r="654" spans="1:14" s="401" customFormat="1" ht="21" x14ac:dyDescent="0.2">
      <c r="A654" s="32">
        <f>ROW()-ROW(สำนักงาน!$A$6)+1</f>
        <v>649</v>
      </c>
      <c r="B654" s="82" t="s">
        <v>1652</v>
      </c>
      <c r="C654" s="13" t="s">
        <v>599</v>
      </c>
      <c r="D654" s="13" t="s">
        <v>1655</v>
      </c>
      <c r="E654" s="53" t="s">
        <v>1649</v>
      </c>
      <c r="F654" s="31">
        <v>7000</v>
      </c>
      <c r="G654" s="32" t="s">
        <v>21</v>
      </c>
      <c r="H654" s="32" t="s">
        <v>4256</v>
      </c>
      <c r="I654" s="32"/>
      <c r="J654" s="32"/>
      <c r="K654" s="32"/>
      <c r="L654" s="32"/>
      <c r="M654" s="32"/>
      <c r="N654" s="81"/>
    </row>
    <row r="655" spans="1:14" s="401" customFormat="1" ht="21" x14ac:dyDescent="0.2">
      <c r="A655" s="32">
        <f>ROW()-ROW(สำนักงาน!$A$6)+1</f>
        <v>650</v>
      </c>
      <c r="B655" s="82" t="s">
        <v>1652</v>
      </c>
      <c r="C655" s="13" t="s">
        <v>602</v>
      </c>
      <c r="D655" s="13" t="s">
        <v>1656</v>
      </c>
      <c r="E655" s="53" t="s">
        <v>1649</v>
      </c>
      <c r="F655" s="31">
        <v>7000</v>
      </c>
      <c r="G655" s="32" t="s">
        <v>21</v>
      </c>
      <c r="H655" s="32" t="s">
        <v>4256</v>
      </c>
      <c r="I655" s="32"/>
      <c r="J655" s="32"/>
      <c r="K655" s="32"/>
      <c r="L655" s="32"/>
      <c r="M655" s="32"/>
      <c r="N655" s="81"/>
    </row>
    <row r="656" spans="1:14" s="401" customFormat="1" ht="21" x14ac:dyDescent="0.2">
      <c r="A656" s="32">
        <f>ROW()-ROW(สำนักงาน!$A$6)+1</f>
        <v>651</v>
      </c>
      <c r="B656" s="82" t="s">
        <v>1652</v>
      </c>
      <c r="C656" s="13" t="s">
        <v>1550</v>
      </c>
      <c r="D656" s="13" t="s">
        <v>1657</v>
      </c>
      <c r="E656" s="53" t="s">
        <v>1649</v>
      </c>
      <c r="F656" s="31">
        <v>7000</v>
      </c>
      <c r="G656" s="32" t="s">
        <v>21</v>
      </c>
      <c r="H656" s="32" t="s">
        <v>4256</v>
      </c>
      <c r="I656" s="32"/>
      <c r="J656" s="32"/>
      <c r="K656" s="32"/>
      <c r="L656" s="32"/>
      <c r="M656" s="32"/>
      <c r="N656" s="81"/>
    </row>
    <row r="657" spans="1:14" s="401" customFormat="1" ht="21" x14ac:dyDescent="0.2">
      <c r="A657" s="32">
        <f>ROW()-ROW(สำนักงาน!$A$6)+1</f>
        <v>652</v>
      </c>
      <c r="B657" s="82" t="s">
        <v>1652</v>
      </c>
      <c r="C657" s="13" t="s">
        <v>1553</v>
      </c>
      <c r="D657" s="13" t="s">
        <v>1658</v>
      </c>
      <c r="E657" s="53" t="s">
        <v>1649</v>
      </c>
      <c r="F657" s="31">
        <v>7000</v>
      </c>
      <c r="G657" s="32" t="s">
        <v>21</v>
      </c>
      <c r="H657" s="32" t="s">
        <v>4256</v>
      </c>
      <c r="I657" s="32"/>
      <c r="J657" s="32"/>
      <c r="K657" s="32"/>
      <c r="L657" s="32"/>
      <c r="M657" s="32"/>
      <c r="N657" s="81"/>
    </row>
    <row r="658" spans="1:14" s="401" customFormat="1" ht="21" x14ac:dyDescent="0.2">
      <c r="A658" s="32">
        <f>ROW()-ROW(สำนักงาน!$A$6)+1</f>
        <v>653</v>
      </c>
      <c r="B658" s="82" t="s">
        <v>1652</v>
      </c>
      <c r="C658" s="13" t="s">
        <v>1659</v>
      </c>
      <c r="D658" s="13" t="s">
        <v>1660</v>
      </c>
      <c r="E658" s="53" t="s">
        <v>1649</v>
      </c>
      <c r="F658" s="31">
        <v>7000</v>
      </c>
      <c r="G658" s="32" t="s">
        <v>21</v>
      </c>
      <c r="H658" s="32" t="s">
        <v>4256</v>
      </c>
      <c r="I658" s="32"/>
      <c r="J658" s="32"/>
      <c r="K658" s="32"/>
      <c r="L658" s="32"/>
      <c r="M658" s="32"/>
      <c r="N658" s="81"/>
    </row>
    <row r="659" spans="1:14" s="401" customFormat="1" ht="21" x14ac:dyDescent="0.2">
      <c r="A659" s="32">
        <f>ROW()-ROW(สำนักงาน!$A$6)+1</f>
        <v>654</v>
      </c>
      <c r="B659" s="82" t="s">
        <v>1652</v>
      </c>
      <c r="C659" s="13" t="s">
        <v>1555</v>
      </c>
      <c r="D659" s="13" t="s">
        <v>1661</v>
      </c>
      <c r="E659" s="53" t="s">
        <v>1649</v>
      </c>
      <c r="F659" s="31">
        <v>7000</v>
      </c>
      <c r="G659" s="32" t="s">
        <v>21</v>
      </c>
      <c r="H659" s="32" t="s">
        <v>4256</v>
      </c>
      <c r="I659" s="32"/>
      <c r="J659" s="32"/>
      <c r="K659" s="32"/>
      <c r="L659" s="32"/>
      <c r="M659" s="32"/>
      <c r="N659" s="81"/>
    </row>
    <row r="660" spans="1:14" s="401" customFormat="1" ht="21" x14ac:dyDescent="0.2">
      <c r="A660" s="32">
        <f>ROW()-ROW(สำนักงาน!$A$6)+1</f>
        <v>655</v>
      </c>
      <c r="B660" s="82" t="s">
        <v>1652</v>
      </c>
      <c r="C660" s="13" t="s">
        <v>1557</v>
      </c>
      <c r="D660" s="13" t="s">
        <v>1662</v>
      </c>
      <c r="E660" s="53" t="s">
        <v>1649</v>
      </c>
      <c r="F660" s="31">
        <v>7000</v>
      </c>
      <c r="G660" s="32" t="s">
        <v>21</v>
      </c>
      <c r="H660" s="32" t="s">
        <v>4256</v>
      </c>
      <c r="I660" s="32"/>
      <c r="J660" s="32"/>
      <c r="K660" s="32"/>
      <c r="L660" s="32"/>
      <c r="M660" s="32"/>
      <c r="N660" s="81"/>
    </row>
    <row r="661" spans="1:14" s="401" customFormat="1" ht="21" x14ac:dyDescent="0.2">
      <c r="A661" s="32">
        <f>ROW()-ROW(สำนักงาน!$A$6)+1</f>
        <v>656</v>
      </c>
      <c r="B661" s="82" t="s">
        <v>1652</v>
      </c>
      <c r="C661" s="13" t="s">
        <v>1559</v>
      </c>
      <c r="D661" s="13" t="s">
        <v>1663</v>
      </c>
      <c r="E661" s="53" t="s">
        <v>1649</v>
      </c>
      <c r="F661" s="31">
        <v>7000</v>
      </c>
      <c r="G661" s="32" t="s">
        <v>21</v>
      </c>
      <c r="H661" s="32" t="s">
        <v>4256</v>
      </c>
      <c r="I661" s="32"/>
      <c r="J661" s="32"/>
      <c r="K661" s="32"/>
      <c r="L661" s="32"/>
      <c r="M661" s="32"/>
      <c r="N661" s="81"/>
    </row>
    <row r="662" spans="1:14" s="401" customFormat="1" ht="21" x14ac:dyDescent="0.2">
      <c r="A662" s="32">
        <f>ROW()-ROW(สำนักงาน!$A$6)+1</f>
        <v>657</v>
      </c>
      <c r="B662" s="82" t="s">
        <v>1652</v>
      </c>
      <c r="C662" s="13" t="s">
        <v>1561</v>
      </c>
      <c r="D662" s="13" t="s">
        <v>1664</v>
      </c>
      <c r="E662" s="53" t="s">
        <v>1649</v>
      </c>
      <c r="F662" s="31">
        <v>7000</v>
      </c>
      <c r="G662" s="32" t="s">
        <v>21</v>
      </c>
      <c r="H662" s="32" t="s">
        <v>4256</v>
      </c>
      <c r="I662" s="32"/>
      <c r="J662" s="32"/>
      <c r="K662" s="32"/>
      <c r="L662" s="32"/>
      <c r="M662" s="32"/>
      <c r="N662" s="81"/>
    </row>
    <row r="663" spans="1:14" s="401" customFormat="1" ht="21" x14ac:dyDescent="0.2">
      <c r="A663" s="32">
        <f>ROW()-ROW(สำนักงาน!$A$6)+1</f>
        <v>658</v>
      </c>
      <c r="B663" s="55" t="s">
        <v>1665</v>
      </c>
      <c r="C663" s="13" t="s">
        <v>1666</v>
      </c>
      <c r="D663" s="13" t="s">
        <v>1667</v>
      </c>
      <c r="E663" s="53" t="s">
        <v>1592</v>
      </c>
      <c r="F663" s="31">
        <v>5900</v>
      </c>
      <c r="G663" s="32" t="s">
        <v>21</v>
      </c>
      <c r="H663" s="32" t="s">
        <v>4256</v>
      </c>
      <c r="I663" s="32"/>
      <c r="J663" s="32"/>
      <c r="K663" s="32"/>
      <c r="L663" s="32"/>
      <c r="M663" s="32"/>
      <c r="N663" s="81"/>
    </row>
    <row r="664" spans="1:14" s="401" customFormat="1" ht="21" x14ac:dyDescent="0.2">
      <c r="A664" s="32">
        <f>ROW()-ROW(สำนักงาน!$A$6)+1</f>
        <v>659</v>
      </c>
      <c r="B664" s="55" t="s">
        <v>1665</v>
      </c>
      <c r="C664" s="13" t="s">
        <v>1668</v>
      </c>
      <c r="D664" s="13" t="s">
        <v>1669</v>
      </c>
      <c r="E664" s="53" t="s">
        <v>1592</v>
      </c>
      <c r="F664" s="31">
        <v>5900</v>
      </c>
      <c r="G664" s="32" t="s">
        <v>21</v>
      </c>
      <c r="H664" s="32" t="s">
        <v>4256</v>
      </c>
      <c r="I664" s="32"/>
      <c r="J664" s="32"/>
      <c r="K664" s="32"/>
      <c r="L664" s="32"/>
      <c r="M664" s="32"/>
      <c r="N664" s="81"/>
    </row>
    <row r="665" spans="1:14" s="401" customFormat="1" ht="21" x14ac:dyDescent="0.2">
      <c r="A665" s="32">
        <f>ROW()-ROW(สำนักงาน!$A$6)+1</f>
        <v>660</v>
      </c>
      <c r="B665" s="55" t="s">
        <v>1665</v>
      </c>
      <c r="C665" s="13" t="s">
        <v>1670</v>
      </c>
      <c r="D665" s="13" t="s">
        <v>1671</v>
      </c>
      <c r="E665" s="53" t="s">
        <v>1592</v>
      </c>
      <c r="F665" s="31">
        <v>5900</v>
      </c>
      <c r="G665" s="32" t="s">
        <v>21</v>
      </c>
      <c r="H665" s="32" t="s">
        <v>4256</v>
      </c>
      <c r="I665" s="32"/>
      <c r="J665" s="32"/>
      <c r="K665" s="32"/>
      <c r="L665" s="32"/>
      <c r="M665" s="32"/>
      <c r="N665" s="81"/>
    </row>
    <row r="666" spans="1:14" s="401" customFormat="1" ht="21" x14ac:dyDescent="0.2">
      <c r="A666" s="32">
        <f>ROW()-ROW(สำนักงาน!$A$6)+1</f>
        <v>661</v>
      </c>
      <c r="B666" s="55" t="s">
        <v>1665</v>
      </c>
      <c r="C666" s="13" t="s">
        <v>1672</v>
      </c>
      <c r="D666" s="13" t="s">
        <v>1673</v>
      </c>
      <c r="E666" s="53" t="s">
        <v>1592</v>
      </c>
      <c r="F666" s="31">
        <v>5900</v>
      </c>
      <c r="G666" s="32" t="s">
        <v>21</v>
      </c>
      <c r="H666" s="32" t="s">
        <v>4256</v>
      </c>
      <c r="I666" s="32"/>
      <c r="J666" s="32"/>
      <c r="K666" s="32"/>
      <c r="L666" s="32"/>
      <c r="M666" s="32"/>
      <c r="N666" s="81"/>
    </row>
    <row r="667" spans="1:14" s="401" customFormat="1" ht="21" x14ac:dyDescent="0.2">
      <c r="A667" s="32">
        <f>ROW()-ROW(สำนักงาน!$A$6)+1</f>
        <v>662</v>
      </c>
      <c r="B667" s="55" t="s">
        <v>1665</v>
      </c>
      <c r="C667" s="13" t="s">
        <v>1674</v>
      </c>
      <c r="D667" s="13" t="s">
        <v>1675</v>
      </c>
      <c r="E667" s="53" t="s">
        <v>1592</v>
      </c>
      <c r="F667" s="31">
        <v>5900</v>
      </c>
      <c r="G667" s="32" t="s">
        <v>21</v>
      </c>
      <c r="H667" s="32" t="s">
        <v>4256</v>
      </c>
      <c r="I667" s="32"/>
      <c r="J667" s="32"/>
      <c r="K667" s="32"/>
      <c r="L667" s="32"/>
      <c r="M667" s="32"/>
      <c r="N667" s="81"/>
    </row>
    <row r="668" spans="1:14" s="373" customFormat="1" ht="37.5" x14ac:dyDescent="0.2">
      <c r="A668" s="32">
        <f>ROW()-ROW(สำนักงาน!$A$6)+1</f>
        <v>663</v>
      </c>
      <c r="B668" s="55" t="s">
        <v>3727</v>
      </c>
      <c r="C668" s="13" t="s">
        <v>3728</v>
      </c>
      <c r="D668" s="13" t="s">
        <v>3729</v>
      </c>
      <c r="E668" s="53" t="s">
        <v>1731</v>
      </c>
      <c r="F668" s="31">
        <v>23000</v>
      </c>
      <c r="G668" s="32" t="s">
        <v>2378</v>
      </c>
      <c r="H668" s="32" t="s">
        <v>4256</v>
      </c>
      <c r="I668" s="32"/>
      <c r="J668" s="32"/>
      <c r="K668" s="32"/>
      <c r="L668" s="32"/>
      <c r="M668" s="32"/>
      <c r="N668" s="316" t="s">
        <v>3855</v>
      </c>
    </row>
    <row r="669" spans="1:14" s="373" customFormat="1" ht="37.5" x14ac:dyDescent="0.2">
      <c r="A669" s="32">
        <f>ROW()-ROW(สำนักงาน!$A$6)+1</f>
        <v>664</v>
      </c>
      <c r="B669" s="55" t="s">
        <v>3727</v>
      </c>
      <c r="C669" s="13" t="s">
        <v>3730</v>
      </c>
      <c r="D669" s="13" t="s">
        <v>3731</v>
      </c>
      <c r="E669" s="53" t="s">
        <v>1731</v>
      </c>
      <c r="F669" s="31">
        <v>23000</v>
      </c>
      <c r="G669" s="32" t="s">
        <v>2378</v>
      </c>
      <c r="H669" s="32" t="s">
        <v>4256</v>
      </c>
      <c r="I669" s="32"/>
      <c r="J669" s="32"/>
      <c r="K669" s="32"/>
      <c r="L669" s="32"/>
      <c r="M669" s="32"/>
      <c r="N669" s="316" t="s">
        <v>3842</v>
      </c>
    </row>
    <row r="670" spans="1:14" s="373" customFormat="1" ht="37.5" x14ac:dyDescent="0.2">
      <c r="A670" s="32">
        <f>ROW()-ROW(สำนักงาน!$A$6)+1</f>
        <v>665</v>
      </c>
      <c r="B670" s="55" t="s">
        <v>3727</v>
      </c>
      <c r="C670" s="13" t="s">
        <v>3732</v>
      </c>
      <c r="D670" s="13" t="s">
        <v>3733</v>
      </c>
      <c r="E670" s="53" t="s">
        <v>1731</v>
      </c>
      <c r="F670" s="31">
        <v>23000</v>
      </c>
      <c r="G670" s="32" t="s">
        <v>2378</v>
      </c>
      <c r="H670" s="32" t="s">
        <v>4256</v>
      </c>
      <c r="I670" s="32"/>
      <c r="J670" s="32"/>
      <c r="K670" s="32"/>
      <c r="L670" s="32"/>
      <c r="M670" s="32"/>
      <c r="N670" s="316" t="s">
        <v>3834</v>
      </c>
    </row>
    <row r="671" spans="1:14" s="373" customFormat="1" ht="18.75" x14ac:dyDescent="0.2">
      <c r="A671" s="32">
        <f>ROW()-ROW(สำนักงาน!$A$6)+1</f>
        <v>666</v>
      </c>
      <c r="B671" s="55" t="s">
        <v>3740</v>
      </c>
      <c r="C671" s="32" t="s">
        <v>3741</v>
      </c>
      <c r="D671" s="13" t="s">
        <v>3742</v>
      </c>
      <c r="E671" s="53" t="s">
        <v>3743</v>
      </c>
      <c r="F671" s="31">
        <v>25145</v>
      </c>
      <c r="G671" s="32" t="s">
        <v>2378</v>
      </c>
      <c r="H671" s="32" t="s">
        <v>4256</v>
      </c>
      <c r="I671" s="32"/>
      <c r="J671" s="32"/>
      <c r="K671" s="32"/>
      <c r="L671" s="32"/>
      <c r="M671" s="32"/>
      <c r="N671" s="316" t="s">
        <v>3891</v>
      </c>
    </row>
    <row r="672" spans="1:14" s="373" customFormat="1" ht="18.75" x14ac:dyDescent="0.2">
      <c r="A672" s="32">
        <f>ROW()-ROW(สำนักงาน!$A$6)+1</f>
        <v>667</v>
      </c>
      <c r="B672" s="52" t="s">
        <v>613</v>
      </c>
      <c r="C672" s="277" t="s">
        <v>614</v>
      </c>
      <c r="D672" s="647" t="s">
        <v>615</v>
      </c>
      <c r="E672" s="34">
        <v>23718</v>
      </c>
      <c r="F672" s="648">
        <v>8000</v>
      </c>
      <c r="G672" s="32" t="s">
        <v>2378</v>
      </c>
      <c r="H672" s="479" t="s">
        <v>4256</v>
      </c>
      <c r="I672" s="79"/>
      <c r="J672" s="79"/>
      <c r="K672" s="79"/>
      <c r="L672" s="79"/>
      <c r="M672" s="79"/>
      <c r="N672" s="285" t="s">
        <v>3832</v>
      </c>
    </row>
    <row r="673" spans="1:14" s="373" customFormat="1" ht="18.75" x14ac:dyDescent="0.2">
      <c r="A673" s="32">
        <f>ROW()-ROW(สำนักงาน!$A$6)+1</f>
        <v>668</v>
      </c>
      <c r="B673" s="52" t="s">
        <v>613</v>
      </c>
      <c r="C673" s="386" t="s">
        <v>616</v>
      </c>
      <c r="D673" s="647" t="s">
        <v>617</v>
      </c>
      <c r="E673" s="34">
        <v>23718</v>
      </c>
      <c r="F673" s="648">
        <v>8000</v>
      </c>
      <c r="G673" s="32" t="s">
        <v>2378</v>
      </c>
      <c r="H673" s="479" t="s">
        <v>4256</v>
      </c>
      <c r="I673" s="79"/>
      <c r="J673" s="79"/>
      <c r="K673" s="79"/>
      <c r="L673" s="79"/>
      <c r="M673" s="79"/>
      <c r="N673" s="285" t="s">
        <v>3884</v>
      </c>
    </row>
    <row r="674" spans="1:14" s="370" customFormat="1" ht="37.5" x14ac:dyDescent="0.2">
      <c r="A674" s="32">
        <f>ROW()-ROW(สำนักงาน!$A$6)+1</f>
        <v>669</v>
      </c>
      <c r="B674" s="55" t="s">
        <v>699</v>
      </c>
      <c r="C674" s="277" t="s">
        <v>700</v>
      </c>
      <c r="D674" s="13" t="s">
        <v>701</v>
      </c>
      <c r="E674" s="53" t="s">
        <v>702</v>
      </c>
      <c r="F674" s="31">
        <v>3300</v>
      </c>
      <c r="G674" s="251" t="s">
        <v>703</v>
      </c>
      <c r="H674" s="32" t="s">
        <v>4256</v>
      </c>
      <c r="I674" s="32"/>
      <c r="J674" s="32"/>
      <c r="K674" s="32"/>
      <c r="L674" s="32"/>
      <c r="M674" s="32"/>
      <c r="N674" s="252" t="s">
        <v>568</v>
      </c>
    </row>
    <row r="675" spans="1:14" s="370" customFormat="1" ht="37.5" x14ac:dyDescent="0.2">
      <c r="A675" s="32">
        <f>ROW()-ROW(สำนักงาน!$A$6)+1</f>
        <v>670</v>
      </c>
      <c r="B675" s="55" t="s">
        <v>699</v>
      </c>
      <c r="C675" s="277" t="s">
        <v>704</v>
      </c>
      <c r="D675" s="13" t="s">
        <v>705</v>
      </c>
      <c r="E675" s="53" t="s">
        <v>702</v>
      </c>
      <c r="F675" s="31">
        <v>3300</v>
      </c>
      <c r="G675" s="251" t="s">
        <v>706</v>
      </c>
      <c r="H675" s="32" t="s">
        <v>4256</v>
      </c>
      <c r="I675" s="32"/>
      <c r="J675" s="32"/>
      <c r="K675" s="32"/>
      <c r="L675" s="32"/>
      <c r="M675" s="32"/>
      <c r="N675" s="252" t="s">
        <v>275</v>
      </c>
    </row>
    <row r="676" spans="1:14" s="370" customFormat="1" ht="37.5" x14ac:dyDescent="0.2">
      <c r="A676" s="32">
        <f>ROW()-ROW(สำนักงาน!$A$6)+1</f>
        <v>671</v>
      </c>
      <c r="B676" s="55" t="s">
        <v>699</v>
      </c>
      <c r="C676" s="277" t="s">
        <v>707</v>
      </c>
      <c r="D676" s="13" t="s">
        <v>708</v>
      </c>
      <c r="E676" s="53" t="s">
        <v>702</v>
      </c>
      <c r="F676" s="31">
        <v>3300</v>
      </c>
      <c r="G676" s="251" t="s">
        <v>703</v>
      </c>
      <c r="H676" s="32" t="s">
        <v>4256</v>
      </c>
      <c r="I676" s="32"/>
      <c r="J676" s="32"/>
      <c r="K676" s="32"/>
      <c r="L676" s="32"/>
      <c r="M676" s="32"/>
      <c r="N676" s="252" t="s">
        <v>571</v>
      </c>
    </row>
    <row r="677" spans="1:14" s="370" customFormat="1" ht="37.5" x14ac:dyDescent="0.2">
      <c r="A677" s="32">
        <f>ROW()-ROW(สำนักงาน!$A$6)+1</f>
        <v>672</v>
      </c>
      <c r="B677" s="55" t="s">
        <v>709</v>
      </c>
      <c r="C677" s="276" t="s">
        <v>710</v>
      </c>
      <c r="D677" s="13" t="s">
        <v>711</v>
      </c>
      <c r="E677" s="53" t="s">
        <v>702</v>
      </c>
      <c r="F677" s="31">
        <v>2300</v>
      </c>
      <c r="G677" s="251" t="s">
        <v>706</v>
      </c>
      <c r="H677" s="32" t="s">
        <v>4256</v>
      </c>
      <c r="I677" s="32"/>
      <c r="J677" s="32"/>
      <c r="K677" s="32"/>
      <c r="L677" s="32"/>
      <c r="M677" s="32"/>
      <c r="N677" s="252" t="s">
        <v>275</v>
      </c>
    </row>
    <row r="678" spans="1:14" s="370" customFormat="1" ht="18.75" x14ac:dyDescent="0.2">
      <c r="A678" s="32">
        <f>ROW()-ROW(สำนักงาน!$A$6)+1</f>
        <v>673</v>
      </c>
      <c r="B678" s="55" t="s">
        <v>712</v>
      </c>
      <c r="C678" s="276" t="s">
        <v>713</v>
      </c>
      <c r="D678" s="13" t="s">
        <v>714</v>
      </c>
      <c r="E678" s="53" t="s">
        <v>702</v>
      </c>
      <c r="F678" s="31">
        <v>4000</v>
      </c>
      <c r="G678" s="251" t="s">
        <v>715</v>
      </c>
      <c r="H678" s="32" t="s">
        <v>4256</v>
      </c>
      <c r="I678" s="32"/>
      <c r="J678" s="32"/>
      <c r="K678" s="32"/>
      <c r="L678" s="32"/>
      <c r="M678" s="32"/>
      <c r="N678" s="252" t="s">
        <v>499</v>
      </c>
    </row>
    <row r="679" spans="1:14" s="370" customFormat="1" ht="18.75" x14ac:dyDescent="0.2">
      <c r="A679" s="32">
        <f>ROW()-ROW(สำนักงาน!$A$6)+1</f>
        <v>674</v>
      </c>
      <c r="B679" s="55" t="s">
        <v>712</v>
      </c>
      <c r="C679" s="276" t="s">
        <v>716</v>
      </c>
      <c r="D679" s="13" t="s">
        <v>717</v>
      </c>
      <c r="E679" s="53" t="s">
        <v>702</v>
      </c>
      <c r="F679" s="31">
        <v>4000</v>
      </c>
      <c r="G679" s="251" t="s">
        <v>715</v>
      </c>
      <c r="H679" s="32" t="s">
        <v>4256</v>
      </c>
      <c r="I679" s="32"/>
      <c r="J679" s="32"/>
      <c r="K679" s="32"/>
      <c r="L679" s="32"/>
      <c r="M679" s="32"/>
      <c r="N679" s="252" t="s">
        <v>4321</v>
      </c>
    </row>
    <row r="680" spans="1:14" s="370" customFormat="1" ht="18.75" x14ac:dyDescent="0.2">
      <c r="A680" s="32">
        <f>ROW()-ROW(สำนักงาน!$A$6)+1</f>
        <v>675</v>
      </c>
      <c r="B680" s="392" t="s">
        <v>3805</v>
      </c>
      <c r="C680" s="393" t="s">
        <v>4154</v>
      </c>
      <c r="D680" s="393" t="s">
        <v>126</v>
      </c>
      <c r="E680" s="34">
        <v>243642</v>
      </c>
      <c r="F680" s="377">
        <v>4500</v>
      </c>
      <c r="G680" s="393" t="s">
        <v>241</v>
      </c>
      <c r="H680" s="32" t="s">
        <v>4256</v>
      </c>
      <c r="I680" s="361"/>
      <c r="J680" s="361"/>
      <c r="K680" s="361"/>
      <c r="L680" s="361"/>
      <c r="M680" s="361"/>
      <c r="N680" s="362" t="s">
        <v>4336</v>
      </c>
    </row>
    <row r="681" spans="1:14" s="370" customFormat="1" ht="37.5" x14ac:dyDescent="0.2">
      <c r="A681" s="32">
        <f>ROW()-ROW(สำนักงาน!$A$6)+1</f>
        <v>676</v>
      </c>
      <c r="B681" s="392" t="s">
        <v>127</v>
      </c>
      <c r="C681" s="393" t="s">
        <v>4155</v>
      </c>
      <c r="D681" s="393" t="s">
        <v>128</v>
      </c>
      <c r="E681" s="34">
        <v>243642</v>
      </c>
      <c r="F681" s="377">
        <v>6000</v>
      </c>
      <c r="G681" s="393" t="s">
        <v>241</v>
      </c>
      <c r="H681" s="32" t="s">
        <v>4256</v>
      </c>
      <c r="I681" s="361"/>
      <c r="J681" s="361"/>
      <c r="K681" s="361"/>
      <c r="L681" s="361"/>
      <c r="M681" s="361"/>
      <c r="N681" s="362" t="s">
        <v>499</v>
      </c>
    </row>
    <row r="682" spans="1:14" s="370" customFormat="1" ht="37.5" x14ac:dyDescent="0.2">
      <c r="A682" s="32">
        <f>ROW()-ROW(สำนักงาน!$A$6)+1</f>
        <v>677</v>
      </c>
      <c r="B682" s="392" t="s">
        <v>127</v>
      </c>
      <c r="C682" s="393" t="s">
        <v>4156</v>
      </c>
      <c r="D682" s="393" t="s">
        <v>129</v>
      </c>
      <c r="E682" s="34">
        <v>243642</v>
      </c>
      <c r="F682" s="377">
        <v>6000</v>
      </c>
      <c r="G682" s="393" t="s">
        <v>241</v>
      </c>
      <c r="H682" s="32" t="s">
        <v>4256</v>
      </c>
      <c r="I682" s="361"/>
      <c r="J682" s="361"/>
      <c r="K682" s="361"/>
      <c r="L682" s="361"/>
      <c r="M682" s="361"/>
      <c r="N682" s="362" t="s">
        <v>4301</v>
      </c>
    </row>
    <row r="683" spans="1:14" s="370" customFormat="1" ht="37.5" x14ac:dyDescent="0.2">
      <c r="A683" s="32">
        <f>ROW()-ROW(สำนักงาน!$A$6)+1</f>
        <v>678</v>
      </c>
      <c r="B683" s="392" t="s">
        <v>127</v>
      </c>
      <c r="C683" s="393" t="s">
        <v>4157</v>
      </c>
      <c r="D683" s="393" t="s">
        <v>130</v>
      </c>
      <c r="E683" s="34">
        <v>243642</v>
      </c>
      <c r="F683" s="377">
        <v>6000</v>
      </c>
      <c r="G683" s="393" t="s">
        <v>241</v>
      </c>
      <c r="H683" s="32" t="s">
        <v>4256</v>
      </c>
      <c r="I683" s="361"/>
      <c r="J683" s="361"/>
      <c r="K683" s="361"/>
      <c r="L683" s="361"/>
      <c r="M683" s="361"/>
      <c r="N683" s="362" t="s">
        <v>4337</v>
      </c>
    </row>
    <row r="684" spans="1:14" s="401" customFormat="1" ht="21" x14ac:dyDescent="0.2">
      <c r="A684" s="32">
        <f>ROW()-ROW(สำนักงาน!$A$6)+1</f>
        <v>679</v>
      </c>
      <c r="B684" s="423" t="s">
        <v>3809</v>
      </c>
      <c r="C684" s="393" t="s">
        <v>4163</v>
      </c>
      <c r="D684" s="393" t="s">
        <v>182</v>
      </c>
      <c r="E684" s="50">
        <v>24676</v>
      </c>
      <c r="F684" s="377">
        <v>25680</v>
      </c>
      <c r="G684" s="32" t="s">
        <v>21</v>
      </c>
      <c r="H684" s="32" t="s">
        <v>4256</v>
      </c>
      <c r="I684" s="32"/>
      <c r="J684" s="32"/>
      <c r="K684" s="32"/>
      <c r="L684" s="32"/>
      <c r="M684" s="32"/>
      <c r="N684" s="820" t="s">
        <v>5013</v>
      </c>
    </row>
    <row r="685" spans="1:14" s="370" customFormat="1" ht="18.75" x14ac:dyDescent="0.2">
      <c r="A685" s="32">
        <f>ROW()-ROW(สำนักงาน!$A$6)+1</f>
        <v>680</v>
      </c>
      <c r="B685" s="164" t="s">
        <v>306</v>
      </c>
      <c r="C685" s="165" t="s">
        <v>307</v>
      </c>
      <c r="D685" s="165" t="s">
        <v>308</v>
      </c>
      <c r="E685" s="166">
        <v>16537</v>
      </c>
      <c r="F685" s="167">
        <v>25000</v>
      </c>
      <c r="G685" s="165" t="s">
        <v>200</v>
      </c>
      <c r="H685" s="32" t="s">
        <v>4256</v>
      </c>
      <c r="I685" s="165"/>
      <c r="J685" s="165"/>
      <c r="K685" s="168"/>
      <c r="L685" s="169"/>
      <c r="M685" s="170"/>
      <c r="N685" s="165" t="s">
        <v>309</v>
      </c>
    </row>
    <row r="686" spans="1:14" s="372" customFormat="1" ht="18.75" x14ac:dyDescent="0.3">
      <c r="A686" s="32">
        <f>ROW()-ROW(สำนักงาน!$A$6)+1</f>
        <v>681</v>
      </c>
      <c r="B686" s="82" t="s">
        <v>963</v>
      </c>
      <c r="C686" s="13" t="s">
        <v>964</v>
      </c>
      <c r="D686" s="13" t="s">
        <v>965</v>
      </c>
      <c r="E686" s="220">
        <v>19390</v>
      </c>
      <c r="F686" s="221">
        <v>46500</v>
      </c>
      <c r="G686" s="345" t="s">
        <v>949</v>
      </c>
      <c r="H686" s="371" t="s">
        <v>4256</v>
      </c>
      <c r="I686" s="300"/>
      <c r="J686" s="303"/>
      <c r="K686" s="303"/>
      <c r="L686" s="304"/>
      <c r="M686" s="305"/>
      <c r="N686" s="306"/>
    </row>
    <row r="687" spans="1:14" s="336" customFormat="1" ht="18.75" x14ac:dyDescent="0.3">
      <c r="A687" s="32">
        <f>ROW()-ROW(สำนักงาน!$A$6)+1</f>
        <v>682</v>
      </c>
      <c r="B687" s="619" t="s">
        <v>3959</v>
      </c>
      <c r="C687" s="620" t="s">
        <v>3960</v>
      </c>
      <c r="D687" s="620" t="s">
        <v>3961</v>
      </c>
      <c r="E687" s="621">
        <v>19743</v>
      </c>
      <c r="F687" s="622">
        <v>23831</v>
      </c>
      <c r="G687" s="300" t="s">
        <v>3892</v>
      </c>
      <c r="H687" s="620"/>
      <c r="I687" s="620"/>
      <c r="J687" s="620" t="s">
        <v>4256</v>
      </c>
      <c r="K687" s="335"/>
      <c r="L687" s="623"/>
      <c r="M687" s="624"/>
      <c r="N687" s="306"/>
    </row>
    <row r="688" spans="1:14" s="336" customFormat="1" ht="18.75" x14ac:dyDescent="0.3">
      <c r="A688" s="32">
        <f>ROW()-ROW(สำนักงาน!$A$6)+1</f>
        <v>683</v>
      </c>
      <c r="B688" s="619" t="s">
        <v>3959</v>
      </c>
      <c r="C688" s="620" t="s">
        <v>3962</v>
      </c>
      <c r="D688" s="620" t="s">
        <v>3963</v>
      </c>
      <c r="E688" s="621">
        <v>19743</v>
      </c>
      <c r="F688" s="622">
        <v>23831</v>
      </c>
      <c r="G688" s="300" t="s">
        <v>3892</v>
      </c>
      <c r="H688" s="620"/>
      <c r="I688" s="620"/>
      <c r="J688" s="620" t="s">
        <v>4256</v>
      </c>
      <c r="K688" s="335"/>
      <c r="L688" s="623"/>
      <c r="M688" s="624"/>
      <c r="N688" s="306"/>
    </row>
    <row r="689" spans="1:14" s="336" customFormat="1" ht="18.75" x14ac:dyDescent="0.3">
      <c r="A689" s="32">
        <f>ROW()-ROW(สำนักงาน!$A$6)+1</f>
        <v>684</v>
      </c>
      <c r="B689" s="619" t="s">
        <v>3959</v>
      </c>
      <c r="C689" s="620" t="s">
        <v>3964</v>
      </c>
      <c r="D689" s="620" t="s">
        <v>3965</v>
      </c>
      <c r="E689" s="621">
        <v>19743</v>
      </c>
      <c r="F689" s="622">
        <v>23831</v>
      </c>
      <c r="G689" s="300" t="s">
        <v>3892</v>
      </c>
      <c r="H689" s="620"/>
      <c r="I689" s="620"/>
      <c r="J689" s="620" t="s">
        <v>4256</v>
      </c>
      <c r="K689" s="335"/>
      <c r="L689" s="623"/>
      <c r="M689" s="624"/>
      <c r="N689" s="306"/>
    </row>
    <row r="690" spans="1:14" s="336" customFormat="1" ht="18.75" x14ac:dyDescent="0.3">
      <c r="A690" s="32">
        <f>ROW()-ROW(สำนักงาน!$A$6)+1</f>
        <v>685</v>
      </c>
      <c r="B690" s="619" t="s">
        <v>3959</v>
      </c>
      <c r="C690" s="620" t="s">
        <v>3966</v>
      </c>
      <c r="D690" s="620" t="s">
        <v>3967</v>
      </c>
      <c r="E690" s="621">
        <v>19743</v>
      </c>
      <c r="F690" s="622">
        <v>23831</v>
      </c>
      <c r="G690" s="300" t="s">
        <v>3892</v>
      </c>
      <c r="H690" s="620"/>
      <c r="I690" s="620"/>
      <c r="J690" s="620" t="s">
        <v>4256</v>
      </c>
      <c r="K690" s="335"/>
      <c r="L690" s="623"/>
      <c r="M690" s="624"/>
      <c r="N690" s="306"/>
    </row>
    <row r="691" spans="1:14" s="336" customFormat="1" ht="18.75" x14ac:dyDescent="0.3">
      <c r="A691" s="32">
        <f>ROW()-ROW(สำนักงาน!$A$6)+1</f>
        <v>686</v>
      </c>
      <c r="B691" s="619" t="s">
        <v>3968</v>
      </c>
      <c r="C691" s="620" t="s">
        <v>3969</v>
      </c>
      <c r="D691" s="620" t="s">
        <v>3970</v>
      </c>
      <c r="E691" s="621">
        <v>19743</v>
      </c>
      <c r="F691" s="625">
        <v>35420</v>
      </c>
      <c r="G691" s="300" t="s">
        <v>3892</v>
      </c>
      <c r="H691" s="620"/>
      <c r="I691" s="620"/>
      <c r="J691" s="620" t="s">
        <v>4256</v>
      </c>
      <c r="K691" s="335"/>
      <c r="L691" s="623"/>
      <c r="M691" s="624"/>
      <c r="N691" s="306"/>
    </row>
    <row r="692" spans="1:14" s="336" customFormat="1" ht="18.75" x14ac:dyDescent="0.3">
      <c r="A692" s="32">
        <f>ROW()-ROW(สำนักงาน!$A$6)+1</f>
        <v>687</v>
      </c>
      <c r="B692" s="619" t="s">
        <v>3971</v>
      </c>
      <c r="C692" s="620" t="s">
        <v>3972</v>
      </c>
      <c r="D692" s="620" t="s">
        <v>3973</v>
      </c>
      <c r="E692" s="621">
        <v>19743</v>
      </c>
      <c r="F692" s="625">
        <v>36000</v>
      </c>
      <c r="G692" s="300" t="s">
        <v>3892</v>
      </c>
      <c r="H692" s="620"/>
      <c r="I692" s="620"/>
      <c r="J692" s="620" t="s">
        <v>4256</v>
      </c>
      <c r="K692" s="335"/>
      <c r="L692" s="623"/>
      <c r="M692" s="624"/>
      <c r="N692" s="306"/>
    </row>
    <row r="693" spans="1:14" s="336" customFormat="1" ht="18.75" x14ac:dyDescent="0.3">
      <c r="A693" s="32">
        <f>ROW()-ROW(สำนักงาน!$A$6)+1</f>
        <v>688</v>
      </c>
      <c r="B693" s="619" t="s">
        <v>3974</v>
      </c>
      <c r="C693" s="620" t="s">
        <v>3975</v>
      </c>
      <c r="D693" s="620" t="s">
        <v>3976</v>
      </c>
      <c r="E693" s="621">
        <v>19743</v>
      </c>
      <c r="F693" s="625">
        <v>29439</v>
      </c>
      <c r="G693" s="300" t="s">
        <v>3892</v>
      </c>
      <c r="H693" s="620"/>
      <c r="I693" s="620"/>
      <c r="J693" s="620" t="s">
        <v>4256</v>
      </c>
      <c r="K693" s="335"/>
      <c r="L693" s="623"/>
      <c r="M693" s="624"/>
      <c r="N693" s="306"/>
    </row>
    <row r="694" spans="1:14" s="336" customFormat="1" ht="18.75" x14ac:dyDescent="0.3">
      <c r="A694" s="32">
        <f>ROW()-ROW(สำนักงาน!$A$6)+1</f>
        <v>689</v>
      </c>
      <c r="B694" s="619" t="s">
        <v>3974</v>
      </c>
      <c r="C694" s="620" t="s">
        <v>3977</v>
      </c>
      <c r="D694" s="620" t="s">
        <v>3978</v>
      </c>
      <c r="E694" s="621">
        <v>19743</v>
      </c>
      <c r="F694" s="625">
        <v>29439</v>
      </c>
      <c r="G694" s="300" t="s">
        <v>3892</v>
      </c>
      <c r="H694" s="620"/>
      <c r="I694" s="620"/>
      <c r="J694" s="620" t="s">
        <v>4256</v>
      </c>
      <c r="K694" s="335"/>
      <c r="L694" s="623"/>
      <c r="M694" s="624"/>
      <c r="N694" s="306"/>
    </row>
    <row r="695" spans="1:14" s="336" customFormat="1" ht="18.75" x14ac:dyDescent="0.3">
      <c r="A695" s="32">
        <f>ROW()-ROW(สำนักงาน!$A$6)+1</f>
        <v>690</v>
      </c>
      <c r="B695" s="619" t="s">
        <v>3974</v>
      </c>
      <c r="C695" s="620" t="s">
        <v>3979</v>
      </c>
      <c r="D695" s="620" t="s">
        <v>3980</v>
      </c>
      <c r="E695" s="621">
        <v>19743</v>
      </c>
      <c r="F695" s="625">
        <v>29439</v>
      </c>
      <c r="G695" s="300" t="s">
        <v>3892</v>
      </c>
      <c r="H695" s="620"/>
      <c r="I695" s="620"/>
      <c r="J695" s="620" t="s">
        <v>4256</v>
      </c>
      <c r="K695" s="335"/>
      <c r="L695" s="623"/>
      <c r="M695" s="624"/>
      <c r="N695" s="306"/>
    </row>
    <row r="696" spans="1:14" s="336" customFormat="1" ht="18.75" x14ac:dyDescent="0.3">
      <c r="A696" s="32">
        <f>ROW()-ROW(สำนักงาน!$A$6)+1</f>
        <v>691</v>
      </c>
      <c r="B696" s="619" t="s">
        <v>3971</v>
      </c>
      <c r="C696" s="620" t="s">
        <v>3981</v>
      </c>
      <c r="D696" s="620" t="s">
        <v>3982</v>
      </c>
      <c r="E696" s="621">
        <v>19743</v>
      </c>
      <c r="F696" s="625">
        <v>36000</v>
      </c>
      <c r="G696" s="300" t="s">
        <v>3892</v>
      </c>
      <c r="H696" s="620"/>
      <c r="I696" s="620"/>
      <c r="J696" s="620" t="s">
        <v>4256</v>
      </c>
      <c r="K696" s="335"/>
      <c r="L696" s="623"/>
      <c r="M696" s="624"/>
      <c r="N696" s="306"/>
    </row>
    <row r="697" spans="1:14" s="336" customFormat="1" ht="18.75" x14ac:dyDescent="0.3">
      <c r="A697" s="32">
        <f>ROW()-ROW(สำนักงาน!$A$6)+1</f>
        <v>692</v>
      </c>
      <c r="B697" s="619" t="s">
        <v>3971</v>
      </c>
      <c r="C697" s="620" t="s">
        <v>3983</v>
      </c>
      <c r="D697" s="620" t="s">
        <v>3984</v>
      </c>
      <c r="E697" s="621">
        <v>19743</v>
      </c>
      <c r="F697" s="625">
        <v>36000</v>
      </c>
      <c r="G697" s="300" t="s">
        <v>3892</v>
      </c>
      <c r="H697" s="620"/>
      <c r="I697" s="620"/>
      <c r="J697" s="620" t="s">
        <v>4256</v>
      </c>
      <c r="K697" s="335"/>
      <c r="L697" s="623"/>
      <c r="M697" s="624"/>
      <c r="N697" s="306"/>
    </row>
    <row r="698" spans="1:14" s="336" customFormat="1" ht="18.75" x14ac:dyDescent="0.3">
      <c r="A698" s="32">
        <f>ROW()-ROW(สำนักงาน!$A$6)+1</f>
        <v>693</v>
      </c>
      <c r="B698" s="619" t="s">
        <v>3985</v>
      </c>
      <c r="C698" s="620" t="s">
        <v>3986</v>
      </c>
      <c r="D698" s="620" t="s">
        <v>3987</v>
      </c>
      <c r="E698" s="621">
        <v>19743</v>
      </c>
      <c r="F698" s="625">
        <v>47663</v>
      </c>
      <c r="G698" s="300" t="s">
        <v>3892</v>
      </c>
      <c r="H698" s="620"/>
      <c r="I698" s="620"/>
      <c r="J698" s="620" t="s">
        <v>4256</v>
      </c>
      <c r="K698" s="335"/>
      <c r="L698" s="623"/>
      <c r="M698" s="624"/>
      <c r="N698" s="306"/>
    </row>
    <row r="699" spans="1:14" s="370" customFormat="1" ht="18.75" x14ac:dyDescent="0.2">
      <c r="A699" s="32">
        <f>ROW()-ROW(สำนักงาน!$A$6)+1</f>
        <v>694</v>
      </c>
      <c r="B699" s="227" t="s">
        <v>3913</v>
      </c>
      <c r="C699" s="228" t="s">
        <v>412</v>
      </c>
      <c r="D699" s="32" t="s">
        <v>413</v>
      </c>
      <c r="E699" s="34">
        <v>20333</v>
      </c>
      <c r="F699" s="31">
        <v>18000</v>
      </c>
      <c r="G699" s="32" t="s">
        <v>408</v>
      </c>
      <c r="H699" s="32" t="s">
        <v>4256</v>
      </c>
      <c r="I699" s="79"/>
      <c r="J699" s="79"/>
      <c r="K699" s="79"/>
      <c r="L699" s="225"/>
      <c r="M699" s="225"/>
      <c r="N699" s="32" t="s">
        <v>453</v>
      </c>
    </row>
    <row r="700" spans="1:14" s="370" customFormat="1" ht="37.5" x14ac:dyDescent="0.2">
      <c r="A700" s="32">
        <f>ROW()-ROW(สำนักงาน!$A$6)+1</f>
        <v>695</v>
      </c>
      <c r="B700" s="52" t="s">
        <v>414</v>
      </c>
      <c r="C700" s="32" t="s">
        <v>415</v>
      </c>
      <c r="D700" s="32" t="s">
        <v>416</v>
      </c>
      <c r="E700" s="34">
        <v>20333</v>
      </c>
      <c r="F700" s="31">
        <v>35900</v>
      </c>
      <c r="G700" s="32" t="s">
        <v>417</v>
      </c>
      <c r="H700" s="32" t="s">
        <v>4256</v>
      </c>
      <c r="I700" s="32"/>
      <c r="J700" s="79"/>
      <c r="K700" s="79"/>
      <c r="L700" s="225"/>
      <c r="M700" s="226"/>
      <c r="N700" s="32" t="s">
        <v>252</v>
      </c>
    </row>
    <row r="701" spans="1:14" s="370" customFormat="1" ht="18.75" x14ac:dyDescent="0.2">
      <c r="A701" s="32">
        <f>ROW()-ROW(สำนักงาน!$A$6)+1</f>
        <v>696</v>
      </c>
      <c r="B701" s="227" t="s">
        <v>3958</v>
      </c>
      <c r="C701" s="228" t="s">
        <v>418</v>
      </c>
      <c r="D701" s="228" t="s">
        <v>419</v>
      </c>
      <c r="E701" s="34">
        <v>20333</v>
      </c>
      <c r="F701" s="229">
        <v>17900</v>
      </c>
      <c r="G701" s="228" t="s">
        <v>220</v>
      </c>
      <c r="H701" s="32" t="s">
        <v>4256</v>
      </c>
      <c r="I701" s="228"/>
      <c r="J701" s="230"/>
      <c r="K701" s="230"/>
      <c r="L701" s="231"/>
      <c r="M701" s="232"/>
      <c r="N701" s="32" t="s">
        <v>420</v>
      </c>
    </row>
    <row r="702" spans="1:14" s="370" customFormat="1" ht="37.5" x14ac:dyDescent="0.2">
      <c r="A702" s="32">
        <f>ROW()-ROW(สำนักงาน!$A$6)+1</f>
        <v>697</v>
      </c>
      <c r="B702" s="52" t="s">
        <v>414</v>
      </c>
      <c r="C702" s="228" t="s">
        <v>421</v>
      </c>
      <c r="D702" s="32" t="s">
        <v>422</v>
      </c>
      <c r="E702" s="34">
        <v>20356</v>
      </c>
      <c r="F702" s="31">
        <v>35900</v>
      </c>
      <c r="G702" s="32" t="s">
        <v>417</v>
      </c>
      <c r="H702" s="32" t="s">
        <v>4256</v>
      </c>
      <c r="I702" s="79"/>
      <c r="J702" s="79"/>
      <c r="K702" s="79"/>
      <c r="L702" s="225"/>
      <c r="M702" s="225"/>
      <c r="N702" s="165" t="s">
        <v>4333</v>
      </c>
    </row>
    <row r="703" spans="1:14" s="370" customFormat="1" ht="37.5" x14ac:dyDescent="0.2">
      <c r="A703" s="32">
        <f>ROW()-ROW(สำนักงาน!$A$6)+1</f>
        <v>698</v>
      </c>
      <c r="B703" s="52" t="s">
        <v>414</v>
      </c>
      <c r="C703" s="228" t="s">
        <v>424</v>
      </c>
      <c r="D703" s="32" t="s">
        <v>425</v>
      </c>
      <c r="E703" s="34">
        <v>20356</v>
      </c>
      <c r="F703" s="31">
        <v>35900</v>
      </c>
      <c r="G703" s="32" t="s">
        <v>417</v>
      </c>
      <c r="H703" s="32" t="s">
        <v>4256</v>
      </c>
      <c r="I703" s="32"/>
      <c r="J703" s="79"/>
      <c r="K703" s="79"/>
      <c r="L703" s="225"/>
      <c r="M703" s="226"/>
      <c r="N703" s="32" t="s">
        <v>426</v>
      </c>
    </row>
    <row r="704" spans="1:14" s="370" customFormat="1" ht="37.5" x14ac:dyDescent="0.2">
      <c r="A704" s="32">
        <f>ROW()-ROW(สำนักงาน!$A$6)+1</f>
        <v>699</v>
      </c>
      <c r="B704" s="52" t="s">
        <v>414</v>
      </c>
      <c r="C704" s="32" t="s">
        <v>427</v>
      </c>
      <c r="D704" s="32" t="s">
        <v>428</v>
      </c>
      <c r="E704" s="34">
        <v>20356</v>
      </c>
      <c r="F704" s="31">
        <v>35900</v>
      </c>
      <c r="G704" s="32" t="s">
        <v>200</v>
      </c>
      <c r="H704" s="32" t="s">
        <v>4256</v>
      </c>
      <c r="I704" s="32"/>
      <c r="J704" s="79"/>
      <c r="K704" s="79"/>
      <c r="L704" s="225"/>
      <c r="M704" s="226"/>
      <c r="N704" s="32" t="s">
        <v>429</v>
      </c>
    </row>
    <row r="705" spans="1:14" s="370" customFormat="1" ht="37.5" x14ac:dyDescent="0.2">
      <c r="A705" s="32">
        <f>ROW()-ROW(สำนักงาน!$A$6)+1</f>
        <v>700</v>
      </c>
      <c r="B705" s="52" t="s">
        <v>414</v>
      </c>
      <c r="C705" s="32" t="s">
        <v>430</v>
      </c>
      <c r="D705" s="32" t="s">
        <v>431</v>
      </c>
      <c r="E705" s="34">
        <v>20356</v>
      </c>
      <c r="F705" s="31">
        <v>35900</v>
      </c>
      <c r="G705" s="32" t="s">
        <v>200</v>
      </c>
      <c r="H705" s="32" t="s">
        <v>4256</v>
      </c>
      <c r="I705" s="32"/>
      <c r="J705" s="79"/>
      <c r="K705" s="79"/>
      <c r="L705" s="225"/>
      <c r="M705" s="226"/>
      <c r="N705" s="32" t="s">
        <v>432</v>
      </c>
    </row>
    <row r="706" spans="1:14" s="370" customFormat="1" ht="37.5" x14ac:dyDescent="0.2">
      <c r="A706" s="32">
        <f>ROW()-ROW(สำนักงาน!$A$6)+1</f>
        <v>701</v>
      </c>
      <c r="B706" s="52" t="s">
        <v>414</v>
      </c>
      <c r="C706" s="32" t="s">
        <v>433</v>
      </c>
      <c r="D706" s="32" t="s">
        <v>434</v>
      </c>
      <c r="E706" s="34">
        <v>20356</v>
      </c>
      <c r="F706" s="31">
        <v>35900</v>
      </c>
      <c r="G706" s="32" t="s">
        <v>220</v>
      </c>
      <c r="H706" s="32" t="s">
        <v>4256</v>
      </c>
      <c r="I706" s="32"/>
      <c r="J706" s="79"/>
      <c r="K706" s="79"/>
      <c r="L706" s="225"/>
      <c r="M706" s="226"/>
      <c r="N706" s="32" t="s">
        <v>4315</v>
      </c>
    </row>
    <row r="707" spans="1:14" s="370" customFormat="1" ht="37.5" x14ac:dyDescent="0.2">
      <c r="A707" s="32">
        <f>ROW()-ROW(สำนักงาน!$A$6)+1</f>
        <v>702</v>
      </c>
      <c r="B707" s="52" t="s">
        <v>414</v>
      </c>
      <c r="C707" s="32" t="s">
        <v>435</v>
      </c>
      <c r="D707" s="32" t="s">
        <v>436</v>
      </c>
      <c r="E707" s="34">
        <v>20356</v>
      </c>
      <c r="F707" s="31">
        <v>35900</v>
      </c>
      <c r="G707" s="32" t="s">
        <v>200</v>
      </c>
      <c r="H707" s="32" t="s">
        <v>4256</v>
      </c>
      <c r="I707" s="32"/>
      <c r="J707" s="79"/>
      <c r="K707" s="79"/>
      <c r="L707" s="225"/>
      <c r="M707" s="226"/>
      <c r="N707" s="32" t="s">
        <v>458</v>
      </c>
    </row>
    <row r="708" spans="1:14" s="372" customFormat="1" ht="18.75" x14ac:dyDescent="0.3">
      <c r="A708" s="32">
        <f>ROW()-ROW(สำนักงาน!$A$6)+1</f>
        <v>703</v>
      </c>
      <c r="B708" s="230" t="s">
        <v>987</v>
      </c>
      <c r="C708" s="228" t="s">
        <v>988</v>
      </c>
      <c r="D708" s="228" t="s">
        <v>989</v>
      </c>
      <c r="E708" s="626">
        <v>20927</v>
      </c>
      <c r="F708" s="229">
        <v>32000</v>
      </c>
      <c r="G708" s="627" t="s">
        <v>949</v>
      </c>
      <c r="H708" s="371" t="s">
        <v>4256</v>
      </c>
      <c r="I708" s="628"/>
      <c r="J708" s="629"/>
      <c r="K708" s="629"/>
      <c r="L708" s="630"/>
      <c r="M708" s="631"/>
      <c r="N708" s="315"/>
    </row>
    <row r="709" spans="1:14" s="372" customFormat="1" ht="18.75" x14ac:dyDescent="0.3">
      <c r="A709" s="32">
        <f>ROW()-ROW(สำนักงาน!$A$6)+1</f>
        <v>704</v>
      </c>
      <c r="B709" s="230" t="s">
        <v>990</v>
      </c>
      <c r="C709" s="228" t="s">
        <v>991</v>
      </c>
      <c r="D709" s="228" t="s">
        <v>992</v>
      </c>
      <c r="E709" s="626">
        <v>20927</v>
      </c>
      <c r="F709" s="229">
        <v>37500</v>
      </c>
      <c r="G709" s="627" t="s">
        <v>949</v>
      </c>
      <c r="H709" s="371"/>
      <c r="I709" s="371" t="s">
        <v>4256</v>
      </c>
      <c r="J709" s="629"/>
      <c r="K709" s="629"/>
      <c r="L709" s="630"/>
      <c r="M709" s="631"/>
      <c r="N709" s="315"/>
    </row>
    <row r="710" spans="1:14" s="372" customFormat="1" ht="18.75" x14ac:dyDescent="0.3">
      <c r="A710" s="32">
        <f>ROW()-ROW(สำนักงาน!$A$6)+1</f>
        <v>705</v>
      </c>
      <c r="B710" s="230" t="s">
        <v>990</v>
      </c>
      <c r="C710" s="228" t="s">
        <v>993</v>
      </c>
      <c r="D710" s="228" t="s">
        <v>994</v>
      </c>
      <c r="E710" s="626">
        <v>20927</v>
      </c>
      <c r="F710" s="229">
        <v>37500</v>
      </c>
      <c r="G710" s="627" t="s">
        <v>949</v>
      </c>
      <c r="H710" s="371"/>
      <c r="I710" s="371" t="s">
        <v>4256</v>
      </c>
      <c r="J710" s="629"/>
      <c r="K710" s="629"/>
      <c r="L710" s="630"/>
      <c r="M710" s="631"/>
      <c r="N710" s="315"/>
    </row>
    <row r="711" spans="1:14" s="372" customFormat="1" ht="18.75" x14ac:dyDescent="0.3">
      <c r="A711" s="32">
        <f>ROW()-ROW(สำนักงาน!$A$6)+1</f>
        <v>706</v>
      </c>
      <c r="B711" s="230" t="s">
        <v>990</v>
      </c>
      <c r="C711" s="228" t="s">
        <v>995</v>
      </c>
      <c r="D711" s="228" t="s">
        <v>996</v>
      </c>
      <c r="E711" s="626">
        <v>20927</v>
      </c>
      <c r="F711" s="229">
        <v>37500</v>
      </c>
      <c r="G711" s="627" t="s">
        <v>949</v>
      </c>
      <c r="H711" s="632"/>
      <c r="I711" s="371" t="s">
        <v>4256</v>
      </c>
      <c r="J711" s="629"/>
      <c r="K711" s="629"/>
      <c r="L711" s="630"/>
      <c r="M711" s="631"/>
      <c r="N711" s="315"/>
    </row>
    <row r="712" spans="1:14" s="372" customFormat="1" ht="18.75" x14ac:dyDescent="0.3">
      <c r="A712" s="32">
        <f>ROW()-ROW(สำนักงาน!$A$6)+1</f>
        <v>707</v>
      </c>
      <c r="B712" s="230" t="s">
        <v>990</v>
      </c>
      <c r="C712" s="228" t="s">
        <v>997</v>
      </c>
      <c r="D712" s="228" t="s">
        <v>998</v>
      </c>
      <c r="E712" s="626">
        <v>20927</v>
      </c>
      <c r="F712" s="229">
        <v>37500</v>
      </c>
      <c r="G712" s="627" t="s">
        <v>949</v>
      </c>
      <c r="H712" s="632"/>
      <c r="I712" s="371" t="s">
        <v>4256</v>
      </c>
      <c r="J712" s="629"/>
      <c r="K712" s="629"/>
      <c r="L712" s="630"/>
      <c r="M712" s="631"/>
      <c r="N712" s="633"/>
    </row>
    <row r="713" spans="1:14" s="372" customFormat="1" ht="18.75" x14ac:dyDescent="0.3">
      <c r="A713" s="32">
        <f>ROW()-ROW(สำนักงาน!$A$6)+1</f>
        <v>708</v>
      </c>
      <c r="B713" s="230" t="s">
        <v>990</v>
      </c>
      <c r="C713" s="228" t="s">
        <v>999</v>
      </c>
      <c r="D713" s="228" t="s">
        <v>1000</v>
      </c>
      <c r="E713" s="626">
        <v>20927</v>
      </c>
      <c r="F713" s="229">
        <v>37500</v>
      </c>
      <c r="G713" s="627" t="s">
        <v>949</v>
      </c>
      <c r="H713" s="632"/>
      <c r="I713" s="371" t="s">
        <v>4256</v>
      </c>
      <c r="J713" s="629"/>
      <c r="K713" s="629"/>
      <c r="L713" s="630"/>
      <c r="M713" s="631"/>
      <c r="N713" s="633"/>
    </row>
    <row r="714" spans="1:14" s="372" customFormat="1" ht="18.75" x14ac:dyDescent="0.3">
      <c r="A714" s="32">
        <f>ROW()-ROW(สำนักงาน!$A$6)+1</f>
        <v>709</v>
      </c>
      <c r="B714" s="230" t="s">
        <v>990</v>
      </c>
      <c r="C714" s="228" t="s">
        <v>1001</v>
      </c>
      <c r="D714" s="228" t="s">
        <v>1002</v>
      </c>
      <c r="E714" s="626">
        <v>20927</v>
      </c>
      <c r="F714" s="229">
        <v>37500</v>
      </c>
      <c r="G714" s="627" t="s">
        <v>949</v>
      </c>
      <c r="H714" s="371" t="s">
        <v>4256</v>
      </c>
      <c r="I714" s="628"/>
      <c r="J714" s="629"/>
      <c r="K714" s="629"/>
      <c r="L714" s="630"/>
      <c r="M714" s="631"/>
      <c r="N714" s="633"/>
    </row>
    <row r="715" spans="1:14" s="372" customFormat="1" ht="18.75" x14ac:dyDescent="0.3">
      <c r="A715" s="32">
        <f>ROW()-ROW(สำนักงาน!$A$6)+1</f>
        <v>710</v>
      </c>
      <c r="B715" s="230" t="s">
        <v>1003</v>
      </c>
      <c r="C715" s="228" t="s">
        <v>1004</v>
      </c>
      <c r="D715" s="228" t="s">
        <v>1005</v>
      </c>
      <c r="E715" s="626">
        <v>20927</v>
      </c>
      <c r="F715" s="229">
        <v>42500</v>
      </c>
      <c r="G715" s="627" t="s">
        <v>949</v>
      </c>
      <c r="H715" s="371" t="s">
        <v>4256</v>
      </c>
      <c r="I715" s="628"/>
      <c r="J715" s="629"/>
      <c r="K715" s="629"/>
      <c r="L715" s="630"/>
      <c r="M715" s="631"/>
      <c r="N715" s="633"/>
    </row>
    <row r="716" spans="1:14" s="372" customFormat="1" ht="18.75" x14ac:dyDescent="0.3">
      <c r="A716" s="32">
        <f>ROW()-ROW(สำนักงาน!$A$6)+1</f>
        <v>711</v>
      </c>
      <c r="B716" s="230" t="s">
        <v>1003</v>
      </c>
      <c r="C716" s="228" t="s">
        <v>1006</v>
      </c>
      <c r="D716" s="228" t="s">
        <v>1007</v>
      </c>
      <c r="E716" s="626">
        <v>20927</v>
      </c>
      <c r="F716" s="229">
        <v>42500</v>
      </c>
      <c r="G716" s="627" t="s">
        <v>949</v>
      </c>
      <c r="H716" s="632"/>
      <c r="I716" s="371" t="s">
        <v>4256</v>
      </c>
      <c r="J716" s="629"/>
      <c r="K716" s="629"/>
      <c r="L716" s="630"/>
      <c r="M716" s="631"/>
      <c r="N716" s="633"/>
    </row>
    <row r="717" spans="1:14" s="372" customFormat="1" ht="18.75" x14ac:dyDescent="0.3">
      <c r="A717" s="32">
        <f>ROW()-ROW(สำนักงาน!$A$6)+1</f>
        <v>712</v>
      </c>
      <c r="B717" s="230" t="s">
        <v>1003</v>
      </c>
      <c r="C717" s="228" t="s">
        <v>1008</v>
      </c>
      <c r="D717" s="228" t="s">
        <v>1009</v>
      </c>
      <c r="E717" s="626">
        <v>20927</v>
      </c>
      <c r="F717" s="229">
        <v>42500</v>
      </c>
      <c r="G717" s="627" t="s">
        <v>949</v>
      </c>
      <c r="H717" s="628"/>
      <c r="I717" s="371" t="s">
        <v>4256</v>
      </c>
      <c r="J717" s="628"/>
      <c r="K717" s="629"/>
      <c r="L717" s="630"/>
      <c r="M717" s="631"/>
      <c r="N717" s="633"/>
    </row>
    <row r="718" spans="1:14" s="372" customFormat="1" ht="18.75" x14ac:dyDescent="0.3">
      <c r="A718" s="32">
        <f>ROW()-ROW(สำนักงาน!$A$6)+1</f>
        <v>713</v>
      </c>
      <c r="B718" s="230" t="s">
        <v>1003</v>
      </c>
      <c r="C718" s="228" t="s">
        <v>1010</v>
      </c>
      <c r="D718" s="228" t="s">
        <v>1011</v>
      </c>
      <c r="E718" s="626">
        <v>20927</v>
      </c>
      <c r="F718" s="229">
        <v>42500</v>
      </c>
      <c r="G718" s="627" t="s">
        <v>949</v>
      </c>
      <c r="H718" s="371" t="s">
        <v>4256</v>
      </c>
      <c r="I718" s="628"/>
      <c r="J718" s="629"/>
      <c r="K718" s="629"/>
      <c r="L718" s="630"/>
      <c r="M718" s="631"/>
      <c r="N718" s="493"/>
    </row>
    <row r="719" spans="1:14" s="373" customFormat="1" ht="37.5" x14ac:dyDescent="0.2">
      <c r="A719" s="32">
        <f>ROW()-ROW(สำนักงาน!$A$6)+1</f>
        <v>714</v>
      </c>
      <c r="B719" s="55" t="s">
        <v>5014</v>
      </c>
      <c r="C719" s="13" t="s">
        <v>3654</v>
      </c>
      <c r="D719" s="13" t="s">
        <v>3655</v>
      </c>
      <c r="E719" s="53" t="s">
        <v>3656</v>
      </c>
      <c r="F719" s="31">
        <v>1553937.5</v>
      </c>
      <c r="G719" s="32" t="s">
        <v>2378</v>
      </c>
      <c r="H719" s="479" t="s">
        <v>4256</v>
      </c>
      <c r="I719" s="32"/>
      <c r="J719" s="32"/>
      <c r="K719" s="32"/>
      <c r="L719" s="32"/>
      <c r="M719" s="32"/>
      <c r="N719" s="316" t="s">
        <v>3882</v>
      </c>
    </row>
    <row r="720" spans="1:14" s="373" customFormat="1" ht="37.5" x14ac:dyDescent="0.2">
      <c r="A720" s="32">
        <f>ROW()-ROW(สำนักงาน!$A$6)+1</f>
        <v>715</v>
      </c>
      <c r="B720" s="55" t="s">
        <v>5015</v>
      </c>
      <c r="C720" s="13" t="s">
        <v>3657</v>
      </c>
      <c r="D720" s="13" t="s">
        <v>3658</v>
      </c>
      <c r="E720" s="53" t="s">
        <v>3656</v>
      </c>
      <c r="F720" s="31">
        <v>1046787.5</v>
      </c>
      <c r="G720" s="32" t="s">
        <v>2378</v>
      </c>
      <c r="H720" s="479" t="s">
        <v>4256</v>
      </c>
      <c r="I720" s="32"/>
      <c r="J720" s="32"/>
      <c r="K720" s="32"/>
      <c r="L720" s="32"/>
      <c r="M720" s="32"/>
      <c r="N720" s="316" t="s">
        <v>3882</v>
      </c>
    </row>
    <row r="721" spans="1:14" s="373" customFormat="1" ht="37.5" x14ac:dyDescent="0.2">
      <c r="A721" s="32">
        <f>ROW()-ROW(สำนักงาน!$A$6)+1</f>
        <v>716</v>
      </c>
      <c r="B721" s="55" t="s">
        <v>5016</v>
      </c>
      <c r="C721" s="13" t="s">
        <v>3659</v>
      </c>
      <c r="D721" s="13" t="s">
        <v>3660</v>
      </c>
      <c r="E721" s="53" t="s">
        <v>3656</v>
      </c>
      <c r="F721" s="31">
        <v>1698047.5</v>
      </c>
      <c r="G721" s="32" t="s">
        <v>2378</v>
      </c>
      <c r="H721" s="479" t="s">
        <v>4256</v>
      </c>
      <c r="I721" s="32"/>
      <c r="J721" s="32"/>
      <c r="K721" s="32"/>
      <c r="L721" s="32"/>
      <c r="M721" s="32"/>
      <c r="N721" s="316" t="s">
        <v>3882</v>
      </c>
    </row>
    <row r="722" spans="1:14" s="373" customFormat="1" ht="56.25" x14ac:dyDescent="0.2">
      <c r="A722" s="32">
        <f>ROW()-ROW(สำนักงาน!$A$6)+1</f>
        <v>717</v>
      </c>
      <c r="B722" s="55" t="s">
        <v>5017</v>
      </c>
      <c r="C722" s="13" t="s">
        <v>3661</v>
      </c>
      <c r="D722" s="13" t="s">
        <v>3662</v>
      </c>
      <c r="E722" s="53" t="s">
        <v>3656</v>
      </c>
      <c r="F722" s="31">
        <v>1900547.5</v>
      </c>
      <c r="G722" s="32" t="s">
        <v>2378</v>
      </c>
      <c r="H722" s="479" t="s">
        <v>4256</v>
      </c>
      <c r="I722" s="32"/>
      <c r="J722" s="32"/>
      <c r="K722" s="32"/>
      <c r="L722" s="32"/>
      <c r="M722" s="32"/>
      <c r="N722" s="316" t="s">
        <v>3882</v>
      </c>
    </row>
    <row r="723" spans="1:14" s="373" customFormat="1" ht="37.5" x14ac:dyDescent="0.2">
      <c r="A723" s="32">
        <f>ROW()-ROW(สำนักงาน!$A$6)+1</f>
        <v>718</v>
      </c>
      <c r="B723" s="52" t="s">
        <v>2517</v>
      </c>
      <c r="C723" s="32" t="s">
        <v>2518</v>
      </c>
      <c r="D723" s="32" t="s">
        <v>2519</v>
      </c>
      <c r="E723" s="53" t="s">
        <v>2520</v>
      </c>
      <c r="F723" s="31">
        <v>47500</v>
      </c>
      <c r="G723" s="32" t="s">
        <v>2383</v>
      </c>
      <c r="H723" s="479" t="s">
        <v>4256</v>
      </c>
      <c r="I723" s="32"/>
      <c r="J723" s="79"/>
      <c r="K723" s="79"/>
      <c r="L723" s="225"/>
      <c r="M723" s="226"/>
      <c r="N723" s="285" t="s">
        <v>3837</v>
      </c>
    </row>
    <row r="724" spans="1:14" s="373" customFormat="1" ht="37.5" x14ac:dyDescent="0.2">
      <c r="A724" s="32">
        <f>ROW()-ROW(สำนักงาน!$A$6)+1</f>
        <v>719</v>
      </c>
      <c r="B724" s="52" t="s">
        <v>2517</v>
      </c>
      <c r="C724" s="32" t="s">
        <v>2521</v>
      </c>
      <c r="D724" s="32" t="s">
        <v>2522</v>
      </c>
      <c r="E724" s="53" t="s">
        <v>2520</v>
      </c>
      <c r="F724" s="31">
        <v>47500</v>
      </c>
      <c r="G724" s="32" t="s">
        <v>2383</v>
      </c>
      <c r="H724" s="479" t="s">
        <v>4256</v>
      </c>
      <c r="I724" s="32"/>
      <c r="J724" s="79"/>
      <c r="K724" s="79"/>
      <c r="L724" s="225"/>
      <c r="M724" s="226"/>
      <c r="N724" s="285" t="s">
        <v>3837</v>
      </c>
    </row>
    <row r="725" spans="1:14" s="373" customFormat="1" ht="37.5" x14ac:dyDescent="0.2">
      <c r="A725" s="32">
        <f>ROW()-ROW(สำนักงาน!$A$6)+1</f>
        <v>720</v>
      </c>
      <c r="B725" s="52" t="s">
        <v>2517</v>
      </c>
      <c r="C725" s="32" t="s">
        <v>2523</v>
      </c>
      <c r="D725" s="32" t="s">
        <v>2524</v>
      </c>
      <c r="E725" s="53" t="s">
        <v>2520</v>
      </c>
      <c r="F725" s="31">
        <v>47500</v>
      </c>
      <c r="G725" s="32" t="s">
        <v>2383</v>
      </c>
      <c r="H725" s="479" t="s">
        <v>4256</v>
      </c>
      <c r="I725" s="32"/>
      <c r="J725" s="79"/>
      <c r="K725" s="79"/>
      <c r="L725" s="225"/>
      <c r="M725" s="226"/>
      <c r="N725" s="285" t="s">
        <v>3837</v>
      </c>
    </row>
    <row r="726" spans="1:14" s="373" customFormat="1" ht="18.75" x14ac:dyDescent="0.2">
      <c r="A726" s="32">
        <f>ROW()-ROW(สำนักงาน!$A$6)+1</f>
        <v>721</v>
      </c>
      <c r="B726" s="52" t="s">
        <v>2525</v>
      </c>
      <c r="C726" s="32" t="s">
        <v>2526</v>
      </c>
      <c r="D726" s="32" t="s">
        <v>2527</v>
      </c>
      <c r="E726" s="53" t="s">
        <v>2520</v>
      </c>
      <c r="F726" s="31">
        <v>45900</v>
      </c>
      <c r="G726" s="32" t="s">
        <v>2383</v>
      </c>
      <c r="H726" s="479" t="s">
        <v>4256</v>
      </c>
      <c r="I726" s="32"/>
      <c r="J726" s="79"/>
      <c r="K726" s="79"/>
      <c r="L726" s="225"/>
      <c r="M726" s="226"/>
      <c r="N726" s="285" t="s">
        <v>3836</v>
      </c>
    </row>
    <row r="727" spans="1:14" s="373" customFormat="1" ht="18.75" x14ac:dyDescent="0.2">
      <c r="A727" s="32">
        <f>ROW()-ROW(สำนักงาน!$A$6)+1</f>
        <v>722</v>
      </c>
      <c r="B727" s="52" t="s">
        <v>2525</v>
      </c>
      <c r="C727" s="32" t="s">
        <v>2528</v>
      </c>
      <c r="D727" s="32" t="s">
        <v>2529</v>
      </c>
      <c r="E727" s="53" t="s">
        <v>2520</v>
      </c>
      <c r="F727" s="31">
        <v>45900</v>
      </c>
      <c r="G727" s="32" t="s">
        <v>2383</v>
      </c>
      <c r="H727" s="479" t="s">
        <v>4256</v>
      </c>
      <c r="I727" s="32"/>
      <c r="J727" s="79"/>
      <c r="K727" s="79"/>
      <c r="L727" s="225"/>
      <c r="M727" s="226"/>
      <c r="N727" s="285" t="s">
        <v>3838</v>
      </c>
    </row>
    <row r="728" spans="1:14" s="373" customFormat="1" ht="18.75" x14ac:dyDescent="0.2">
      <c r="A728" s="32">
        <f>ROW()-ROW(สำนักงาน!$A$6)+1</f>
        <v>723</v>
      </c>
      <c r="B728" s="52" t="s">
        <v>2525</v>
      </c>
      <c r="C728" s="32" t="s">
        <v>2530</v>
      </c>
      <c r="D728" s="32" t="s">
        <v>2531</v>
      </c>
      <c r="E728" s="53" t="s">
        <v>2520</v>
      </c>
      <c r="F728" s="31">
        <v>45900</v>
      </c>
      <c r="G728" s="32" t="s">
        <v>2383</v>
      </c>
      <c r="H728" s="479" t="s">
        <v>4256</v>
      </c>
      <c r="I728" s="32"/>
      <c r="J728" s="79"/>
      <c r="K728" s="79"/>
      <c r="L728" s="225"/>
      <c r="M728" s="226"/>
      <c r="N728" s="285" t="s">
        <v>3833</v>
      </c>
    </row>
    <row r="729" spans="1:14" s="373" customFormat="1" ht="18.75" x14ac:dyDescent="0.2">
      <c r="A729" s="32">
        <f>ROW()-ROW(สำนักงาน!$A$6)+1</f>
        <v>724</v>
      </c>
      <c r="B729" s="52" t="s">
        <v>2532</v>
      </c>
      <c r="C729" s="32" t="s">
        <v>2533</v>
      </c>
      <c r="D729" s="32" t="s">
        <v>2534</v>
      </c>
      <c r="E729" s="53" t="s">
        <v>2520</v>
      </c>
      <c r="F729" s="31">
        <v>29500</v>
      </c>
      <c r="G729" s="32" t="s">
        <v>2383</v>
      </c>
      <c r="H729" s="479" t="s">
        <v>4256</v>
      </c>
      <c r="I729" s="32"/>
      <c r="J729" s="79"/>
      <c r="K729" s="79"/>
      <c r="L729" s="225"/>
      <c r="M729" s="226"/>
      <c r="N729" s="285" t="s">
        <v>3839</v>
      </c>
    </row>
    <row r="730" spans="1:14" s="373" customFormat="1" ht="18.75" x14ac:dyDescent="0.2">
      <c r="A730" s="32">
        <f>ROW()-ROW(สำนักงาน!$A$6)+1</f>
        <v>725</v>
      </c>
      <c r="B730" s="52" t="s">
        <v>2532</v>
      </c>
      <c r="C730" s="32" t="s">
        <v>2535</v>
      </c>
      <c r="D730" s="32" t="s">
        <v>2536</v>
      </c>
      <c r="E730" s="53" t="s">
        <v>2520</v>
      </c>
      <c r="F730" s="31">
        <v>29500</v>
      </c>
      <c r="G730" s="32" t="s">
        <v>2383</v>
      </c>
      <c r="H730" s="479" t="s">
        <v>4256</v>
      </c>
      <c r="I730" s="32"/>
      <c r="J730" s="79"/>
      <c r="K730" s="79"/>
      <c r="L730" s="225"/>
      <c r="M730" s="226"/>
      <c r="N730" s="285" t="s">
        <v>3840</v>
      </c>
    </row>
    <row r="731" spans="1:14" s="373" customFormat="1" ht="56.25" x14ac:dyDescent="0.2">
      <c r="A731" s="32">
        <f>ROW()-ROW(สำนักงาน!$A$6)+1</f>
        <v>726</v>
      </c>
      <c r="B731" s="246" t="s">
        <v>2644</v>
      </c>
      <c r="C731" s="32" t="s">
        <v>2645</v>
      </c>
      <c r="D731" s="32" t="s">
        <v>2646</v>
      </c>
      <c r="E731" s="53" t="s">
        <v>2587</v>
      </c>
      <c r="F731" s="54">
        <v>22898</v>
      </c>
      <c r="G731" s="56" t="s">
        <v>2383</v>
      </c>
      <c r="H731" s="479" t="s">
        <v>4256</v>
      </c>
      <c r="I731" s="32"/>
      <c r="J731" s="32"/>
      <c r="K731" s="225"/>
      <c r="L731" s="226"/>
      <c r="M731" s="234"/>
      <c r="N731" s="285" t="s">
        <v>3837</v>
      </c>
    </row>
    <row r="732" spans="1:14" s="373" customFormat="1" ht="56.25" x14ac:dyDescent="0.2">
      <c r="A732" s="32">
        <f>ROW()-ROW(สำนักงาน!$A$6)+1</f>
        <v>727</v>
      </c>
      <c r="B732" s="246" t="s">
        <v>2647</v>
      </c>
      <c r="C732" s="32" t="s">
        <v>2648</v>
      </c>
      <c r="D732" s="32" t="s">
        <v>2649</v>
      </c>
      <c r="E732" s="53" t="s">
        <v>2587</v>
      </c>
      <c r="F732" s="54">
        <v>32314</v>
      </c>
      <c r="G732" s="56" t="s">
        <v>2383</v>
      </c>
      <c r="H732" s="479" t="s">
        <v>4256</v>
      </c>
      <c r="I732" s="32"/>
      <c r="J732" s="32"/>
      <c r="K732" s="225"/>
      <c r="L732" s="226"/>
      <c r="M732" s="234"/>
      <c r="N732" s="285" t="s">
        <v>3855</v>
      </c>
    </row>
    <row r="733" spans="1:14" s="373" customFormat="1" ht="56.25" x14ac:dyDescent="0.2">
      <c r="A733" s="32">
        <f>ROW()-ROW(สำนักงาน!$A$6)+1</f>
        <v>728</v>
      </c>
      <c r="B733" s="246" t="s">
        <v>2647</v>
      </c>
      <c r="C733" s="32" t="s">
        <v>2650</v>
      </c>
      <c r="D733" s="32" t="s">
        <v>2651</v>
      </c>
      <c r="E733" s="53" t="s">
        <v>2587</v>
      </c>
      <c r="F733" s="54">
        <v>32314</v>
      </c>
      <c r="G733" s="56" t="s">
        <v>2383</v>
      </c>
      <c r="H733" s="479" t="s">
        <v>4256</v>
      </c>
      <c r="I733" s="32"/>
      <c r="J733" s="32"/>
      <c r="K733" s="225"/>
      <c r="L733" s="226"/>
      <c r="M733" s="234"/>
      <c r="N733" s="285" t="s">
        <v>3842</v>
      </c>
    </row>
    <row r="734" spans="1:14" s="373" customFormat="1" ht="56.25" x14ac:dyDescent="0.2">
      <c r="A734" s="32">
        <f>ROW()-ROW(สำนักงาน!$A$6)+1</f>
        <v>729</v>
      </c>
      <c r="B734" s="246" t="s">
        <v>2647</v>
      </c>
      <c r="C734" s="32" t="s">
        <v>2652</v>
      </c>
      <c r="D734" s="32" t="s">
        <v>2653</v>
      </c>
      <c r="E734" s="53" t="s">
        <v>2587</v>
      </c>
      <c r="F734" s="54">
        <v>32314</v>
      </c>
      <c r="G734" s="56" t="s">
        <v>2383</v>
      </c>
      <c r="H734" s="479" t="s">
        <v>4256</v>
      </c>
      <c r="I734" s="32"/>
      <c r="J734" s="32"/>
      <c r="K734" s="225"/>
      <c r="L734" s="226"/>
      <c r="M734" s="234"/>
      <c r="N734" s="285" t="s">
        <v>3833</v>
      </c>
    </row>
    <row r="735" spans="1:14" s="373" customFormat="1" ht="56.25" x14ac:dyDescent="0.2">
      <c r="A735" s="32">
        <f>ROW()-ROW(สำนักงาน!$A$6)+1</f>
        <v>730</v>
      </c>
      <c r="B735" s="246" t="s">
        <v>2647</v>
      </c>
      <c r="C735" s="32" t="s">
        <v>2654</v>
      </c>
      <c r="D735" s="32" t="s">
        <v>2655</v>
      </c>
      <c r="E735" s="53" t="s">
        <v>2587</v>
      </c>
      <c r="F735" s="54">
        <v>32314</v>
      </c>
      <c r="G735" s="56" t="s">
        <v>2383</v>
      </c>
      <c r="H735" s="479" t="s">
        <v>4256</v>
      </c>
      <c r="I735" s="32"/>
      <c r="J735" s="32"/>
      <c r="K735" s="225"/>
      <c r="L735" s="226"/>
      <c r="M735" s="234"/>
      <c r="N735" s="285" t="s">
        <v>3856</v>
      </c>
    </row>
    <row r="736" spans="1:14" s="373" customFormat="1" ht="56.25" x14ac:dyDescent="0.2">
      <c r="A736" s="32">
        <f>ROW()-ROW(สำนักงาน!$A$6)+1</f>
        <v>731</v>
      </c>
      <c r="B736" s="246" t="s">
        <v>2647</v>
      </c>
      <c r="C736" s="32" t="s">
        <v>2656</v>
      </c>
      <c r="D736" s="32" t="s">
        <v>2657</v>
      </c>
      <c r="E736" s="53" t="s">
        <v>2587</v>
      </c>
      <c r="F736" s="54">
        <v>32314</v>
      </c>
      <c r="G736" s="56" t="s">
        <v>2383</v>
      </c>
      <c r="H736" s="479" t="s">
        <v>4256</v>
      </c>
      <c r="I736" s="32"/>
      <c r="J736" s="32"/>
      <c r="K736" s="225"/>
      <c r="L736" s="226"/>
      <c r="M736" s="234"/>
      <c r="N736" s="285" t="s">
        <v>3857</v>
      </c>
    </row>
    <row r="737" spans="1:15" s="373" customFormat="1" ht="37.5" x14ac:dyDescent="0.2">
      <c r="A737" s="32">
        <f>ROW()-ROW(สำนักงาน!$A$6)+1</f>
        <v>732</v>
      </c>
      <c r="B737" s="246" t="s">
        <v>2658</v>
      </c>
      <c r="C737" s="32" t="s">
        <v>2659</v>
      </c>
      <c r="D737" s="32" t="s">
        <v>2660</v>
      </c>
      <c r="E737" s="53" t="s">
        <v>2587</v>
      </c>
      <c r="F737" s="54">
        <v>40125</v>
      </c>
      <c r="G737" s="56" t="s">
        <v>2383</v>
      </c>
      <c r="H737" s="479" t="s">
        <v>4256</v>
      </c>
      <c r="I737" s="32"/>
      <c r="J737" s="32"/>
      <c r="K737" s="225"/>
      <c r="L737" s="226"/>
      <c r="M737" s="234"/>
      <c r="N737" s="285" t="s">
        <v>3858</v>
      </c>
    </row>
    <row r="738" spans="1:15" s="373" customFormat="1" ht="37.5" x14ac:dyDescent="0.2">
      <c r="A738" s="32">
        <f>ROW()-ROW(สำนักงาน!$A$6)+1</f>
        <v>733</v>
      </c>
      <c r="B738" s="246" t="s">
        <v>2661</v>
      </c>
      <c r="C738" s="32" t="s">
        <v>2662</v>
      </c>
      <c r="D738" s="32" t="s">
        <v>2663</v>
      </c>
      <c r="E738" s="53" t="s">
        <v>2587</v>
      </c>
      <c r="F738" s="54">
        <v>40125</v>
      </c>
      <c r="G738" s="56" t="s">
        <v>2383</v>
      </c>
      <c r="H738" s="479" t="s">
        <v>4256</v>
      </c>
      <c r="I738" s="32"/>
      <c r="J738" s="32"/>
      <c r="K738" s="225"/>
      <c r="L738" s="226"/>
      <c r="M738" s="234"/>
      <c r="N738" s="285" t="s">
        <v>3858</v>
      </c>
    </row>
    <row r="739" spans="1:15" s="401" customFormat="1" ht="21" x14ac:dyDescent="0.2">
      <c r="A739" s="32">
        <f>ROW()-ROW(สำนักงาน!$A$6)+1</f>
        <v>734</v>
      </c>
      <c r="B739" s="79" t="s">
        <v>1535</v>
      </c>
      <c r="C739" s="32" t="s">
        <v>1536</v>
      </c>
      <c r="D739" s="32" t="s">
        <v>1537</v>
      </c>
      <c r="E739" s="53" t="s">
        <v>1496</v>
      </c>
      <c r="F739" s="54">
        <v>26750</v>
      </c>
      <c r="G739" s="32" t="s">
        <v>21</v>
      </c>
      <c r="H739" s="32" t="s">
        <v>4256</v>
      </c>
      <c r="I739" s="32"/>
      <c r="J739" s="32"/>
      <c r="K739" s="32"/>
      <c r="L739" s="32"/>
      <c r="M739" s="32"/>
      <c r="N739" s="331" t="s">
        <v>4249</v>
      </c>
    </row>
    <row r="740" spans="1:15" s="370" customFormat="1" ht="37.5" x14ac:dyDescent="0.2">
      <c r="A740" s="32">
        <f>ROW()-ROW(สำนักงาน!$A$6)+1</f>
        <v>735</v>
      </c>
      <c r="B740" s="55" t="s">
        <v>592</v>
      </c>
      <c r="C740" s="13" t="s">
        <v>593</v>
      </c>
      <c r="D740" s="13" t="s">
        <v>594</v>
      </c>
      <c r="E740" s="53" t="s">
        <v>595</v>
      </c>
      <c r="F740" s="31">
        <v>30600</v>
      </c>
      <c r="G740" s="32" t="s">
        <v>220</v>
      </c>
      <c r="H740" s="32" t="s">
        <v>4256</v>
      </c>
      <c r="I740" s="32"/>
      <c r="J740" s="32"/>
      <c r="K740" s="32"/>
      <c r="L740" s="32"/>
      <c r="M740" s="32"/>
      <c r="N740" s="56" t="s">
        <v>334</v>
      </c>
    </row>
    <row r="741" spans="1:15" s="370" customFormat="1" ht="37.5" x14ac:dyDescent="0.2">
      <c r="A741" s="32">
        <f>ROW()-ROW(สำนักงาน!$A$6)+1</f>
        <v>736</v>
      </c>
      <c r="B741" s="55" t="s">
        <v>592</v>
      </c>
      <c r="C741" s="13" t="s">
        <v>596</v>
      </c>
      <c r="D741" s="13" t="s">
        <v>597</v>
      </c>
      <c r="E741" s="53" t="s">
        <v>595</v>
      </c>
      <c r="F741" s="31">
        <v>30600</v>
      </c>
      <c r="G741" s="32" t="s">
        <v>220</v>
      </c>
      <c r="H741" s="32" t="s">
        <v>4256</v>
      </c>
      <c r="I741" s="32"/>
      <c r="J741" s="32"/>
      <c r="K741" s="32"/>
      <c r="L741" s="32"/>
      <c r="M741" s="32"/>
      <c r="N741" s="56" t="s">
        <v>423</v>
      </c>
    </row>
    <row r="742" spans="1:15" s="401" customFormat="1" ht="37.5" x14ac:dyDescent="0.2">
      <c r="A742" s="32">
        <f>ROW()-ROW(สำนักงาน!$A$6)+1</f>
        <v>737</v>
      </c>
      <c r="B742" s="55" t="s">
        <v>1676</v>
      </c>
      <c r="C742" s="13" t="s">
        <v>1677</v>
      </c>
      <c r="D742" s="13" t="s">
        <v>1678</v>
      </c>
      <c r="E742" s="53" t="s">
        <v>1679</v>
      </c>
      <c r="F742" s="31">
        <v>30600</v>
      </c>
      <c r="G742" s="32" t="s">
        <v>21</v>
      </c>
      <c r="H742" s="32" t="s">
        <v>4256</v>
      </c>
      <c r="I742" s="32"/>
      <c r="J742" s="32"/>
      <c r="K742" s="32"/>
      <c r="L742" s="32"/>
      <c r="M742" s="32"/>
      <c r="N742" s="81"/>
    </row>
    <row r="743" spans="1:15" s="372" customFormat="1" ht="18.75" x14ac:dyDescent="0.3">
      <c r="A743" s="32">
        <f>ROW()-ROW(สำนักงาน!$A$6)+1</f>
        <v>738</v>
      </c>
      <c r="B743" s="55" t="s">
        <v>1390</v>
      </c>
      <c r="C743" s="308" t="s">
        <v>1391</v>
      </c>
      <c r="D743" s="13" t="s">
        <v>1392</v>
      </c>
      <c r="E743" s="319">
        <v>23802</v>
      </c>
      <c r="F743" s="310">
        <v>39000</v>
      </c>
      <c r="G743" s="308" t="s">
        <v>825</v>
      </c>
      <c r="H743" s="326" t="s">
        <v>4256</v>
      </c>
      <c r="I743" s="332"/>
      <c r="J743" s="332"/>
      <c r="K743" s="332"/>
      <c r="L743" s="332"/>
      <c r="M743" s="332"/>
      <c r="N743" s="355"/>
    </row>
    <row r="744" spans="1:15" s="372" customFormat="1" ht="18.75" x14ac:dyDescent="0.3">
      <c r="A744" s="32">
        <f>ROW()-ROW(สำนักงาน!$A$6)+1</f>
        <v>739</v>
      </c>
      <c r="B744" s="55" t="s">
        <v>1390</v>
      </c>
      <c r="C744" s="308" t="s">
        <v>1393</v>
      </c>
      <c r="D744" s="13" t="s">
        <v>1394</v>
      </c>
      <c r="E744" s="319">
        <v>23802</v>
      </c>
      <c r="F744" s="310">
        <v>39000</v>
      </c>
      <c r="G744" s="308" t="s">
        <v>825</v>
      </c>
      <c r="H744" s="326" t="s">
        <v>4256</v>
      </c>
      <c r="I744" s="332"/>
      <c r="J744" s="332"/>
      <c r="K744" s="332"/>
      <c r="L744" s="332"/>
      <c r="M744" s="332"/>
      <c r="N744" s="355"/>
    </row>
    <row r="745" spans="1:15" s="370" customFormat="1" ht="18.75" x14ac:dyDescent="0.2">
      <c r="A745" s="32">
        <f>ROW()-ROW(สำนักงาน!$A$6)+1</f>
        <v>740</v>
      </c>
      <c r="B745" s="55" t="s">
        <v>718</v>
      </c>
      <c r="C745" s="277" t="s">
        <v>719</v>
      </c>
      <c r="D745" s="13" t="s">
        <v>720</v>
      </c>
      <c r="E745" s="53" t="s">
        <v>721</v>
      </c>
      <c r="F745" s="31">
        <v>47200</v>
      </c>
      <c r="G745" s="32" t="s">
        <v>722</v>
      </c>
      <c r="H745" s="32" t="s">
        <v>4256</v>
      </c>
      <c r="I745" s="32"/>
      <c r="J745" s="32"/>
      <c r="K745" s="32"/>
      <c r="L745" s="32"/>
      <c r="M745" s="32"/>
      <c r="N745" s="252" t="s">
        <v>484</v>
      </c>
    </row>
    <row r="746" spans="1:15" s="372" customFormat="1" ht="21.75" x14ac:dyDescent="0.3">
      <c r="A746" s="32">
        <f>ROW()-ROW(สำนักงาน!$A$6)+1</f>
        <v>741</v>
      </c>
      <c r="B746" s="55" t="s">
        <v>1486</v>
      </c>
      <c r="C746" s="645" t="s">
        <v>4215</v>
      </c>
      <c r="D746" s="13" t="s">
        <v>1487</v>
      </c>
      <c r="E746" s="319" t="s">
        <v>721</v>
      </c>
      <c r="F746" s="310">
        <v>41500</v>
      </c>
      <c r="G746" s="308" t="s">
        <v>1477</v>
      </c>
      <c r="H746" s="326" t="s">
        <v>4256</v>
      </c>
      <c r="I746" s="332"/>
      <c r="J746" s="332"/>
      <c r="K746" s="332"/>
      <c r="L746" s="332"/>
      <c r="M746" s="332"/>
      <c r="N746" s="424"/>
    </row>
    <row r="747" spans="1:15" s="372" customFormat="1" ht="21.75" x14ac:dyDescent="0.3">
      <c r="A747" s="32">
        <f>ROW()-ROW(สำนักงาน!$A$6)+1</f>
        <v>742</v>
      </c>
      <c r="B747" s="55" t="s">
        <v>1486</v>
      </c>
      <c r="C747" s="645" t="s">
        <v>4216</v>
      </c>
      <c r="D747" s="13" t="s">
        <v>1488</v>
      </c>
      <c r="E747" s="319" t="s">
        <v>721</v>
      </c>
      <c r="F747" s="310">
        <v>41500</v>
      </c>
      <c r="G747" s="308" t="s">
        <v>1477</v>
      </c>
      <c r="H747" s="326" t="s">
        <v>4256</v>
      </c>
      <c r="I747" s="332"/>
      <c r="J747" s="332"/>
      <c r="K747" s="332"/>
      <c r="L747" s="332"/>
      <c r="M747" s="332"/>
      <c r="N747" s="424"/>
    </row>
    <row r="748" spans="1:15" s="401" customFormat="1" ht="31.5" x14ac:dyDescent="0.2">
      <c r="A748" s="32">
        <f>ROW()-ROW(สำนักงาน!$A$6)+1</f>
        <v>743</v>
      </c>
      <c r="B748" s="649" t="s">
        <v>3829</v>
      </c>
      <c r="C748" s="32" t="s">
        <v>2364</v>
      </c>
      <c r="D748" s="13" t="s">
        <v>2365</v>
      </c>
      <c r="E748" s="53">
        <v>24312</v>
      </c>
      <c r="F748" s="54">
        <v>38600</v>
      </c>
      <c r="G748" s="650" t="s">
        <v>2366</v>
      </c>
      <c r="H748" s="32" t="s">
        <v>4256</v>
      </c>
      <c r="I748" s="32"/>
      <c r="J748" s="32"/>
      <c r="K748" s="32"/>
      <c r="L748" s="32"/>
      <c r="M748" s="32"/>
      <c r="N748" s="252"/>
    </row>
    <row r="749" spans="1:15" s="401" customFormat="1" ht="31.5" x14ac:dyDescent="0.2">
      <c r="A749" s="32">
        <f>ROW()-ROW(สำนักงาน!$A$6)+1</f>
        <v>744</v>
      </c>
      <c r="B749" s="649" t="s">
        <v>3829</v>
      </c>
      <c r="C749" s="32" t="s">
        <v>2367</v>
      </c>
      <c r="D749" s="13" t="s">
        <v>2368</v>
      </c>
      <c r="E749" s="53">
        <v>24312</v>
      </c>
      <c r="F749" s="54">
        <v>38600</v>
      </c>
      <c r="G749" s="650" t="s">
        <v>2366</v>
      </c>
      <c r="H749" s="32" t="s">
        <v>4256</v>
      </c>
      <c r="I749" s="32"/>
      <c r="J749" s="32"/>
      <c r="K749" s="32"/>
      <c r="L749" s="32"/>
      <c r="M749" s="32"/>
      <c r="N749" s="252"/>
    </row>
    <row r="750" spans="1:15" s="373" customFormat="1" ht="37.5" x14ac:dyDescent="0.2">
      <c r="A750" s="32">
        <f>ROW()-ROW(สำนักงาน!$A$6)+1</f>
        <v>745</v>
      </c>
      <c r="B750" s="392" t="s">
        <v>3787</v>
      </c>
      <c r="C750" s="393" t="s">
        <v>4202</v>
      </c>
      <c r="D750" s="393" t="s">
        <v>134</v>
      </c>
      <c r="E750" s="34">
        <v>24542</v>
      </c>
      <c r="F750" s="31">
        <v>40000</v>
      </c>
      <c r="G750" s="651" t="s">
        <v>3895</v>
      </c>
      <c r="H750" s="479" t="s">
        <v>4256</v>
      </c>
      <c r="I750" s="32"/>
      <c r="J750" s="32"/>
      <c r="K750" s="32"/>
      <c r="L750" s="32"/>
      <c r="M750" s="32"/>
      <c r="N750" s="285"/>
    </row>
    <row r="751" spans="1:15" s="373" customFormat="1" ht="37.5" x14ac:dyDescent="0.2">
      <c r="A751" s="32">
        <f>ROW()-ROW(สำนักงาน!$A$6)+1</f>
        <v>746</v>
      </c>
      <c r="B751" s="392" t="s">
        <v>3788</v>
      </c>
      <c r="C751" s="393" t="s">
        <v>4203</v>
      </c>
      <c r="D751" s="393" t="s">
        <v>135</v>
      </c>
      <c r="E751" s="34">
        <v>24542</v>
      </c>
      <c r="F751" s="31">
        <v>53000</v>
      </c>
      <c r="G751" s="651" t="s">
        <v>3895</v>
      </c>
      <c r="H751" s="479" t="s">
        <v>4256</v>
      </c>
      <c r="I751" s="32"/>
      <c r="J751" s="32"/>
      <c r="K751" s="32"/>
      <c r="L751" s="32"/>
      <c r="M751" s="32"/>
      <c r="N751" s="285"/>
      <c r="O751" s="747">
        <f>SUM(F685:F751)</f>
        <v>8460612</v>
      </c>
    </row>
    <row r="752" spans="1:15" s="373" customFormat="1" ht="37.5" x14ac:dyDescent="0.2">
      <c r="A752" s="32">
        <f>ROW()-ROW(สำนักงาน!$A$6)+1</f>
        <v>747</v>
      </c>
      <c r="B752" s="52" t="s">
        <v>3290</v>
      </c>
      <c r="C752" s="32" t="s">
        <v>3291</v>
      </c>
      <c r="D752" s="32" t="s">
        <v>3292</v>
      </c>
      <c r="E752" s="53" t="s">
        <v>2862</v>
      </c>
      <c r="F752" s="54">
        <v>31565</v>
      </c>
      <c r="G752" s="32" t="s">
        <v>2863</v>
      </c>
      <c r="H752" s="479" t="s">
        <v>4256</v>
      </c>
      <c r="I752" s="32"/>
      <c r="J752" s="32"/>
      <c r="K752" s="32"/>
      <c r="L752" s="32"/>
      <c r="M752" s="32"/>
      <c r="N752" s="285" t="s">
        <v>3855</v>
      </c>
    </row>
    <row r="753" spans="1:15" s="373" customFormat="1" ht="18.75" x14ac:dyDescent="0.2">
      <c r="A753" s="32">
        <f>ROW()-ROW(สำนักงาน!$A$6)+1</f>
        <v>748</v>
      </c>
      <c r="B753" s="52" t="s">
        <v>3293</v>
      </c>
      <c r="C753" s="32" t="s">
        <v>3294</v>
      </c>
      <c r="D753" s="32" t="s">
        <v>3295</v>
      </c>
      <c r="E753" s="53" t="s">
        <v>2862</v>
      </c>
      <c r="F753" s="54">
        <v>3210</v>
      </c>
      <c r="G753" s="32" t="s">
        <v>2863</v>
      </c>
      <c r="H753" s="479" t="s">
        <v>4256</v>
      </c>
      <c r="I753" s="32"/>
      <c r="J753" s="32"/>
      <c r="K753" s="32"/>
      <c r="L753" s="32"/>
      <c r="M753" s="32"/>
      <c r="N753" s="285" t="s">
        <v>3832</v>
      </c>
      <c r="O753" s="747">
        <f>SUM(F753:F756)</f>
        <v>12840</v>
      </c>
    </row>
    <row r="754" spans="1:15" s="373" customFormat="1" ht="18.75" x14ac:dyDescent="0.2">
      <c r="A754" s="32">
        <f>ROW()-ROW(สำนักงาน!$A$6)+1</f>
        <v>749</v>
      </c>
      <c r="B754" s="52" t="s">
        <v>3293</v>
      </c>
      <c r="C754" s="32" t="s">
        <v>3296</v>
      </c>
      <c r="D754" s="32" t="s">
        <v>3297</v>
      </c>
      <c r="E754" s="53" t="s">
        <v>2862</v>
      </c>
      <c r="F754" s="54">
        <v>3210</v>
      </c>
      <c r="G754" s="32" t="s">
        <v>2863</v>
      </c>
      <c r="H754" s="479" t="s">
        <v>4256</v>
      </c>
      <c r="I754" s="32"/>
      <c r="J754" s="32"/>
      <c r="K754" s="32"/>
      <c r="L754" s="32"/>
      <c r="M754" s="32"/>
      <c r="N754" s="285" t="s">
        <v>3842</v>
      </c>
    </row>
    <row r="755" spans="1:15" s="373" customFormat="1" ht="18.75" x14ac:dyDescent="0.2">
      <c r="A755" s="32">
        <f>ROW()-ROW(สำนักงาน!$A$6)+1</f>
        <v>750</v>
      </c>
      <c r="B755" s="52" t="s">
        <v>3293</v>
      </c>
      <c r="C755" s="32" t="s">
        <v>3298</v>
      </c>
      <c r="D755" s="32" t="s">
        <v>3299</v>
      </c>
      <c r="E755" s="53" t="s">
        <v>2862</v>
      </c>
      <c r="F755" s="54">
        <v>3210</v>
      </c>
      <c r="G755" s="32" t="s">
        <v>2863</v>
      </c>
      <c r="H755" s="479" t="s">
        <v>4256</v>
      </c>
      <c r="I755" s="32"/>
      <c r="J755" s="32"/>
      <c r="K755" s="32"/>
      <c r="L755" s="32"/>
      <c r="M755" s="32"/>
      <c r="N755" s="285" t="s">
        <v>3836</v>
      </c>
    </row>
    <row r="756" spans="1:15" s="373" customFormat="1" ht="18.75" x14ac:dyDescent="0.2">
      <c r="A756" s="32">
        <f>ROW()-ROW(สำนักงาน!$A$6)+1</f>
        <v>751</v>
      </c>
      <c r="B756" s="52" t="s">
        <v>3293</v>
      </c>
      <c r="C756" s="32" t="s">
        <v>3300</v>
      </c>
      <c r="D756" s="32" t="s">
        <v>3301</v>
      </c>
      <c r="E756" s="53" t="s">
        <v>2862</v>
      </c>
      <c r="F756" s="54">
        <v>3210</v>
      </c>
      <c r="G756" s="32" t="s">
        <v>2863</v>
      </c>
      <c r="H756" s="479" t="s">
        <v>4256</v>
      </c>
      <c r="I756" s="32"/>
      <c r="J756" s="32"/>
      <c r="K756" s="32"/>
      <c r="L756" s="32"/>
      <c r="M756" s="32"/>
      <c r="N756" s="285" t="s">
        <v>3837</v>
      </c>
    </row>
    <row r="757" spans="1:15" s="370" customFormat="1" ht="18.75" x14ac:dyDescent="0.2">
      <c r="A757" s="32">
        <f>ROW()-ROW(สำนักงาน!$A$6)+1</f>
        <v>752</v>
      </c>
      <c r="B757" s="52" t="s">
        <v>443</v>
      </c>
      <c r="C757" s="32" t="s">
        <v>444</v>
      </c>
      <c r="D757" s="32" t="s">
        <v>445</v>
      </c>
      <c r="E757" s="34">
        <v>21607</v>
      </c>
      <c r="F757" s="241">
        <v>17000</v>
      </c>
      <c r="G757" s="32" t="s">
        <v>6</v>
      </c>
      <c r="H757" s="32" t="s">
        <v>4256</v>
      </c>
      <c r="I757" s="32"/>
      <c r="J757" s="79"/>
      <c r="K757" s="79"/>
      <c r="L757" s="225"/>
      <c r="M757" s="226"/>
      <c r="N757" s="32" t="s">
        <v>4314</v>
      </c>
      <c r="O757" s="746">
        <f>SUM(F757:F758)</f>
        <v>34000</v>
      </c>
    </row>
    <row r="758" spans="1:15" s="373" customFormat="1" ht="18.75" x14ac:dyDescent="0.2">
      <c r="A758" s="32">
        <f>ROW()-ROW(สำนักงาน!$A$6)+1</f>
        <v>753</v>
      </c>
      <c r="B758" s="52" t="s">
        <v>2386</v>
      </c>
      <c r="C758" s="32" t="s">
        <v>2387</v>
      </c>
      <c r="D758" s="32" t="s">
        <v>2388</v>
      </c>
      <c r="E758" s="34">
        <v>22004</v>
      </c>
      <c r="F758" s="241">
        <v>17000</v>
      </c>
      <c r="G758" s="32" t="s">
        <v>2378</v>
      </c>
      <c r="H758" s="479" t="s">
        <v>4256</v>
      </c>
      <c r="I758" s="32"/>
      <c r="J758" s="79"/>
      <c r="K758" s="79"/>
      <c r="L758" s="225"/>
      <c r="M758" s="226"/>
      <c r="N758" s="285" t="s">
        <v>3832</v>
      </c>
    </row>
    <row r="759" spans="1:15" s="373" customFormat="1" ht="18.75" x14ac:dyDescent="0.2">
      <c r="A759" s="32">
        <f>ROW()-ROW(สำนักงาน!$A$6)+1</f>
        <v>754</v>
      </c>
      <c r="B759" s="52" t="s">
        <v>3266</v>
      </c>
      <c r="C759" s="32" t="s">
        <v>3267</v>
      </c>
      <c r="D759" s="32" t="s">
        <v>3268</v>
      </c>
      <c r="E759" s="53" t="s">
        <v>2862</v>
      </c>
      <c r="F759" s="54">
        <v>19260</v>
      </c>
      <c r="G759" s="32" t="s">
        <v>2863</v>
      </c>
      <c r="H759" s="479" t="s">
        <v>4256</v>
      </c>
      <c r="I759" s="32"/>
      <c r="J759" s="32"/>
      <c r="K759" s="32"/>
      <c r="L759" s="32"/>
      <c r="M759" s="32"/>
      <c r="N759" s="285" t="s">
        <v>3835</v>
      </c>
    </row>
    <row r="760" spans="1:15" s="373" customFormat="1" ht="18.75" x14ac:dyDescent="0.2">
      <c r="A760" s="32">
        <f>ROW()-ROW(สำนักงาน!$A$6)+1</f>
        <v>755</v>
      </c>
      <c r="B760" s="52" t="s">
        <v>3266</v>
      </c>
      <c r="C760" s="32" t="s">
        <v>3269</v>
      </c>
      <c r="D760" s="32" t="s">
        <v>3270</v>
      </c>
      <c r="E760" s="53" t="s">
        <v>2862</v>
      </c>
      <c r="F760" s="54">
        <v>19260</v>
      </c>
      <c r="G760" s="32" t="s">
        <v>2863</v>
      </c>
      <c r="H760" s="479" t="s">
        <v>4256</v>
      </c>
      <c r="I760" s="32"/>
      <c r="J760" s="32"/>
      <c r="K760" s="32"/>
      <c r="L760" s="32"/>
      <c r="M760" s="32"/>
      <c r="N760" s="285" t="s">
        <v>3835</v>
      </c>
    </row>
    <row r="761" spans="1:15" s="373" customFormat="1" ht="37.5" x14ac:dyDescent="0.2">
      <c r="A761" s="32">
        <f>ROW()-ROW(สำนักงาน!$A$6)+1</f>
        <v>756</v>
      </c>
      <c r="B761" s="52" t="s">
        <v>3876</v>
      </c>
      <c r="C761" s="32" t="s">
        <v>3271</v>
      </c>
      <c r="D761" s="32" t="s">
        <v>3272</v>
      </c>
      <c r="E761" s="53" t="s">
        <v>2862</v>
      </c>
      <c r="F761" s="54">
        <v>58850</v>
      </c>
      <c r="G761" s="32" t="s">
        <v>2863</v>
      </c>
      <c r="H761" s="479" t="s">
        <v>4256</v>
      </c>
      <c r="I761" s="32"/>
      <c r="J761" s="32"/>
      <c r="K761" s="32"/>
      <c r="L761" s="32"/>
      <c r="M761" s="32"/>
      <c r="N761" s="285" t="s">
        <v>3835</v>
      </c>
    </row>
    <row r="762" spans="1:15" s="373" customFormat="1" ht="37.5" x14ac:dyDescent="0.2">
      <c r="A762" s="32">
        <f>ROW()-ROW(สำนักงาน!$A$6)+1</f>
        <v>757</v>
      </c>
      <c r="B762" s="52" t="s">
        <v>3877</v>
      </c>
      <c r="C762" s="32" t="s">
        <v>3273</v>
      </c>
      <c r="D762" s="32" t="s">
        <v>3274</v>
      </c>
      <c r="E762" s="53" t="s">
        <v>2862</v>
      </c>
      <c r="F762" s="54">
        <v>15247.5</v>
      </c>
      <c r="G762" s="32" t="s">
        <v>2863</v>
      </c>
      <c r="H762" s="479" t="s">
        <v>4256</v>
      </c>
      <c r="I762" s="32"/>
      <c r="J762" s="32"/>
      <c r="K762" s="32"/>
      <c r="L762" s="32"/>
      <c r="M762" s="32"/>
      <c r="N762" s="285" t="s">
        <v>3835</v>
      </c>
    </row>
    <row r="763" spans="1:15" s="373" customFormat="1" ht="37.5" x14ac:dyDescent="0.2">
      <c r="A763" s="32">
        <f>ROW()-ROW(สำนักงาน!$A$6)+1</f>
        <v>758</v>
      </c>
      <c r="B763" s="52" t="s">
        <v>3877</v>
      </c>
      <c r="C763" s="32" t="s">
        <v>3275</v>
      </c>
      <c r="D763" s="32" t="s">
        <v>3276</v>
      </c>
      <c r="E763" s="53" t="s">
        <v>2862</v>
      </c>
      <c r="F763" s="54">
        <v>15247.5</v>
      </c>
      <c r="G763" s="32" t="s">
        <v>2863</v>
      </c>
      <c r="H763" s="479" t="s">
        <v>4256</v>
      </c>
      <c r="I763" s="32"/>
      <c r="J763" s="32"/>
      <c r="K763" s="32"/>
      <c r="L763" s="32"/>
      <c r="M763" s="32"/>
      <c r="N763" s="285" t="s">
        <v>3835</v>
      </c>
    </row>
    <row r="764" spans="1:15" s="373" customFormat="1" ht="37.5" x14ac:dyDescent="0.2">
      <c r="A764" s="32">
        <f>ROW()-ROW(สำนักงาน!$A$6)+1</f>
        <v>759</v>
      </c>
      <c r="B764" s="52" t="s">
        <v>3277</v>
      </c>
      <c r="C764" s="32" t="s">
        <v>3278</v>
      </c>
      <c r="D764" s="32" t="s">
        <v>3279</v>
      </c>
      <c r="E764" s="53" t="s">
        <v>2862</v>
      </c>
      <c r="F764" s="54">
        <v>32100</v>
      </c>
      <c r="G764" s="32" t="s">
        <v>2863</v>
      </c>
      <c r="H764" s="479" t="s">
        <v>4256</v>
      </c>
      <c r="I764" s="32"/>
      <c r="J764" s="32"/>
      <c r="K764" s="32"/>
      <c r="L764" s="32"/>
      <c r="M764" s="32"/>
      <c r="N764" s="285" t="s">
        <v>3835</v>
      </c>
    </row>
    <row r="765" spans="1:15" s="373" customFormat="1" ht="18.75" x14ac:dyDescent="0.2">
      <c r="A765" s="32">
        <f>ROW()-ROW(สำนักงาน!$A$6)+1</f>
        <v>760</v>
      </c>
      <c r="B765" s="52" t="s">
        <v>3280</v>
      </c>
      <c r="C765" s="32" t="s">
        <v>3281</v>
      </c>
      <c r="D765" s="32" t="s">
        <v>3282</v>
      </c>
      <c r="E765" s="53" t="s">
        <v>2862</v>
      </c>
      <c r="F765" s="54">
        <v>53500</v>
      </c>
      <c r="G765" s="32" t="s">
        <v>2863</v>
      </c>
      <c r="H765" s="479" t="s">
        <v>4256</v>
      </c>
      <c r="I765" s="32"/>
      <c r="J765" s="32"/>
      <c r="K765" s="32"/>
      <c r="L765" s="32"/>
      <c r="M765" s="32"/>
      <c r="N765" s="285" t="s">
        <v>3832</v>
      </c>
    </row>
    <row r="766" spans="1:15" s="373" customFormat="1" ht="37.5" x14ac:dyDescent="0.2">
      <c r="A766" s="32">
        <f>ROW()-ROW(สำนักงาน!$A$6)+1</f>
        <v>761</v>
      </c>
      <c r="B766" s="52" t="s">
        <v>3277</v>
      </c>
      <c r="C766" s="32" t="s">
        <v>3283</v>
      </c>
      <c r="D766" s="32" t="s">
        <v>3284</v>
      </c>
      <c r="E766" s="53" t="s">
        <v>2862</v>
      </c>
      <c r="F766" s="54">
        <v>36594</v>
      </c>
      <c r="G766" s="32" t="s">
        <v>2863</v>
      </c>
      <c r="H766" s="479" t="s">
        <v>4256</v>
      </c>
      <c r="I766" s="32"/>
      <c r="J766" s="32"/>
      <c r="K766" s="32"/>
      <c r="L766" s="32"/>
      <c r="M766" s="32"/>
      <c r="N766" s="285" t="s">
        <v>3835</v>
      </c>
    </row>
    <row r="767" spans="1:15" s="373" customFormat="1" ht="37.5" x14ac:dyDescent="0.2">
      <c r="A767" s="32">
        <f>ROW()-ROW(สำนักงาน!$A$6)+1</f>
        <v>762</v>
      </c>
      <c r="B767" s="52" t="s">
        <v>3277</v>
      </c>
      <c r="C767" s="32" t="s">
        <v>3285</v>
      </c>
      <c r="D767" s="32" t="s">
        <v>3286</v>
      </c>
      <c r="E767" s="53" t="s">
        <v>2862</v>
      </c>
      <c r="F767" s="54">
        <v>36594</v>
      </c>
      <c r="G767" s="32" t="s">
        <v>2863</v>
      </c>
      <c r="H767" s="479" t="s">
        <v>4256</v>
      </c>
      <c r="I767" s="32"/>
      <c r="J767" s="32"/>
      <c r="K767" s="32"/>
      <c r="L767" s="32"/>
      <c r="M767" s="32"/>
      <c r="N767" s="285" t="s">
        <v>3835</v>
      </c>
    </row>
    <row r="768" spans="1:15" s="373" customFormat="1" ht="37.5" x14ac:dyDescent="0.2">
      <c r="A768" s="32">
        <f>ROW()-ROW(สำนักงาน!$A$6)+1</f>
        <v>763</v>
      </c>
      <c r="B768" s="52" t="s">
        <v>3287</v>
      </c>
      <c r="C768" s="32" t="s">
        <v>3288</v>
      </c>
      <c r="D768" s="32" t="s">
        <v>3289</v>
      </c>
      <c r="E768" s="53" t="s">
        <v>2862</v>
      </c>
      <c r="F768" s="54">
        <v>107000</v>
      </c>
      <c r="G768" s="32" t="s">
        <v>2863</v>
      </c>
      <c r="H768" s="479" t="s">
        <v>4256</v>
      </c>
      <c r="I768" s="32"/>
      <c r="J768" s="32"/>
      <c r="K768" s="32"/>
      <c r="L768" s="32"/>
      <c r="M768" s="32"/>
      <c r="N768" s="285" t="s">
        <v>3835</v>
      </c>
      <c r="O768" s="747">
        <f>SUM(F759:F768)</f>
        <v>393653</v>
      </c>
    </row>
    <row r="769" spans="1:15" s="370" customFormat="1" ht="37.5" x14ac:dyDescent="0.2">
      <c r="A769" s="32">
        <f>ROW()-ROW(สำนักงาน!$A$6)+1</f>
        <v>764</v>
      </c>
      <c r="B769" s="55" t="s">
        <v>598</v>
      </c>
      <c r="C769" s="13" t="s">
        <v>599</v>
      </c>
      <c r="D769" s="13" t="s">
        <v>600</v>
      </c>
      <c r="E769" s="53" t="s">
        <v>601</v>
      </c>
      <c r="F769" s="31">
        <v>47000</v>
      </c>
      <c r="G769" s="32" t="s">
        <v>6</v>
      </c>
      <c r="H769" s="479" t="s">
        <v>4256</v>
      </c>
      <c r="I769" s="32"/>
      <c r="J769" s="32"/>
      <c r="K769" s="32"/>
      <c r="L769" s="32"/>
      <c r="M769" s="32"/>
      <c r="N769" s="56" t="s">
        <v>151</v>
      </c>
      <c r="O769" s="746">
        <f>SUM(F769:F770)</f>
        <v>94000</v>
      </c>
    </row>
    <row r="770" spans="1:15" s="370" customFormat="1" ht="37.5" x14ac:dyDescent="0.2">
      <c r="A770" s="32">
        <f>ROW()-ROW(สำนักงาน!$A$6)+1</f>
        <v>765</v>
      </c>
      <c r="B770" s="55" t="s">
        <v>598</v>
      </c>
      <c r="C770" s="13" t="s">
        <v>602</v>
      </c>
      <c r="D770" s="13" t="s">
        <v>603</v>
      </c>
      <c r="E770" s="53" t="s">
        <v>601</v>
      </c>
      <c r="F770" s="31">
        <v>47000</v>
      </c>
      <c r="G770" s="32" t="s">
        <v>6</v>
      </c>
      <c r="H770" s="479" t="s">
        <v>4256</v>
      </c>
      <c r="I770" s="32"/>
      <c r="J770" s="32"/>
      <c r="K770" s="32"/>
      <c r="L770" s="32"/>
      <c r="M770" s="32"/>
      <c r="N770" s="56" t="s">
        <v>151</v>
      </c>
    </row>
    <row r="771" spans="1:15" s="370" customFormat="1" ht="18.75" x14ac:dyDescent="0.2">
      <c r="A771" s="32">
        <f>ROW()-ROW(สำนักงาน!$A$6)+1</f>
        <v>766</v>
      </c>
      <c r="B771" s="92" t="s">
        <v>217</v>
      </c>
      <c r="C771" s="93" t="s">
        <v>218</v>
      </c>
      <c r="D771" s="93" t="s">
        <v>219</v>
      </c>
      <c r="E771" s="94">
        <v>45523</v>
      </c>
      <c r="F771" s="95">
        <v>699.29</v>
      </c>
      <c r="G771" s="93" t="s">
        <v>220</v>
      </c>
      <c r="H771" s="32" t="s">
        <v>4256</v>
      </c>
      <c r="I771" s="93"/>
      <c r="J771" s="96"/>
      <c r="K771" s="96"/>
      <c r="L771" s="97"/>
      <c r="M771" s="98"/>
      <c r="N771" s="93" t="s">
        <v>4296</v>
      </c>
    </row>
    <row r="772" spans="1:15" s="370" customFormat="1" ht="18.75" x14ac:dyDescent="0.2">
      <c r="A772" s="32">
        <f>ROW()-ROW(สำนักงาน!$A$6)+1</f>
        <v>767</v>
      </c>
      <c r="B772" s="92" t="s">
        <v>217</v>
      </c>
      <c r="C772" s="93" t="s">
        <v>221</v>
      </c>
      <c r="D772" s="93" t="s">
        <v>222</v>
      </c>
      <c r="E772" s="94">
        <v>45523</v>
      </c>
      <c r="F772" s="95">
        <v>699.29</v>
      </c>
      <c r="G772" s="93" t="s">
        <v>220</v>
      </c>
      <c r="H772" s="32" t="s">
        <v>4256</v>
      </c>
      <c r="I772" s="93"/>
      <c r="J772" s="96"/>
      <c r="K772" s="96"/>
      <c r="L772" s="97"/>
      <c r="M772" s="98"/>
      <c r="N772" s="93" t="s">
        <v>4297</v>
      </c>
    </row>
    <row r="773" spans="1:15" s="370" customFormat="1" ht="18.75" x14ac:dyDescent="0.2">
      <c r="A773" s="32">
        <f>ROW()-ROW(สำนักงาน!$A$6)+1</f>
        <v>768</v>
      </c>
      <c r="B773" s="52" t="s">
        <v>447</v>
      </c>
      <c r="C773" s="32" t="s">
        <v>448</v>
      </c>
      <c r="D773" s="32" t="s">
        <v>449</v>
      </c>
      <c r="E773" s="53" t="s">
        <v>450</v>
      </c>
      <c r="F773" s="31">
        <v>1350</v>
      </c>
      <c r="G773" s="32" t="s">
        <v>200</v>
      </c>
      <c r="H773" s="32" t="s">
        <v>4256</v>
      </c>
      <c r="I773" s="32"/>
      <c r="J773" s="79"/>
      <c r="K773" s="79"/>
      <c r="L773" s="79"/>
      <c r="M773" s="79"/>
      <c r="N773" s="242" t="s">
        <v>3916</v>
      </c>
    </row>
    <row r="774" spans="1:15" s="370" customFormat="1" ht="18.75" x14ac:dyDescent="0.2">
      <c r="A774" s="32">
        <f>ROW()-ROW(สำนักงาน!$A$6)+1</f>
        <v>769</v>
      </c>
      <c r="B774" s="52" t="s">
        <v>447</v>
      </c>
      <c r="C774" s="32" t="s">
        <v>451</v>
      </c>
      <c r="D774" s="32" t="s">
        <v>452</v>
      </c>
      <c r="E774" s="53" t="s">
        <v>450</v>
      </c>
      <c r="F774" s="31">
        <v>1350</v>
      </c>
      <c r="G774" s="32" t="s">
        <v>220</v>
      </c>
      <c r="H774" s="32" t="s">
        <v>4256</v>
      </c>
      <c r="I774" s="32"/>
      <c r="J774" s="79"/>
      <c r="K774" s="79"/>
      <c r="L774" s="79"/>
      <c r="M774" s="79"/>
      <c r="N774" s="242" t="s">
        <v>4315</v>
      </c>
    </row>
    <row r="775" spans="1:15" s="372" customFormat="1" ht="18.75" x14ac:dyDescent="0.3">
      <c r="A775" s="32">
        <f>ROW()-ROW(สำนักงาน!$A$6)+1</f>
        <v>770</v>
      </c>
      <c r="B775" s="307" t="s">
        <v>1327</v>
      </c>
      <c r="C775" s="308" t="s">
        <v>1328</v>
      </c>
      <c r="D775" s="308" t="s">
        <v>1329</v>
      </c>
      <c r="E775" s="319" t="s">
        <v>1330</v>
      </c>
      <c r="F775" s="310">
        <v>17500</v>
      </c>
      <c r="G775" s="308" t="s">
        <v>825</v>
      </c>
      <c r="H775" s="320" t="s">
        <v>4256</v>
      </c>
      <c r="I775" s="321"/>
      <c r="J775" s="322"/>
      <c r="K775" s="322"/>
      <c r="L775" s="322"/>
      <c r="M775" s="322"/>
      <c r="N775" s="634"/>
    </row>
    <row r="776" spans="1:15" s="372" customFormat="1" ht="18.75" x14ac:dyDescent="0.3">
      <c r="A776" s="32">
        <f>ROW()-ROW(สำนักงาน!$A$6)+1</f>
        <v>771</v>
      </c>
      <c r="B776" s="307" t="s">
        <v>1327</v>
      </c>
      <c r="C776" s="308" t="s">
        <v>1331</v>
      </c>
      <c r="D776" s="308" t="s">
        <v>1332</v>
      </c>
      <c r="E776" s="319" t="s">
        <v>1330</v>
      </c>
      <c r="F776" s="310">
        <v>17500</v>
      </c>
      <c r="G776" s="308" t="s">
        <v>825</v>
      </c>
      <c r="H776" s="320" t="s">
        <v>4256</v>
      </c>
      <c r="I776" s="321"/>
      <c r="J776" s="322"/>
      <c r="K776" s="322"/>
      <c r="L776" s="322"/>
      <c r="M776" s="322"/>
      <c r="N776" s="634"/>
    </row>
    <row r="777" spans="1:15" s="373" customFormat="1" ht="37.5" x14ac:dyDescent="0.2">
      <c r="A777" s="32">
        <f>ROW()-ROW(สำนักงาน!$A$6)+1</f>
        <v>772</v>
      </c>
      <c r="B777" s="246" t="s">
        <v>2664</v>
      </c>
      <c r="C777" s="32" t="s">
        <v>2665</v>
      </c>
      <c r="D777" s="32" t="s">
        <v>2666</v>
      </c>
      <c r="E777" s="53" t="s">
        <v>2587</v>
      </c>
      <c r="F777" s="54">
        <v>2140</v>
      </c>
      <c r="G777" s="56" t="s">
        <v>2383</v>
      </c>
      <c r="H777" s="479" t="s">
        <v>4256</v>
      </c>
      <c r="I777" s="32"/>
      <c r="J777" s="32"/>
      <c r="K777" s="226"/>
      <c r="L777" s="226"/>
      <c r="M777" s="32"/>
      <c r="N777" s="285" t="s">
        <v>3838</v>
      </c>
    </row>
    <row r="778" spans="1:15" s="373" customFormat="1" ht="37.5" x14ac:dyDescent="0.2">
      <c r="A778" s="32">
        <f>ROW()-ROW(สำนักงาน!$A$6)+1</f>
        <v>773</v>
      </c>
      <c r="B778" s="246" t="s">
        <v>2664</v>
      </c>
      <c r="C778" s="32" t="s">
        <v>2667</v>
      </c>
      <c r="D778" s="32" t="s">
        <v>2668</v>
      </c>
      <c r="E778" s="53" t="s">
        <v>2587</v>
      </c>
      <c r="F778" s="54">
        <v>2140</v>
      </c>
      <c r="G778" s="56" t="s">
        <v>2383</v>
      </c>
      <c r="H778" s="479" t="s">
        <v>4256</v>
      </c>
      <c r="I778" s="32"/>
      <c r="J778" s="32"/>
      <c r="K778" s="226"/>
      <c r="L778" s="226"/>
      <c r="M778" s="32"/>
      <c r="N778" s="285" t="s">
        <v>3840</v>
      </c>
    </row>
    <row r="779" spans="1:15" s="373" customFormat="1" ht="37.5" x14ac:dyDescent="0.2">
      <c r="A779" s="32">
        <f>ROW()-ROW(สำนักงาน!$A$6)+1</f>
        <v>774</v>
      </c>
      <c r="B779" s="246" t="s">
        <v>2664</v>
      </c>
      <c r="C779" s="32" t="s">
        <v>2669</v>
      </c>
      <c r="D779" s="32" t="s">
        <v>2670</v>
      </c>
      <c r="E779" s="53" t="s">
        <v>2587</v>
      </c>
      <c r="F779" s="54">
        <v>2140</v>
      </c>
      <c r="G779" s="56" t="s">
        <v>2383</v>
      </c>
      <c r="H779" s="479" t="s">
        <v>4256</v>
      </c>
      <c r="I779" s="32"/>
      <c r="J779" s="32"/>
      <c r="K779" s="226"/>
      <c r="L779" s="226"/>
      <c r="M779" s="32"/>
      <c r="N779" s="285" t="s">
        <v>3840</v>
      </c>
    </row>
    <row r="780" spans="1:15" s="373" customFormat="1" ht="37.5" x14ac:dyDescent="0.2">
      <c r="A780" s="32">
        <f>ROW()-ROW(สำนักงาน!$A$6)+1</f>
        <v>775</v>
      </c>
      <c r="B780" s="246" t="s">
        <v>2664</v>
      </c>
      <c r="C780" s="32" t="s">
        <v>2671</v>
      </c>
      <c r="D780" s="32" t="s">
        <v>2672</v>
      </c>
      <c r="E780" s="53" t="s">
        <v>2587</v>
      </c>
      <c r="F780" s="54">
        <v>2140</v>
      </c>
      <c r="G780" s="56" t="s">
        <v>2383</v>
      </c>
      <c r="H780" s="479" t="s">
        <v>4256</v>
      </c>
      <c r="I780" s="32"/>
      <c r="J780" s="32"/>
      <c r="K780" s="226"/>
      <c r="L780" s="226"/>
      <c r="M780" s="32"/>
      <c r="N780" s="285" t="s">
        <v>3839</v>
      </c>
    </row>
    <row r="781" spans="1:15" s="373" customFormat="1" ht="37.5" x14ac:dyDescent="0.2">
      <c r="A781" s="32">
        <f>ROW()-ROW(สำนักงาน!$A$6)+1</f>
        <v>776</v>
      </c>
      <c r="B781" s="246" t="s">
        <v>2664</v>
      </c>
      <c r="C781" s="32" t="s">
        <v>2673</v>
      </c>
      <c r="D781" s="32" t="s">
        <v>2674</v>
      </c>
      <c r="E781" s="53" t="s">
        <v>2587</v>
      </c>
      <c r="F781" s="54">
        <v>2140</v>
      </c>
      <c r="G781" s="56" t="s">
        <v>2383</v>
      </c>
      <c r="H781" s="479" t="s">
        <v>4256</v>
      </c>
      <c r="I781" s="32"/>
      <c r="J781" s="32"/>
      <c r="K781" s="226"/>
      <c r="L781" s="226"/>
      <c r="M781" s="32"/>
      <c r="N781" s="285" t="s">
        <v>3837</v>
      </c>
    </row>
    <row r="782" spans="1:15" s="373" customFormat="1" ht="37.5" x14ac:dyDescent="0.2">
      <c r="A782" s="32">
        <f>ROW()-ROW(สำนักงาน!$A$6)+1</f>
        <v>777</v>
      </c>
      <c r="B782" s="246" t="s">
        <v>2664</v>
      </c>
      <c r="C782" s="32" t="s">
        <v>2675</v>
      </c>
      <c r="D782" s="32" t="s">
        <v>2676</v>
      </c>
      <c r="E782" s="53" t="s">
        <v>2587</v>
      </c>
      <c r="F782" s="54">
        <v>2140</v>
      </c>
      <c r="G782" s="56" t="s">
        <v>2383</v>
      </c>
      <c r="H782" s="479" t="s">
        <v>4256</v>
      </c>
      <c r="I782" s="32"/>
      <c r="J782" s="32"/>
      <c r="K782" s="226"/>
      <c r="L782" s="226"/>
      <c r="M782" s="32"/>
      <c r="N782" s="285" t="s">
        <v>3837</v>
      </c>
    </row>
    <row r="783" spans="1:15" s="373" customFormat="1" ht="37.5" x14ac:dyDescent="0.2">
      <c r="A783" s="32">
        <f>ROW()-ROW(สำนักงาน!$A$6)+1</f>
        <v>778</v>
      </c>
      <c r="B783" s="246" t="s">
        <v>2664</v>
      </c>
      <c r="C783" s="32" t="s">
        <v>2677</v>
      </c>
      <c r="D783" s="32" t="s">
        <v>2678</v>
      </c>
      <c r="E783" s="53" t="s">
        <v>2587</v>
      </c>
      <c r="F783" s="54">
        <v>2140</v>
      </c>
      <c r="G783" s="56" t="s">
        <v>2383</v>
      </c>
      <c r="H783" s="479" t="s">
        <v>4256</v>
      </c>
      <c r="I783" s="32"/>
      <c r="J783" s="32"/>
      <c r="K783" s="226"/>
      <c r="L783" s="226"/>
      <c r="M783" s="32"/>
      <c r="N783" s="285" t="s">
        <v>3859</v>
      </c>
    </row>
    <row r="784" spans="1:15" s="373" customFormat="1" ht="37.5" x14ac:dyDescent="0.2">
      <c r="A784" s="32">
        <f>ROW()-ROW(สำนักงาน!$A$6)+1</f>
        <v>779</v>
      </c>
      <c r="B784" s="246" t="s">
        <v>2664</v>
      </c>
      <c r="C784" s="32" t="s">
        <v>2679</v>
      </c>
      <c r="D784" s="32" t="s">
        <v>2680</v>
      </c>
      <c r="E784" s="53" t="s">
        <v>2587</v>
      </c>
      <c r="F784" s="54">
        <v>2140</v>
      </c>
      <c r="G784" s="56" t="s">
        <v>2383</v>
      </c>
      <c r="H784" s="479" t="s">
        <v>4256</v>
      </c>
      <c r="I784" s="32"/>
      <c r="J784" s="32"/>
      <c r="K784" s="226"/>
      <c r="L784" s="226"/>
      <c r="M784" s="32"/>
      <c r="N784" s="285" t="s">
        <v>3859</v>
      </c>
    </row>
    <row r="785" spans="1:14" s="373" customFormat="1" ht="37.5" x14ac:dyDescent="0.2">
      <c r="A785" s="32">
        <f>ROW()-ROW(สำนักงาน!$A$6)+1</f>
        <v>780</v>
      </c>
      <c r="B785" s="246" t="s">
        <v>2664</v>
      </c>
      <c r="C785" s="32" t="s">
        <v>2681</v>
      </c>
      <c r="D785" s="32" t="s">
        <v>2682</v>
      </c>
      <c r="E785" s="53" t="s">
        <v>2587</v>
      </c>
      <c r="F785" s="54">
        <v>2140</v>
      </c>
      <c r="G785" s="56" t="s">
        <v>2383</v>
      </c>
      <c r="H785" s="479" t="s">
        <v>4256</v>
      </c>
      <c r="I785" s="32"/>
      <c r="J785" s="32"/>
      <c r="K785" s="226"/>
      <c r="L785" s="226"/>
      <c r="M785" s="32"/>
      <c r="N785" s="285" t="s">
        <v>3844</v>
      </c>
    </row>
    <row r="786" spans="1:14" s="373" customFormat="1" ht="37.5" x14ac:dyDescent="0.2">
      <c r="A786" s="32">
        <f>ROW()-ROW(สำนักงาน!$A$6)+1</f>
        <v>781</v>
      </c>
      <c r="B786" s="246" t="s">
        <v>2664</v>
      </c>
      <c r="C786" s="32" t="s">
        <v>2683</v>
      </c>
      <c r="D786" s="32" t="s">
        <v>2684</v>
      </c>
      <c r="E786" s="53" t="s">
        <v>2587</v>
      </c>
      <c r="F786" s="54">
        <v>2140</v>
      </c>
      <c r="G786" s="56" t="s">
        <v>2383</v>
      </c>
      <c r="H786" s="479" t="s">
        <v>4256</v>
      </c>
      <c r="I786" s="32"/>
      <c r="J786" s="32"/>
      <c r="K786" s="226"/>
      <c r="L786" s="226"/>
      <c r="M786" s="32"/>
      <c r="N786" s="285" t="s">
        <v>3844</v>
      </c>
    </row>
    <row r="787" spans="1:14" s="373" customFormat="1" ht="37.5" x14ac:dyDescent="0.2">
      <c r="A787" s="32">
        <f>ROW()-ROW(สำนักงาน!$A$6)+1</f>
        <v>782</v>
      </c>
      <c r="B787" s="246" t="s">
        <v>2664</v>
      </c>
      <c r="C787" s="32" t="s">
        <v>2685</v>
      </c>
      <c r="D787" s="32" t="s">
        <v>2686</v>
      </c>
      <c r="E787" s="53" t="s">
        <v>2587</v>
      </c>
      <c r="F787" s="54">
        <v>2140</v>
      </c>
      <c r="G787" s="56" t="s">
        <v>2383</v>
      </c>
      <c r="H787" s="479" t="s">
        <v>4256</v>
      </c>
      <c r="I787" s="32"/>
      <c r="J787" s="32"/>
      <c r="K787" s="226"/>
      <c r="L787" s="226"/>
      <c r="M787" s="32"/>
      <c r="N787" s="285" t="s">
        <v>3844</v>
      </c>
    </row>
    <row r="788" spans="1:14" s="373" customFormat="1" ht="47.25" x14ac:dyDescent="0.2">
      <c r="A788" s="32">
        <f>ROW()-ROW(สำนักงาน!$A$6)+1</f>
        <v>783</v>
      </c>
      <c r="B788" s="246" t="s">
        <v>2664</v>
      </c>
      <c r="C788" s="32" t="s">
        <v>2687</v>
      </c>
      <c r="D788" s="32" t="s">
        <v>2688</v>
      </c>
      <c r="E788" s="53" t="s">
        <v>2587</v>
      </c>
      <c r="F788" s="54">
        <v>2140</v>
      </c>
      <c r="G788" s="56" t="s">
        <v>2383</v>
      </c>
      <c r="H788" s="479" t="s">
        <v>4256</v>
      </c>
      <c r="I788" s="32"/>
      <c r="J788" s="32"/>
      <c r="K788" s="226"/>
      <c r="L788" s="226"/>
      <c r="M788" s="32"/>
      <c r="N788" s="650" t="s">
        <v>3860</v>
      </c>
    </row>
    <row r="789" spans="1:14" s="373" customFormat="1" ht="37.5" x14ac:dyDescent="0.2">
      <c r="A789" s="32">
        <f>ROW()-ROW(สำนักงาน!$A$6)+1</f>
        <v>784</v>
      </c>
      <c r="B789" s="246" t="s">
        <v>2664</v>
      </c>
      <c r="C789" s="32" t="s">
        <v>2689</v>
      </c>
      <c r="D789" s="32" t="s">
        <v>2690</v>
      </c>
      <c r="E789" s="53" t="s">
        <v>2587</v>
      </c>
      <c r="F789" s="54">
        <v>2140</v>
      </c>
      <c r="G789" s="56" t="s">
        <v>2383</v>
      </c>
      <c r="H789" s="479" t="s">
        <v>4256</v>
      </c>
      <c r="I789" s="32"/>
      <c r="J789" s="32"/>
      <c r="K789" s="226"/>
      <c r="L789" s="226"/>
      <c r="M789" s="32"/>
      <c r="N789" s="285" t="s">
        <v>3861</v>
      </c>
    </row>
    <row r="790" spans="1:14" s="373" customFormat="1" ht="37.5" x14ac:dyDescent="0.2">
      <c r="A790" s="32">
        <f>ROW()-ROW(สำนักงาน!$A$6)+1</f>
        <v>785</v>
      </c>
      <c r="B790" s="246" t="s">
        <v>2664</v>
      </c>
      <c r="C790" s="32" t="s">
        <v>2691</v>
      </c>
      <c r="D790" s="32" t="s">
        <v>2692</v>
      </c>
      <c r="E790" s="53" t="s">
        <v>2587</v>
      </c>
      <c r="F790" s="54">
        <v>2140</v>
      </c>
      <c r="G790" s="56" t="s">
        <v>2383</v>
      </c>
      <c r="H790" s="479" t="s">
        <v>4256</v>
      </c>
      <c r="I790" s="32"/>
      <c r="J790" s="32"/>
      <c r="K790" s="226"/>
      <c r="L790" s="226"/>
      <c r="M790" s="32"/>
      <c r="N790" s="285" t="s">
        <v>3861</v>
      </c>
    </row>
    <row r="791" spans="1:14" s="373" customFormat="1" ht="37.5" x14ac:dyDescent="0.2">
      <c r="A791" s="32">
        <f>ROW()-ROW(สำนักงาน!$A$6)+1</f>
        <v>786</v>
      </c>
      <c r="B791" s="246" t="s">
        <v>2664</v>
      </c>
      <c r="C791" s="32" t="s">
        <v>2693</v>
      </c>
      <c r="D791" s="32" t="s">
        <v>2694</v>
      </c>
      <c r="E791" s="53" t="s">
        <v>2587</v>
      </c>
      <c r="F791" s="54">
        <v>2140</v>
      </c>
      <c r="G791" s="56" t="s">
        <v>2383</v>
      </c>
      <c r="H791" s="479" t="s">
        <v>4256</v>
      </c>
      <c r="I791" s="32"/>
      <c r="J791" s="32"/>
      <c r="K791" s="226"/>
      <c r="L791" s="226"/>
      <c r="M791" s="32"/>
      <c r="N791" s="285" t="s">
        <v>3861</v>
      </c>
    </row>
    <row r="792" spans="1:14" s="373" customFormat="1" ht="37.5" x14ac:dyDescent="0.2">
      <c r="A792" s="32">
        <f>ROW()-ROW(สำนักงาน!$A$6)+1</f>
        <v>787</v>
      </c>
      <c r="B792" s="246" t="s">
        <v>2664</v>
      </c>
      <c r="C792" s="32" t="s">
        <v>2695</v>
      </c>
      <c r="D792" s="32" t="s">
        <v>2696</v>
      </c>
      <c r="E792" s="53" t="s">
        <v>2587</v>
      </c>
      <c r="F792" s="54">
        <v>2140</v>
      </c>
      <c r="G792" s="56" t="s">
        <v>2383</v>
      </c>
      <c r="H792" s="479" t="s">
        <v>4256</v>
      </c>
      <c r="I792" s="32"/>
      <c r="J792" s="32"/>
      <c r="K792" s="226"/>
      <c r="L792" s="226"/>
      <c r="M792" s="32"/>
      <c r="N792" s="285" t="s">
        <v>3862</v>
      </c>
    </row>
    <row r="793" spans="1:14" s="373" customFormat="1" ht="37.5" x14ac:dyDescent="0.2">
      <c r="A793" s="32">
        <f>ROW()-ROW(สำนักงาน!$A$6)+1</f>
        <v>788</v>
      </c>
      <c r="B793" s="246" t="s">
        <v>2664</v>
      </c>
      <c r="C793" s="32" t="s">
        <v>2697</v>
      </c>
      <c r="D793" s="32" t="s">
        <v>2698</v>
      </c>
      <c r="E793" s="53" t="s">
        <v>2587</v>
      </c>
      <c r="F793" s="54">
        <v>2140</v>
      </c>
      <c r="G793" s="56" t="s">
        <v>2383</v>
      </c>
      <c r="H793" s="479" t="s">
        <v>4256</v>
      </c>
      <c r="I793" s="32"/>
      <c r="J793" s="32"/>
      <c r="K793" s="226"/>
      <c r="L793" s="226"/>
      <c r="M793" s="32"/>
      <c r="N793" s="285" t="s">
        <v>3862</v>
      </c>
    </row>
    <row r="794" spans="1:14" s="373" customFormat="1" ht="37.5" x14ac:dyDescent="0.2">
      <c r="A794" s="32">
        <f>ROW()-ROW(สำนักงาน!$A$6)+1</f>
        <v>789</v>
      </c>
      <c r="B794" s="246" t="s">
        <v>2664</v>
      </c>
      <c r="C794" s="32" t="s">
        <v>2699</v>
      </c>
      <c r="D794" s="32" t="s">
        <v>2700</v>
      </c>
      <c r="E794" s="53" t="s">
        <v>2587</v>
      </c>
      <c r="F794" s="54">
        <v>2140</v>
      </c>
      <c r="G794" s="56" t="s">
        <v>2383</v>
      </c>
      <c r="H794" s="479" t="s">
        <v>4256</v>
      </c>
      <c r="I794" s="32"/>
      <c r="J794" s="32"/>
      <c r="K794" s="226"/>
      <c r="L794" s="226"/>
      <c r="M794" s="32"/>
      <c r="N794" s="285" t="s">
        <v>3842</v>
      </c>
    </row>
    <row r="795" spans="1:14" s="373" customFormat="1" ht="37.5" x14ac:dyDescent="0.2">
      <c r="A795" s="32">
        <f>ROW()-ROW(สำนักงาน!$A$6)+1</f>
        <v>790</v>
      </c>
      <c r="B795" s="246" t="s">
        <v>2664</v>
      </c>
      <c r="C795" s="32" t="s">
        <v>2701</v>
      </c>
      <c r="D795" s="32" t="s">
        <v>2702</v>
      </c>
      <c r="E795" s="53" t="s">
        <v>2587</v>
      </c>
      <c r="F795" s="54">
        <v>2140</v>
      </c>
      <c r="G795" s="56" t="s">
        <v>2383</v>
      </c>
      <c r="H795" s="479" t="s">
        <v>4256</v>
      </c>
      <c r="I795" s="32"/>
      <c r="J795" s="32"/>
      <c r="K795" s="226"/>
      <c r="L795" s="226"/>
      <c r="M795" s="32"/>
      <c r="N795" s="285" t="s">
        <v>3863</v>
      </c>
    </row>
    <row r="796" spans="1:14" s="373" customFormat="1" ht="37.5" x14ac:dyDescent="0.2">
      <c r="A796" s="32">
        <f>ROW()-ROW(สำนักงาน!$A$6)+1</f>
        <v>791</v>
      </c>
      <c r="B796" s="246" t="s">
        <v>2664</v>
      </c>
      <c r="C796" s="32" t="s">
        <v>2703</v>
      </c>
      <c r="D796" s="32" t="s">
        <v>2704</v>
      </c>
      <c r="E796" s="53" t="s">
        <v>2587</v>
      </c>
      <c r="F796" s="54">
        <v>2140</v>
      </c>
      <c r="G796" s="56" t="s">
        <v>2383</v>
      </c>
      <c r="H796" s="479" t="s">
        <v>4256</v>
      </c>
      <c r="I796" s="32"/>
      <c r="J796" s="32"/>
      <c r="K796" s="226"/>
      <c r="L796" s="226"/>
      <c r="M796" s="32"/>
      <c r="N796" s="285" t="s">
        <v>3863</v>
      </c>
    </row>
    <row r="797" spans="1:14" s="373" customFormat="1" ht="37.5" x14ac:dyDescent="0.2">
      <c r="A797" s="32">
        <f>ROW()-ROW(สำนักงาน!$A$6)+1</f>
        <v>792</v>
      </c>
      <c r="B797" s="246" t="s">
        <v>2664</v>
      </c>
      <c r="C797" s="32" t="s">
        <v>2705</v>
      </c>
      <c r="D797" s="32" t="s">
        <v>2706</v>
      </c>
      <c r="E797" s="53" t="s">
        <v>2587</v>
      </c>
      <c r="F797" s="54">
        <v>2140</v>
      </c>
      <c r="G797" s="56" t="s">
        <v>2383</v>
      </c>
      <c r="H797" s="479" t="s">
        <v>4256</v>
      </c>
      <c r="I797" s="32"/>
      <c r="J797" s="32"/>
      <c r="K797" s="226"/>
      <c r="L797" s="226"/>
      <c r="M797" s="32"/>
      <c r="N797" s="285" t="s">
        <v>3856</v>
      </c>
    </row>
    <row r="798" spans="1:14" s="373" customFormat="1" ht="37.5" x14ac:dyDescent="0.2">
      <c r="A798" s="32">
        <f>ROW()-ROW(สำนักงาน!$A$6)+1</f>
        <v>793</v>
      </c>
      <c r="B798" s="246" t="s">
        <v>2664</v>
      </c>
      <c r="C798" s="32" t="s">
        <v>2707</v>
      </c>
      <c r="D798" s="32" t="s">
        <v>2708</v>
      </c>
      <c r="E798" s="53" t="s">
        <v>2587</v>
      </c>
      <c r="F798" s="54">
        <v>2140</v>
      </c>
      <c r="G798" s="56" t="s">
        <v>2383</v>
      </c>
      <c r="H798" s="479" t="s">
        <v>4256</v>
      </c>
      <c r="I798" s="32"/>
      <c r="J798" s="32"/>
      <c r="K798" s="226"/>
      <c r="L798" s="226"/>
      <c r="M798" s="32"/>
      <c r="N798" s="285" t="s">
        <v>3833</v>
      </c>
    </row>
    <row r="799" spans="1:14" s="373" customFormat="1" ht="37.5" x14ac:dyDescent="0.2">
      <c r="A799" s="32">
        <f>ROW()-ROW(สำนักงาน!$A$6)+1</f>
        <v>794</v>
      </c>
      <c r="B799" s="246" t="s">
        <v>2664</v>
      </c>
      <c r="C799" s="32" t="s">
        <v>2709</v>
      </c>
      <c r="D799" s="32" t="s">
        <v>2710</v>
      </c>
      <c r="E799" s="53" t="s">
        <v>2587</v>
      </c>
      <c r="F799" s="54">
        <v>2140</v>
      </c>
      <c r="G799" s="56" t="s">
        <v>2383</v>
      </c>
      <c r="H799" s="479" t="s">
        <v>4256</v>
      </c>
      <c r="I799" s="32"/>
      <c r="J799" s="32"/>
      <c r="K799" s="226"/>
      <c r="L799" s="226"/>
      <c r="M799" s="32"/>
      <c r="N799" s="285" t="s">
        <v>3833</v>
      </c>
    </row>
    <row r="800" spans="1:14" s="373" customFormat="1" ht="37.5" x14ac:dyDescent="0.2">
      <c r="A800" s="32">
        <f>ROW()-ROW(สำนักงาน!$A$6)+1</f>
        <v>795</v>
      </c>
      <c r="B800" s="246" t="s">
        <v>2664</v>
      </c>
      <c r="C800" s="32" t="s">
        <v>2711</v>
      </c>
      <c r="D800" s="32" t="s">
        <v>2712</v>
      </c>
      <c r="E800" s="53" t="s">
        <v>2587</v>
      </c>
      <c r="F800" s="54">
        <v>2140</v>
      </c>
      <c r="G800" s="56" t="s">
        <v>2383</v>
      </c>
      <c r="H800" s="479" t="s">
        <v>4256</v>
      </c>
      <c r="I800" s="32"/>
      <c r="J800" s="32"/>
      <c r="K800" s="226"/>
      <c r="L800" s="226"/>
      <c r="M800" s="32"/>
      <c r="N800" s="285" t="s">
        <v>3863</v>
      </c>
    </row>
    <row r="801" spans="1:14" s="373" customFormat="1" ht="37.5" x14ac:dyDescent="0.2">
      <c r="A801" s="32">
        <f>ROW()-ROW(สำนักงาน!$A$6)+1</f>
        <v>796</v>
      </c>
      <c r="B801" s="246" t="s">
        <v>2664</v>
      </c>
      <c r="C801" s="32" t="s">
        <v>2713</v>
      </c>
      <c r="D801" s="32" t="s">
        <v>2714</v>
      </c>
      <c r="E801" s="53" t="s">
        <v>2587</v>
      </c>
      <c r="F801" s="54">
        <v>2140</v>
      </c>
      <c r="G801" s="56" t="s">
        <v>2383</v>
      </c>
      <c r="H801" s="479" t="s">
        <v>4256</v>
      </c>
      <c r="I801" s="32"/>
      <c r="J801" s="32"/>
      <c r="K801" s="226"/>
      <c r="L801" s="226"/>
      <c r="M801" s="32"/>
      <c r="N801" s="285" t="s">
        <v>3863</v>
      </c>
    </row>
    <row r="802" spans="1:14" s="373" customFormat="1" ht="37.5" x14ac:dyDescent="0.2">
      <c r="A802" s="32">
        <f>ROW()-ROW(สำนักงาน!$A$6)+1</f>
        <v>797</v>
      </c>
      <c r="B802" s="246" t="s">
        <v>2664</v>
      </c>
      <c r="C802" s="32" t="s">
        <v>2715</v>
      </c>
      <c r="D802" s="32" t="s">
        <v>2716</v>
      </c>
      <c r="E802" s="53" t="s">
        <v>2587</v>
      </c>
      <c r="F802" s="54">
        <v>2140</v>
      </c>
      <c r="G802" s="56" t="s">
        <v>2383</v>
      </c>
      <c r="H802" s="479" t="s">
        <v>4256</v>
      </c>
      <c r="I802" s="32"/>
      <c r="J802" s="32"/>
      <c r="K802" s="226"/>
      <c r="L802" s="226"/>
      <c r="M802" s="32"/>
      <c r="N802" s="285" t="s">
        <v>3863</v>
      </c>
    </row>
    <row r="803" spans="1:14" s="373" customFormat="1" ht="37.5" x14ac:dyDescent="0.2">
      <c r="A803" s="32">
        <f>ROW()-ROW(สำนักงาน!$A$6)+1</f>
        <v>798</v>
      </c>
      <c r="B803" s="246" t="s">
        <v>2664</v>
      </c>
      <c r="C803" s="32" t="s">
        <v>2717</v>
      </c>
      <c r="D803" s="32" t="s">
        <v>2718</v>
      </c>
      <c r="E803" s="53" t="s">
        <v>2587</v>
      </c>
      <c r="F803" s="54">
        <v>2140</v>
      </c>
      <c r="G803" s="56" t="s">
        <v>2383</v>
      </c>
      <c r="H803" s="479" t="s">
        <v>4256</v>
      </c>
      <c r="I803" s="32"/>
      <c r="J803" s="32"/>
      <c r="K803" s="226"/>
      <c r="L803" s="226"/>
      <c r="M803" s="32"/>
      <c r="N803" s="285" t="s">
        <v>3836</v>
      </c>
    </row>
    <row r="804" spans="1:14" s="373" customFormat="1" ht="37.5" x14ac:dyDescent="0.2">
      <c r="A804" s="32">
        <f>ROW()-ROW(สำนักงาน!$A$6)+1</f>
        <v>799</v>
      </c>
      <c r="B804" s="246" t="s">
        <v>2664</v>
      </c>
      <c r="C804" s="32" t="s">
        <v>2719</v>
      </c>
      <c r="D804" s="32" t="s">
        <v>2720</v>
      </c>
      <c r="E804" s="53" t="s">
        <v>2587</v>
      </c>
      <c r="F804" s="54">
        <v>2140</v>
      </c>
      <c r="G804" s="56" t="s">
        <v>2383</v>
      </c>
      <c r="H804" s="479" t="s">
        <v>4256</v>
      </c>
      <c r="I804" s="32"/>
      <c r="J804" s="32"/>
      <c r="K804" s="226"/>
      <c r="L804" s="226"/>
      <c r="M804" s="32"/>
      <c r="N804" s="285" t="s">
        <v>3841</v>
      </c>
    </row>
    <row r="805" spans="1:14" s="373" customFormat="1" ht="37.5" x14ac:dyDescent="0.2">
      <c r="A805" s="32">
        <f>ROW()-ROW(สำนักงาน!$A$6)+1</f>
        <v>800</v>
      </c>
      <c r="B805" s="246" t="s">
        <v>2664</v>
      </c>
      <c r="C805" s="32" t="s">
        <v>2721</v>
      </c>
      <c r="D805" s="32" t="s">
        <v>2722</v>
      </c>
      <c r="E805" s="53" t="s">
        <v>2587</v>
      </c>
      <c r="F805" s="54">
        <v>2140</v>
      </c>
      <c r="G805" s="56" t="s">
        <v>2383</v>
      </c>
      <c r="H805" s="479" t="s">
        <v>4256</v>
      </c>
      <c r="I805" s="32"/>
      <c r="J805" s="32"/>
      <c r="K805" s="226"/>
      <c r="L805" s="226"/>
      <c r="M805" s="32"/>
      <c r="N805" s="285" t="s">
        <v>3857</v>
      </c>
    </row>
    <row r="806" spans="1:14" s="373" customFormat="1" ht="37.5" x14ac:dyDescent="0.2">
      <c r="A806" s="32">
        <f>ROW()-ROW(สำนักงาน!$A$6)+1</f>
        <v>801</v>
      </c>
      <c r="B806" s="246" t="s">
        <v>2664</v>
      </c>
      <c r="C806" s="32" t="s">
        <v>2723</v>
      </c>
      <c r="D806" s="32" t="s">
        <v>2724</v>
      </c>
      <c r="E806" s="53" t="s">
        <v>2587</v>
      </c>
      <c r="F806" s="54">
        <v>2140</v>
      </c>
      <c r="G806" s="56" t="s">
        <v>2383</v>
      </c>
      <c r="H806" s="479" t="s">
        <v>4256</v>
      </c>
      <c r="I806" s="32"/>
      <c r="J806" s="32"/>
      <c r="K806" s="226"/>
      <c r="L806" s="226"/>
      <c r="M806" s="32"/>
      <c r="N806" s="285" t="s">
        <v>3864</v>
      </c>
    </row>
    <row r="807" spans="1:14" s="373" customFormat="1" ht="37.5" x14ac:dyDescent="0.2">
      <c r="A807" s="32">
        <f>ROW()-ROW(สำนักงาน!$A$6)+1</f>
        <v>802</v>
      </c>
      <c r="B807" s="246" t="s">
        <v>2664</v>
      </c>
      <c r="C807" s="32" t="s">
        <v>2725</v>
      </c>
      <c r="D807" s="32" t="s">
        <v>2726</v>
      </c>
      <c r="E807" s="53" t="s">
        <v>2587</v>
      </c>
      <c r="F807" s="54">
        <v>2140</v>
      </c>
      <c r="G807" s="56" t="s">
        <v>2383</v>
      </c>
      <c r="H807" s="479" t="s">
        <v>4256</v>
      </c>
      <c r="I807" s="32"/>
      <c r="J807" s="32"/>
      <c r="K807" s="226"/>
      <c r="L807" s="226"/>
      <c r="M807" s="32"/>
      <c r="N807" s="285" t="s">
        <v>3834</v>
      </c>
    </row>
    <row r="808" spans="1:14" s="373" customFormat="1" ht="37.5" x14ac:dyDescent="0.2">
      <c r="A808" s="32">
        <f>ROW()-ROW(สำนักงาน!$A$6)+1</f>
        <v>803</v>
      </c>
      <c r="B808" s="246" t="s">
        <v>2664</v>
      </c>
      <c r="C808" s="32" t="s">
        <v>2727</v>
      </c>
      <c r="D808" s="32" t="s">
        <v>2728</v>
      </c>
      <c r="E808" s="53" t="s">
        <v>2587</v>
      </c>
      <c r="F808" s="54">
        <v>2140</v>
      </c>
      <c r="G808" s="56" t="s">
        <v>2383</v>
      </c>
      <c r="H808" s="479" t="s">
        <v>4256</v>
      </c>
      <c r="I808" s="32"/>
      <c r="J808" s="32"/>
      <c r="K808" s="226"/>
      <c r="L808" s="226"/>
      <c r="M808" s="32"/>
      <c r="N808" s="285" t="s">
        <v>3865</v>
      </c>
    </row>
    <row r="809" spans="1:14" s="373" customFormat="1" ht="37.5" x14ac:dyDescent="0.2">
      <c r="A809" s="32">
        <f>ROW()-ROW(สำนักงาน!$A$6)+1</f>
        <v>804</v>
      </c>
      <c r="B809" s="246" t="s">
        <v>2664</v>
      </c>
      <c r="C809" s="32" t="s">
        <v>2729</v>
      </c>
      <c r="D809" s="32" t="s">
        <v>2730</v>
      </c>
      <c r="E809" s="53" t="s">
        <v>2587</v>
      </c>
      <c r="F809" s="54">
        <v>2140</v>
      </c>
      <c r="G809" s="56" t="s">
        <v>2383</v>
      </c>
      <c r="H809" s="479" t="s">
        <v>4256</v>
      </c>
      <c r="I809" s="32"/>
      <c r="J809" s="32"/>
      <c r="K809" s="226"/>
      <c r="L809" s="226"/>
      <c r="M809" s="32"/>
      <c r="N809" s="285" t="s">
        <v>3835</v>
      </c>
    </row>
    <row r="810" spans="1:14" s="373" customFormat="1" ht="37.5" x14ac:dyDescent="0.2">
      <c r="A810" s="32">
        <f>ROW()-ROW(สำนักงาน!$A$6)+1</f>
        <v>805</v>
      </c>
      <c r="B810" s="246" t="s">
        <v>2664</v>
      </c>
      <c r="C810" s="32" t="s">
        <v>2731</v>
      </c>
      <c r="D810" s="32" t="s">
        <v>2732</v>
      </c>
      <c r="E810" s="53" t="s">
        <v>2587</v>
      </c>
      <c r="F810" s="54">
        <v>2140</v>
      </c>
      <c r="G810" s="56" t="s">
        <v>2383</v>
      </c>
      <c r="H810" s="479" t="s">
        <v>4256</v>
      </c>
      <c r="I810" s="32"/>
      <c r="J810" s="32"/>
      <c r="K810" s="226"/>
      <c r="L810" s="226"/>
      <c r="M810" s="32"/>
      <c r="N810" s="285" t="s">
        <v>4523</v>
      </c>
    </row>
    <row r="811" spans="1:14" s="401" customFormat="1" ht="21" x14ac:dyDescent="0.2">
      <c r="A811" s="32">
        <f>ROW()-ROW(สำนักงาน!$A$6)+1</f>
        <v>806</v>
      </c>
      <c r="B811" s="79" t="s">
        <v>1493</v>
      </c>
      <c r="C811" s="32" t="s">
        <v>1494</v>
      </c>
      <c r="D811" s="32" t="s">
        <v>1495</v>
      </c>
      <c r="E811" s="53" t="s">
        <v>1496</v>
      </c>
      <c r="F811" s="54">
        <v>5350</v>
      </c>
      <c r="G811" s="32" t="s">
        <v>21</v>
      </c>
      <c r="H811" s="32" t="s">
        <v>4256</v>
      </c>
      <c r="I811" s="32"/>
      <c r="J811" s="32"/>
      <c r="K811" s="32"/>
      <c r="L811" s="32"/>
      <c r="M811" s="32"/>
      <c r="N811" s="331" t="s">
        <v>4229</v>
      </c>
    </row>
    <row r="812" spans="1:14" s="401" customFormat="1" ht="21" x14ac:dyDescent="0.2">
      <c r="A812" s="32">
        <f>ROW()-ROW(สำนักงาน!$A$6)+1</f>
        <v>807</v>
      </c>
      <c r="B812" s="79" t="s">
        <v>1493</v>
      </c>
      <c r="C812" s="32" t="s">
        <v>1497</v>
      </c>
      <c r="D812" s="32" t="s">
        <v>1498</v>
      </c>
      <c r="E812" s="53" t="s">
        <v>1496</v>
      </c>
      <c r="F812" s="54">
        <v>5350</v>
      </c>
      <c r="G812" s="32" t="s">
        <v>21</v>
      </c>
      <c r="H812" s="32" t="s">
        <v>4256</v>
      </c>
      <c r="I812" s="32"/>
      <c r="J812" s="32"/>
      <c r="K812" s="32"/>
      <c r="L812" s="32"/>
      <c r="M812" s="32"/>
      <c r="N812" s="331" t="s">
        <v>4230</v>
      </c>
    </row>
    <row r="813" spans="1:14" s="401" customFormat="1" ht="21" x14ac:dyDescent="0.2">
      <c r="A813" s="32">
        <f>ROW()-ROW(สำนักงาน!$A$6)+1</f>
        <v>808</v>
      </c>
      <c r="B813" s="79" t="s">
        <v>1493</v>
      </c>
      <c r="C813" s="32" t="s">
        <v>1499</v>
      </c>
      <c r="D813" s="32" t="s">
        <v>1500</v>
      </c>
      <c r="E813" s="53" t="s">
        <v>1496</v>
      </c>
      <c r="F813" s="54">
        <v>5350</v>
      </c>
      <c r="G813" s="32" t="s">
        <v>21</v>
      </c>
      <c r="H813" s="32" t="s">
        <v>4256</v>
      </c>
      <c r="I813" s="32"/>
      <c r="J813" s="32"/>
      <c r="K813" s="32"/>
      <c r="L813" s="32"/>
      <c r="M813" s="32"/>
      <c r="N813" s="331" t="s">
        <v>4231</v>
      </c>
    </row>
    <row r="814" spans="1:14" s="401" customFormat="1" ht="21" x14ac:dyDescent="0.2">
      <c r="A814" s="32">
        <f>ROW()-ROW(สำนักงาน!$A$6)+1</f>
        <v>809</v>
      </c>
      <c r="B814" s="79" t="s">
        <v>1493</v>
      </c>
      <c r="C814" s="32" t="s">
        <v>1501</v>
      </c>
      <c r="D814" s="32" t="s">
        <v>1502</v>
      </c>
      <c r="E814" s="53" t="s">
        <v>1496</v>
      </c>
      <c r="F814" s="54">
        <v>5350</v>
      </c>
      <c r="G814" s="32" t="s">
        <v>21</v>
      </c>
      <c r="H814" s="32" t="s">
        <v>4256</v>
      </c>
      <c r="I814" s="32"/>
      <c r="J814" s="32"/>
      <c r="K814" s="32"/>
      <c r="L814" s="32"/>
      <c r="M814" s="32"/>
      <c r="N814" s="331" t="s">
        <v>4232</v>
      </c>
    </row>
    <row r="815" spans="1:14" s="401" customFormat="1" ht="21" x14ac:dyDescent="0.2">
      <c r="A815" s="32">
        <f>ROW()-ROW(สำนักงาน!$A$6)+1</f>
        <v>810</v>
      </c>
      <c r="B815" s="79" t="s">
        <v>1493</v>
      </c>
      <c r="C815" s="32" t="s">
        <v>1503</v>
      </c>
      <c r="D815" s="32" t="s">
        <v>1504</v>
      </c>
      <c r="E815" s="53" t="s">
        <v>1496</v>
      </c>
      <c r="F815" s="54">
        <v>5350</v>
      </c>
      <c r="G815" s="32" t="s">
        <v>21</v>
      </c>
      <c r="H815" s="32" t="s">
        <v>4256</v>
      </c>
      <c r="I815" s="32"/>
      <c r="J815" s="32"/>
      <c r="K815" s="32"/>
      <c r="L815" s="32"/>
      <c r="M815" s="32"/>
      <c r="N815" s="331" t="s">
        <v>4233</v>
      </c>
    </row>
    <row r="816" spans="1:14" s="401" customFormat="1" ht="21" x14ac:dyDescent="0.2">
      <c r="A816" s="32">
        <f>ROW()-ROW(สำนักงาน!$A$6)+1</f>
        <v>811</v>
      </c>
      <c r="B816" s="79" t="s">
        <v>1493</v>
      </c>
      <c r="C816" s="32" t="s">
        <v>1505</v>
      </c>
      <c r="D816" s="32" t="s">
        <v>1506</v>
      </c>
      <c r="E816" s="53" t="s">
        <v>1496</v>
      </c>
      <c r="F816" s="54">
        <v>5350</v>
      </c>
      <c r="G816" s="32" t="s">
        <v>21</v>
      </c>
      <c r="H816" s="32" t="s">
        <v>4256</v>
      </c>
      <c r="I816" s="32"/>
      <c r="J816" s="32"/>
      <c r="K816" s="32"/>
      <c r="L816" s="32"/>
      <c r="M816" s="32"/>
      <c r="N816" s="331" t="s">
        <v>4234</v>
      </c>
    </row>
    <row r="817" spans="1:14" s="401" customFormat="1" ht="21" x14ac:dyDescent="0.2">
      <c r="A817" s="32">
        <f>ROW()-ROW(สำนักงาน!$A$6)+1</f>
        <v>812</v>
      </c>
      <c r="B817" s="79" t="s">
        <v>1493</v>
      </c>
      <c r="C817" s="32" t="s">
        <v>1507</v>
      </c>
      <c r="D817" s="32" t="s">
        <v>1508</v>
      </c>
      <c r="E817" s="53" t="s">
        <v>1496</v>
      </c>
      <c r="F817" s="54">
        <v>5350</v>
      </c>
      <c r="G817" s="32" t="s">
        <v>21</v>
      </c>
      <c r="H817" s="32" t="s">
        <v>4256</v>
      </c>
      <c r="I817" s="32"/>
      <c r="J817" s="32"/>
      <c r="K817" s="32"/>
      <c r="L817" s="32"/>
      <c r="M817" s="32"/>
      <c r="N817" s="331" t="s">
        <v>4235</v>
      </c>
    </row>
    <row r="818" spans="1:14" s="401" customFormat="1" ht="21" x14ac:dyDescent="0.2">
      <c r="A818" s="32">
        <f>ROW()-ROW(สำนักงาน!$A$6)+1</f>
        <v>813</v>
      </c>
      <c r="B818" s="79" t="s">
        <v>1493</v>
      </c>
      <c r="C818" s="32" t="s">
        <v>1509</v>
      </c>
      <c r="D818" s="32" t="s">
        <v>1510</v>
      </c>
      <c r="E818" s="53" t="s">
        <v>1496</v>
      </c>
      <c r="F818" s="54">
        <v>5350</v>
      </c>
      <c r="G818" s="32" t="s">
        <v>21</v>
      </c>
      <c r="H818" s="32" t="s">
        <v>4256</v>
      </c>
      <c r="I818" s="32"/>
      <c r="J818" s="32"/>
      <c r="K818" s="32"/>
      <c r="L818" s="32"/>
      <c r="M818" s="32"/>
      <c r="N818" s="331" t="s">
        <v>4236</v>
      </c>
    </row>
    <row r="819" spans="1:14" s="401" customFormat="1" ht="21" x14ac:dyDescent="0.2">
      <c r="A819" s="32">
        <f>ROW()-ROW(สำนักงาน!$A$6)+1</f>
        <v>814</v>
      </c>
      <c r="B819" s="79" t="s">
        <v>1493</v>
      </c>
      <c r="C819" s="32" t="s">
        <v>1511</v>
      </c>
      <c r="D819" s="32" t="s">
        <v>1512</v>
      </c>
      <c r="E819" s="53" t="s">
        <v>1496</v>
      </c>
      <c r="F819" s="54">
        <v>5350</v>
      </c>
      <c r="G819" s="32" t="s">
        <v>21</v>
      </c>
      <c r="H819" s="32" t="s">
        <v>4256</v>
      </c>
      <c r="I819" s="32"/>
      <c r="J819" s="32"/>
      <c r="K819" s="32"/>
      <c r="L819" s="32"/>
      <c r="M819" s="32"/>
      <c r="N819" s="331" t="s">
        <v>4237</v>
      </c>
    </row>
    <row r="820" spans="1:14" s="401" customFormat="1" ht="21" x14ac:dyDescent="0.2">
      <c r="A820" s="32">
        <f>ROW()-ROW(สำนักงาน!$A$6)+1</f>
        <v>815</v>
      </c>
      <c r="B820" s="79" t="s">
        <v>1493</v>
      </c>
      <c r="C820" s="32" t="s">
        <v>1513</v>
      </c>
      <c r="D820" s="32" t="s">
        <v>1514</v>
      </c>
      <c r="E820" s="53" t="s">
        <v>1496</v>
      </c>
      <c r="F820" s="54">
        <v>5350</v>
      </c>
      <c r="G820" s="32" t="s">
        <v>21</v>
      </c>
      <c r="H820" s="32" t="s">
        <v>4256</v>
      </c>
      <c r="I820" s="32"/>
      <c r="J820" s="32"/>
      <c r="K820" s="32"/>
      <c r="L820" s="32"/>
      <c r="M820" s="32"/>
      <c r="N820" s="331" t="s">
        <v>4238</v>
      </c>
    </row>
    <row r="821" spans="1:14" s="401" customFormat="1" ht="21" x14ac:dyDescent="0.2">
      <c r="A821" s="32">
        <f>ROW()-ROW(สำนักงาน!$A$6)+1</f>
        <v>816</v>
      </c>
      <c r="B821" s="79" t="s">
        <v>1493</v>
      </c>
      <c r="C821" s="32" t="s">
        <v>1515</v>
      </c>
      <c r="D821" s="32" t="s">
        <v>1516</v>
      </c>
      <c r="E821" s="53" t="s">
        <v>1496</v>
      </c>
      <c r="F821" s="54">
        <v>5350</v>
      </c>
      <c r="G821" s="32" t="s">
        <v>21</v>
      </c>
      <c r="H821" s="32" t="s">
        <v>4256</v>
      </c>
      <c r="I821" s="32"/>
      <c r="J821" s="32"/>
      <c r="K821" s="32"/>
      <c r="L821" s="32"/>
      <c r="M821" s="32"/>
      <c r="N821" s="331" t="s">
        <v>4239</v>
      </c>
    </row>
    <row r="822" spans="1:14" s="401" customFormat="1" ht="21" x14ac:dyDescent="0.2">
      <c r="A822" s="32">
        <f>ROW()-ROW(สำนักงาน!$A$6)+1</f>
        <v>817</v>
      </c>
      <c r="B822" s="79" t="s">
        <v>1493</v>
      </c>
      <c r="C822" s="32" t="s">
        <v>1517</v>
      </c>
      <c r="D822" s="32" t="s">
        <v>1518</v>
      </c>
      <c r="E822" s="53" t="s">
        <v>1496</v>
      </c>
      <c r="F822" s="54">
        <v>5350</v>
      </c>
      <c r="G822" s="32" t="s">
        <v>21</v>
      </c>
      <c r="H822" s="32" t="s">
        <v>4256</v>
      </c>
      <c r="I822" s="32"/>
      <c r="J822" s="32"/>
      <c r="K822" s="32"/>
      <c r="L822" s="32"/>
      <c r="M822" s="32"/>
      <c r="N822" s="331" t="s">
        <v>4240</v>
      </c>
    </row>
    <row r="823" spans="1:14" s="401" customFormat="1" ht="21" x14ac:dyDescent="0.2">
      <c r="A823" s="32">
        <f>ROW()-ROW(สำนักงาน!$A$6)+1</f>
        <v>818</v>
      </c>
      <c r="B823" s="79" t="s">
        <v>1493</v>
      </c>
      <c r="C823" s="32" t="s">
        <v>1519</v>
      </c>
      <c r="D823" s="32" t="s">
        <v>1520</v>
      </c>
      <c r="E823" s="53" t="s">
        <v>1496</v>
      </c>
      <c r="F823" s="54">
        <v>5350</v>
      </c>
      <c r="G823" s="32" t="s">
        <v>21</v>
      </c>
      <c r="H823" s="32" t="s">
        <v>4256</v>
      </c>
      <c r="I823" s="32"/>
      <c r="J823" s="32"/>
      <c r="K823" s="32"/>
      <c r="L823" s="32"/>
      <c r="M823" s="32"/>
      <c r="N823" s="331" t="s">
        <v>4241</v>
      </c>
    </row>
    <row r="824" spans="1:14" s="401" customFormat="1" ht="21" x14ac:dyDescent="0.2">
      <c r="A824" s="32">
        <f>ROW()-ROW(สำนักงาน!$A$6)+1</f>
        <v>819</v>
      </c>
      <c r="B824" s="79" t="s">
        <v>1493</v>
      </c>
      <c r="C824" s="32" t="s">
        <v>1521</v>
      </c>
      <c r="D824" s="32" t="s">
        <v>1522</v>
      </c>
      <c r="E824" s="53" t="s">
        <v>1496</v>
      </c>
      <c r="F824" s="54">
        <v>5350</v>
      </c>
      <c r="G824" s="32" t="s">
        <v>21</v>
      </c>
      <c r="H824" s="32" t="s">
        <v>4256</v>
      </c>
      <c r="I824" s="32"/>
      <c r="J824" s="32"/>
      <c r="K824" s="32"/>
      <c r="L824" s="32"/>
      <c r="M824" s="32"/>
      <c r="N824" s="331" t="s">
        <v>4242</v>
      </c>
    </row>
    <row r="825" spans="1:14" s="401" customFormat="1" ht="21" x14ac:dyDescent="0.2">
      <c r="A825" s="32">
        <f>ROW()-ROW(สำนักงาน!$A$6)+1</f>
        <v>820</v>
      </c>
      <c r="B825" s="79" t="s">
        <v>1493</v>
      </c>
      <c r="C825" s="32" t="s">
        <v>1523</v>
      </c>
      <c r="D825" s="32" t="s">
        <v>1524</v>
      </c>
      <c r="E825" s="53" t="s">
        <v>1496</v>
      </c>
      <c r="F825" s="54">
        <v>5350</v>
      </c>
      <c r="G825" s="32" t="s">
        <v>21</v>
      </c>
      <c r="H825" s="32" t="s">
        <v>4256</v>
      </c>
      <c r="I825" s="32"/>
      <c r="J825" s="32"/>
      <c r="K825" s="32"/>
      <c r="L825" s="32"/>
      <c r="M825" s="32"/>
      <c r="N825" s="331" t="s">
        <v>4243</v>
      </c>
    </row>
    <row r="826" spans="1:14" s="401" customFormat="1" ht="21" x14ac:dyDescent="0.2">
      <c r="A826" s="32">
        <f>ROW()-ROW(สำนักงาน!$A$6)+1</f>
        <v>821</v>
      </c>
      <c r="B826" s="79" t="s">
        <v>1493</v>
      </c>
      <c r="C826" s="32" t="s">
        <v>1525</v>
      </c>
      <c r="D826" s="32" t="s">
        <v>1526</v>
      </c>
      <c r="E826" s="53" t="s">
        <v>1496</v>
      </c>
      <c r="F826" s="54">
        <v>5350</v>
      </c>
      <c r="G826" s="32" t="s">
        <v>21</v>
      </c>
      <c r="H826" s="32" t="s">
        <v>4256</v>
      </c>
      <c r="I826" s="32"/>
      <c r="J826" s="32"/>
      <c r="K826" s="32"/>
      <c r="L826" s="32"/>
      <c r="M826" s="32"/>
      <c r="N826" s="331" t="s">
        <v>4244</v>
      </c>
    </row>
    <row r="827" spans="1:14" s="401" customFormat="1" ht="21" x14ac:dyDescent="0.2">
      <c r="A827" s="32">
        <f>ROW()-ROW(สำนักงาน!$A$6)+1</f>
        <v>822</v>
      </c>
      <c r="B827" s="79" t="s">
        <v>1493</v>
      </c>
      <c r="C827" s="32" t="s">
        <v>1527</v>
      </c>
      <c r="D827" s="32" t="s">
        <v>1528</v>
      </c>
      <c r="E827" s="53" t="s">
        <v>1496</v>
      </c>
      <c r="F827" s="54">
        <v>5350</v>
      </c>
      <c r="G827" s="32" t="s">
        <v>21</v>
      </c>
      <c r="H827" s="32" t="s">
        <v>4256</v>
      </c>
      <c r="I827" s="32"/>
      <c r="J827" s="32"/>
      <c r="K827" s="32"/>
      <c r="L827" s="32"/>
      <c r="M827" s="32"/>
      <c r="N827" s="331" t="s">
        <v>4245</v>
      </c>
    </row>
    <row r="828" spans="1:14" s="401" customFormat="1" ht="21" x14ac:dyDescent="0.2">
      <c r="A828" s="32">
        <f>ROW()-ROW(สำนักงาน!$A$6)+1</f>
        <v>823</v>
      </c>
      <c r="B828" s="79" t="s">
        <v>1493</v>
      </c>
      <c r="C828" s="32" t="s">
        <v>1529</v>
      </c>
      <c r="D828" s="32" t="s">
        <v>1530</v>
      </c>
      <c r="E828" s="53" t="s">
        <v>1496</v>
      </c>
      <c r="F828" s="54">
        <v>5350</v>
      </c>
      <c r="G828" s="32" t="s">
        <v>21</v>
      </c>
      <c r="H828" s="32" t="s">
        <v>4256</v>
      </c>
      <c r="I828" s="32"/>
      <c r="J828" s="32"/>
      <c r="K828" s="32"/>
      <c r="L828" s="32"/>
      <c r="M828" s="32"/>
      <c r="N828" s="331" t="s">
        <v>4246</v>
      </c>
    </row>
    <row r="829" spans="1:14" s="401" customFormat="1" ht="21" x14ac:dyDescent="0.2">
      <c r="A829" s="32">
        <f>ROW()-ROW(สำนักงาน!$A$6)+1</f>
        <v>824</v>
      </c>
      <c r="B829" s="79" t="s">
        <v>1493</v>
      </c>
      <c r="C829" s="32" t="s">
        <v>1531</v>
      </c>
      <c r="D829" s="32" t="s">
        <v>1532</v>
      </c>
      <c r="E829" s="53" t="s">
        <v>1496</v>
      </c>
      <c r="F829" s="54">
        <v>5350</v>
      </c>
      <c r="G829" s="32" t="s">
        <v>21</v>
      </c>
      <c r="H829" s="32" t="s">
        <v>4256</v>
      </c>
      <c r="I829" s="32"/>
      <c r="J829" s="32"/>
      <c r="K829" s="32"/>
      <c r="L829" s="32"/>
      <c r="M829" s="32"/>
      <c r="N829" s="331" t="s">
        <v>4247</v>
      </c>
    </row>
    <row r="830" spans="1:14" s="401" customFormat="1" ht="21" x14ac:dyDescent="0.2">
      <c r="A830" s="32">
        <f>ROW()-ROW(สำนักงาน!$A$6)+1</f>
        <v>825</v>
      </c>
      <c r="B830" s="79" t="s">
        <v>1493</v>
      </c>
      <c r="C830" s="32" t="s">
        <v>1533</v>
      </c>
      <c r="D830" s="32" t="s">
        <v>1534</v>
      </c>
      <c r="E830" s="53" t="s">
        <v>1496</v>
      </c>
      <c r="F830" s="54">
        <v>5350</v>
      </c>
      <c r="G830" s="32" t="s">
        <v>21</v>
      </c>
      <c r="H830" s="32" t="s">
        <v>4256</v>
      </c>
      <c r="I830" s="32"/>
      <c r="J830" s="32"/>
      <c r="K830" s="32"/>
      <c r="L830" s="32"/>
      <c r="M830" s="32"/>
      <c r="N830" s="331" t="s">
        <v>4248</v>
      </c>
    </row>
    <row r="831" spans="1:14" s="373" customFormat="1" ht="18.75" x14ac:dyDescent="0.2">
      <c r="A831" s="32">
        <f>ROW()-ROW(สำนักงาน!$A$6)+1</f>
        <v>826</v>
      </c>
      <c r="B831" s="55" t="s">
        <v>3630</v>
      </c>
      <c r="C831" s="298" t="s">
        <v>3631</v>
      </c>
      <c r="D831" s="13" t="s">
        <v>3632</v>
      </c>
      <c r="E831" s="53" t="s">
        <v>3420</v>
      </c>
      <c r="F831" s="31">
        <v>1100</v>
      </c>
      <c r="G831" s="32" t="s">
        <v>2378</v>
      </c>
      <c r="H831" s="479" t="s">
        <v>4256</v>
      </c>
      <c r="I831" s="32"/>
      <c r="J831" s="32"/>
      <c r="K831" s="32"/>
      <c r="L831" s="32"/>
      <c r="M831" s="32"/>
      <c r="N831" s="285" t="s">
        <v>3881</v>
      </c>
    </row>
    <row r="832" spans="1:14" s="373" customFormat="1" ht="18.75" x14ac:dyDescent="0.2">
      <c r="A832" s="32">
        <f>ROW()-ROW(สำนักงาน!$A$6)+1</f>
        <v>827</v>
      </c>
      <c r="B832" s="55" t="s">
        <v>3630</v>
      </c>
      <c r="C832" s="298" t="s">
        <v>3633</v>
      </c>
      <c r="D832" s="13" t="s">
        <v>3634</v>
      </c>
      <c r="E832" s="53" t="s">
        <v>3420</v>
      </c>
      <c r="F832" s="31">
        <v>1100</v>
      </c>
      <c r="G832" s="32" t="s">
        <v>2378</v>
      </c>
      <c r="H832" s="479" t="s">
        <v>4256</v>
      </c>
      <c r="I832" s="32"/>
      <c r="J832" s="32"/>
      <c r="K832" s="32"/>
      <c r="L832" s="32"/>
      <c r="M832" s="32"/>
      <c r="N832" s="285" t="s">
        <v>3881</v>
      </c>
    </row>
    <row r="833" spans="1:14" s="373" customFormat="1" ht="18.75" x14ac:dyDescent="0.2">
      <c r="A833" s="32">
        <f>ROW()-ROW(สำนักงาน!$A$6)+1</f>
        <v>828</v>
      </c>
      <c r="B833" s="55" t="s">
        <v>3630</v>
      </c>
      <c r="C833" s="298" t="s">
        <v>3635</v>
      </c>
      <c r="D833" s="13" t="s">
        <v>3636</v>
      </c>
      <c r="E833" s="53" t="s">
        <v>3420</v>
      </c>
      <c r="F833" s="31">
        <v>1100</v>
      </c>
      <c r="G833" s="32" t="s">
        <v>2378</v>
      </c>
      <c r="H833" s="479" t="s">
        <v>4256</v>
      </c>
      <c r="I833" s="32"/>
      <c r="J833" s="32"/>
      <c r="K833" s="32"/>
      <c r="L833" s="32"/>
      <c r="M833" s="32"/>
      <c r="N833" s="285" t="s">
        <v>3881</v>
      </c>
    </row>
    <row r="834" spans="1:14" s="373" customFormat="1" ht="18.75" x14ac:dyDescent="0.2">
      <c r="A834" s="32">
        <f>ROW()-ROW(สำนักงาน!$A$6)+1</f>
        <v>829</v>
      </c>
      <c r="B834" s="55" t="s">
        <v>3630</v>
      </c>
      <c r="C834" s="298" t="s">
        <v>3637</v>
      </c>
      <c r="D834" s="13" t="s">
        <v>3638</v>
      </c>
      <c r="E834" s="53" t="s">
        <v>3420</v>
      </c>
      <c r="F834" s="31">
        <v>1100</v>
      </c>
      <c r="G834" s="32" t="s">
        <v>2378</v>
      </c>
      <c r="H834" s="479" t="s">
        <v>4256</v>
      </c>
      <c r="I834" s="32"/>
      <c r="J834" s="32"/>
      <c r="K834" s="32"/>
      <c r="L834" s="32"/>
      <c r="M834" s="32"/>
      <c r="N834" s="285" t="s">
        <v>3881</v>
      </c>
    </row>
    <row r="835" spans="1:14" s="373" customFormat="1" ht="18.75" x14ac:dyDescent="0.2">
      <c r="A835" s="32">
        <f>ROW()-ROW(สำนักงาน!$A$6)+1</f>
        <v>830</v>
      </c>
      <c r="B835" s="55" t="s">
        <v>3630</v>
      </c>
      <c r="C835" s="298" t="s">
        <v>3639</v>
      </c>
      <c r="D835" s="13" t="s">
        <v>3640</v>
      </c>
      <c r="E835" s="53" t="s">
        <v>3420</v>
      </c>
      <c r="F835" s="31">
        <v>1100</v>
      </c>
      <c r="G835" s="32" t="s">
        <v>2378</v>
      </c>
      <c r="H835" s="479" t="s">
        <v>4256</v>
      </c>
      <c r="I835" s="32"/>
      <c r="J835" s="32"/>
      <c r="K835" s="32"/>
      <c r="L835" s="32"/>
      <c r="M835" s="32"/>
      <c r="N835" s="285" t="s">
        <v>3881</v>
      </c>
    </row>
    <row r="836" spans="1:14" s="373" customFormat="1" ht="18.75" x14ac:dyDescent="0.2">
      <c r="A836" s="32">
        <f>ROW()-ROW(สำนักงาน!$A$6)+1</f>
        <v>831</v>
      </c>
      <c r="B836" s="55" t="s">
        <v>3630</v>
      </c>
      <c r="C836" s="298" t="s">
        <v>3641</v>
      </c>
      <c r="D836" s="13" t="s">
        <v>3642</v>
      </c>
      <c r="E836" s="53" t="s">
        <v>3420</v>
      </c>
      <c r="F836" s="31">
        <v>1100</v>
      </c>
      <c r="G836" s="32" t="s">
        <v>2378</v>
      </c>
      <c r="H836" s="479" t="s">
        <v>4256</v>
      </c>
      <c r="I836" s="32"/>
      <c r="J836" s="32"/>
      <c r="K836" s="32"/>
      <c r="L836" s="32"/>
      <c r="M836" s="32"/>
      <c r="N836" s="285" t="s">
        <v>3881</v>
      </c>
    </row>
    <row r="837" spans="1:14" s="373" customFormat="1" ht="18.75" x14ac:dyDescent="0.2">
      <c r="A837" s="32">
        <f>ROW()-ROW(สำนักงาน!$A$6)+1</f>
        <v>832</v>
      </c>
      <c r="B837" s="55" t="s">
        <v>3630</v>
      </c>
      <c r="C837" s="298" t="s">
        <v>3643</v>
      </c>
      <c r="D837" s="13" t="s">
        <v>3644</v>
      </c>
      <c r="E837" s="53" t="s">
        <v>3420</v>
      </c>
      <c r="F837" s="31">
        <v>1100</v>
      </c>
      <c r="G837" s="32" t="s">
        <v>2378</v>
      </c>
      <c r="H837" s="479" t="s">
        <v>4256</v>
      </c>
      <c r="I837" s="32"/>
      <c r="J837" s="32"/>
      <c r="K837" s="32"/>
      <c r="L837" s="32"/>
      <c r="M837" s="32"/>
      <c r="N837" s="285" t="s">
        <v>3881</v>
      </c>
    </row>
    <row r="838" spans="1:14" s="401" customFormat="1" ht="21" x14ac:dyDescent="0.2">
      <c r="A838" s="32">
        <f>ROW()-ROW(สำนักงาน!$A$6)+1</f>
        <v>833</v>
      </c>
      <c r="B838" s="55" t="s">
        <v>1680</v>
      </c>
      <c r="C838" s="13" t="s">
        <v>1681</v>
      </c>
      <c r="D838" s="13" t="s">
        <v>1682</v>
      </c>
      <c r="E838" s="53" t="s">
        <v>601</v>
      </c>
      <c r="F838" s="31">
        <v>2990</v>
      </c>
      <c r="G838" s="32" t="s">
        <v>21</v>
      </c>
      <c r="H838" s="32" t="s">
        <v>4256</v>
      </c>
      <c r="I838" s="32"/>
      <c r="J838" s="32"/>
      <c r="K838" s="32"/>
      <c r="L838" s="32"/>
      <c r="M838" s="32"/>
      <c r="N838" s="81"/>
    </row>
    <row r="839" spans="1:14" s="401" customFormat="1" ht="21" x14ac:dyDescent="0.2">
      <c r="A839" s="32">
        <f>ROW()-ROW(สำนักงาน!$A$6)+1</f>
        <v>834</v>
      </c>
      <c r="B839" s="55" t="s">
        <v>1680</v>
      </c>
      <c r="C839" s="13" t="s">
        <v>1683</v>
      </c>
      <c r="D839" s="13" t="s">
        <v>1684</v>
      </c>
      <c r="E839" s="53" t="s">
        <v>601</v>
      </c>
      <c r="F839" s="31">
        <v>2990</v>
      </c>
      <c r="G839" s="32" t="s">
        <v>21</v>
      </c>
      <c r="H839" s="32" t="s">
        <v>4256</v>
      </c>
      <c r="I839" s="32"/>
      <c r="J839" s="32"/>
      <c r="K839" s="32"/>
      <c r="L839" s="32"/>
      <c r="M839" s="32"/>
      <c r="N839" s="81"/>
    </row>
    <row r="840" spans="1:14" s="401" customFormat="1" ht="21" x14ac:dyDescent="0.2">
      <c r="A840" s="32">
        <f>ROW()-ROW(สำนักงาน!$A$6)+1</f>
        <v>835</v>
      </c>
      <c r="B840" s="55" t="s">
        <v>1685</v>
      </c>
      <c r="C840" s="13" t="s">
        <v>1686</v>
      </c>
      <c r="D840" s="13" t="s">
        <v>1687</v>
      </c>
      <c r="E840" s="53" t="s">
        <v>601</v>
      </c>
      <c r="F840" s="31">
        <v>11990</v>
      </c>
      <c r="G840" s="32" t="s">
        <v>21</v>
      </c>
      <c r="H840" s="32" t="s">
        <v>4256</v>
      </c>
      <c r="I840" s="32"/>
      <c r="J840" s="32"/>
      <c r="K840" s="32"/>
      <c r="L840" s="32"/>
      <c r="M840" s="32"/>
      <c r="N840" s="81"/>
    </row>
    <row r="841" spans="1:14" s="401" customFormat="1" ht="21" x14ac:dyDescent="0.2">
      <c r="A841" s="32">
        <f>ROW()-ROW(สำนักงาน!$A$6)+1</f>
        <v>836</v>
      </c>
      <c r="B841" s="55" t="s">
        <v>1685</v>
      </c>
      <c r="C841" s="13" t="s">
        <v>1688</v>
      </c>
      <c r="D841" s="13" t="s">
        <v>1689</v>
      </c>
      <c r="E841" s="53" t="s">
        <v>601</v>
      </c>
      <c r="F841" s="31">
        <v>11990</v>
      </c>
      <c r="G841" s="32" t="s">
        <v>21</v>
      </c>
      <c r="H841" s="32" t="s">
        <v>4256</v>
      </c>
      <c r="I841" s="32"/>
      <c r="J841" s="32"/>
      <c r="K841" s="32"/>
      <c r="L841" s="32"/>
      <c r="M841" s="32"/>
      <c r="N841" s="81"/>
    </row>
    <row r="842" spans="1:14" s="401" customFormat="1" ht="21" x14ac:dyDescent="0.2">
      <c r="A842" s="32">
        <f>ROW()-ROW(สำนักงาน!$A$6)+1</f>
        <v>837</v>
      </c>
      <c r="B842" s="55" t="s">
        <v>1685</v>
      </c>
      <c r="C842" s="13" t="s">
        <v>1690</v>
      </c>
      <c r="D842" s="13" t="s">
        <v>1691</v>
      </c>
      <c r="E842" s="53" t="s">
        <v>601</v>
      </c>
      <c r="F842" s="31">
        <v>11990</v>
      </c>
      <c r="G842" s="32" t="s">
        <v>21</v>
      </c>
      <c r="H842" s="32" t="s">
        <v>4256</v>
      </c>
      <c r="I842" s="32"/>
      <c r="J842" s="32"/>
      <c r="K842" s="32"/>
      <c r="L842" s="32"/>
      <c r="M842" s="32"/>
      <c r="N842" s="81"/>
    </row>
    <row r="843" spans="1:14" s="401" customFormat="1" ht="21" x14ac:dyDescent="0.2">
      <c r="A843" s="32">
        <f>ROW()-ROW(สำนักงาน!$A$6)+1</f>
        <v>838</v>
      </c>
      <c r="B843" s="55" t="s">
        <v>1685</v>
      </c>
      <c r="C843" s="13" t="s">
        <v>1692</v>
      </c>
      <c r="D843" s="13" t="s">
        <v>1693</v>
      </c>
      <c r="E843" s="53" t="s">
        <v>601</v>
      </c>
      <c r="F843" s="31">
        <v>11990</v>
      </c>
      <c r="G843" s="32" t="s">
        <v>21</v>
      </c>
      <c r="H843" s="32" t="s">
        <v>4256</v>
      </c>
      <c r="I843" s="32"/>
      <c r="J843" s="32"/>
      <c r="K843" s="32"/>
      <c r="L843" s="32"/>
      <c r="M843" s="32"/>
      <c r="N843" s="81"/>
    </row>
    <row r="844" spans="1:14" s="401" customFormat="1" ht="30" x14ac:dyDescent="0.2">
      <c r="A844" s="32">
        <f>ROW()-ROW(สำนักงาน!$A$6)+1</f>
        <v>839</v>
      </c>
      <c r="B844" s="82" t="s">
        <v>2352</v>
      </c>
      <c r="C844" s="277" t="s">
        <v>4204</v>
      </c>
      <c r="D844" s="13" t="s">
        <v>2353</v>
      </c>
      <c r="E844" s="53" t="s">
        <v>2354</v>
      </c>
      <c r="F844" s="31">
        <v>14000</v>
      </c>
      <c r="G844" s="652" t="s">
        <v>2355</v>
      </c>
      <c r="H844" s="32" t="s">
        <v>4256</v>
      </c>
      <c r="I844" s="61"/>
      <c r="J844" s="62"/>
      <c r="K844" s="62"/>
      <c r="L844" s="63"/>
      <c r="M844" s="64"/>
      <c r="N844" s="65"/>
    </row>
    <row r="845" spans="1:14" s="401" customFormat="1" ht="31.5" x14ac:dyDescent="0.2">
      <c r="A845" s="32">
        <f>ROW()-ROW(สำนักงาน!$A$6)+1</f>
        <v>840</v>
      </c>
      <c r="B845" s="82" t="s">
        <v>2352</v>
      </c>
      <c r="C845" s="277" t="s">
        <v>4205</v>
      </c>
      <c r="D845" s="13" t="s">
        <v>2356</v>
      </c>
      <c r="E845" s="53" t="s">
        <v>2354</v>
      </c>
      <c r="F845" s="31">
        <v>14000</v>
      </c>
      <c r="G845" s="650" t="s">
        <v>2355</v>
      </c>
      <c r="H845" s="32" t="s">
        <v>4256</v>
      </c>
      <c r="I845" s="32"/>
      <c r="J845" s="32"/>
      <c r="K845" s="32"/>
      <c r="L845" s="32"/>
      <c r="M845" s="32"/>
      <c r="N845" s="252"/>
    </row>
    <row r="846" spans="1:14" s="401" customFormat="1" ht="31.5" x14ac:dyDescent="0.2">
      <c r="A846" s="32">
        <f>ROW()-ROW(สำนักงาน!$A$6)+1</f>
        <v>841</v>
      </c>
      <c r="B846" s="82" t="s">
        <v>2357</v>
      </c>
      <c r="C846" s="386" t="s">
        <v>4206</v>
      </c>
      <c r="D846" s="13" t="s">
        <v>2358</v>
      </c>
      <c r="E846" s="53" t="s">
        <v>2354</v>
      </c>
      <c r="F846" s="31">
        <v>3500</v>
      </c>
      <c r="G846" s="650" t="s">
        <v>2355</v>
      </c>
      <c r="H846" s="32" t="s">
        <v>4256</v>
      </c>
      <c r="I846" s="32"/>
      <c r="J846" s="32"/>
      <c r="K846" s="32"/>
      <c r="L846" s="32"/>
      <c r="M846" s="32"/>
      <c r="N846" s="252"/>
    </row>
    <row r="847" spans="1:14" s="401" customFormat="1" ht="31.5" x14ac:dyDescent="0.2">
      <c r="A847" s="32">
        <f>ROW()-ROW(สำนักงาน!$A$6)+1</f>
        <v>842</v>
      </c>
      <c r="B847" s="82" t="s">
        <v>2357</v>
      </c>
      <c r="C847" s="277" t="s">
        <v>4207</v>
      </c>
      <c r="D847" s="13" t="s">
        <v>2359</v>
      </c>
      <c r="E847" s="53" t="s">
        <v>2354</v>
      </c>
      <c r="F847" s="31">
        <v>3500</v>
      </c>
      <c r="G847" s="650" t="s">
        <v>2355</v>
      </c>
      <c r="H847" s="32" t="s">
        <v>4256</v>
      </c>
      <c r="I847" s="32"/>
      <c r="J847" s="32"/>
      <c r="K847" s="32"/>
      <c r="L847" s="32"/>
      <c r="M847" s="32"/>
      <c r="N847" s="252"/>
    </row>
    <row r="848" spans="1:14" s="401" customFormat="1" ht="31.5" x14ac:dyDescent="0.2">
      <c r="A848" s="32">
        <f>ROW()-ROW(สำนักงาน!$A$6)+1</f>
        <v>843</v>
      </c>
      <c r="B848" s="82" t="s">
        <v>2357</v>
      </c>
      <c r="C848" s="277" t="s">
        <v>4208</v>
      </c>
      <c r="D848" s="13" t="s">
        <v>2360</v>
      </c>
      <c r="E848" s="53" t="s">
        <v>2354</v>
      </c>
      <c r="F848" s="31">
        <v>3500</v>
      </c>
      <c r="G848" s="650" t="s">
        <v>2355</v>
      </c>
      <c r="H848" s="32" t="s">
        <v>4256</v>
      </c>
      <c r="I848" s="32"/>
      <c r="J848" s="32"/>
      <c r="K848" s="32"/>
      <c r="L848" s="32"/>
      <c r="M848" s="32"/>
      <c r="N848" s="252"/>
    </row>
    <row r="849" spans="1:15" s="401" customFormat="1" ht="31.5" x14ac:dyDescent="0.2">
      <c r="A849" s="32">
        <f>ROW()-ROW(สำนักงาน!$A$6)+1</f>
        <v>844</v>
      </c>
      <c r="B849" s="82" t="s">
        <v>2357</v>
      </c>
      <c r="C849" s="277" t="s">
        <v>4209</v>
      </c>
      <c r="D849" s="13" t="s">
        <v>2361</v>
      </c>
      <c r="E849" s="53" t="s">
        <v>2354</v>
      </c>
      <c r="F849" s="31">
        <v>3500</v>
      </c>
      <c r="G849" s="650" t="s">
        <v>2355</v>
      </c>
      <c r="H849" s="32" t="s">
        <v>4256</v>
      </c>
      <c r="I849" s="32"/>
      <c r="J849" s="32"/>
      <c r="K849" s="32"/>
      <c r="L849" s="32"/>
      <c r="M849" s="32"/>
      <c r="N849" s="252"/>
    </row>
    <row r="850" spans="1:15" s="401" customFormat="1" ht="31.5" x14ac:dyDescent="0.2">
      <c r="A850" s="32">
        <f>ROW()-ROW(สำนักงาน!$A$6)+1</f>
        <v>845</v>
      </c>
      <c r="B850" s="82" t="s">
        <v>2357</v>
      </c>
      <c r="C850" s="277" t="s">
        <v>4210</v>
      </c>
      <c r="D850" s="13" t="s">
        <v>2362</v>
      </c>
      <c r="E850" s="53" t="s">
        <v>2354</v>
      </c>
      <c r="F850" s="31">
        <v>3500</v>
      </c>
      <c r="G850" s="650" t="s">
        <v>2355</v>
      </c>
      <c r="H850" s="32" t="s">
        <v>4256</v>
      </c>
      <c r="I850" s="32"/>
      <c r="J850" s="32"/>
      <c r="K850" s="32"/>
      <c r="L850" s="32"/>
      <c r="M850" s="32"/>
      <c r="N850" s="252"/>
    </row>
    <row r="851" spans="1:15" s="401" customFormat="1" ht="31.5" x14ac:dyDescent="0.2">
      <c r="A851" s="32">
        <f>ROW()-ROW(สำนักงาน!$A$6)+1</f>
        <v>846</v>
      </c>
      <c r="B851" s="82" t="s">
        <v>2357</v>
      </c>
      <c r="C851" s="277" t="s">
        <v>4211</v>
      </c>
      <c r="D851" s="13" t="s">
        <v>2363</v>
      </c>
      <c r="E851" s="53" t="s">
        <v>2354</v>
      </c>
      <c r="F851" s="31">
        <v>3500</v>
      </c>
      <c r="G851" s="650" t="s">
        <v>2355</v>
      </c>
      <c r="H851" s="32" t="s">
        <v>4256</v>
      </c>
      <c r="I851" s="32"/>
      <c r="J851" s="32"/>
      <c r="K851" s="32"/>
      <c r="L851" s="32"/>
      <c r="M851" s="32"/>
      <c r="N851" s="252"/>
      <c r="O851" s="763">
        <f>SUM(F771:F851)</f>
        <v>329498.58</v>
      </c>
    </row>
    <row r="852" spans="1:15" s="372" customFormat="1" ht="18.75" x14ac:dyDescent="0.3">
      <c r="A852" s="32">
        <f>ROW()-ROW(สำนักงาน!$A$6)+1</f>
        <v>847</v>
      </c>
      <c r="B852" s="601" t="s">
        <v>922</v>
      </c>
      <c r="C852" s="602" t="s">
        <v>923</v>
      </c>
      <c r="D852" s="602" t="s">
        <v>924</v>
      </c>
      <c r="E852" s="603" t="s">
        <v>906</v>
      </c>
      <c r="F852" s="604">
        <v>1900</v>
      </c>
      <c r="G852" s="609" t="s">
        <v>264</v>
      </c>
      <c r="H852" s="371" t="s">
        <v>4256</v>
      </c>
      <c r="I852" s="605"/>
      <c r="J852" s="606"/>
      <c r="K852" s="606"/>
      <c r="L852" s="607"/>
      <c r="M852" s="608"/>
      <c r="N852" s="306"/>
      <c r="O852" s="745">
        <f>SUM(F852:F853)</f>
        <v>3800</v>
      </c>
    </row>
    <row r="853" spans="1:15" s="372" customFormat="1" ht="18.75" x14ac:dyDescent="0.3">
      <c r="A853" s="32">
        <f>ROW()-ROW(สำนักงาน!$A$6)+1</f>
        <v>848</v>
      </c>
      <c r="B853" s="601" t="s">
        <v>922</v>
      </c>
      <c r="C853" s="602" t="s">
        <v>925</v>
      </c>
      <c r="D853" s="602" t="s">
        <v>926</v>
      </c>
      <c r="E853" s="603" t="s">
        <v>906</v>
      </c>
      <c r="F853" s="604">
        <v>1900</v>
      </c>
      <c r="G853" s="609" t="s">
        <v>264</v>
      </c>
      <c r="H853" s="371" t="s">
        <v>4256</v>
      </c>
      <c r="I853" s="605"/>
      <c r="J853" s="606"/>
      <c r="K853" s="606"/>
      <c r="L853" s="607"/>
      <c r="M853" s="608"/>
      <c r="N853" s="306"/>
    </row>
    <row r="854" spans="1:15" s="370" customFormat="1" ht="18.75" x14ac:dyDescent="0.2">
      <c r="A854" s="32">
        <f>ROW()-ROW(สำนักงาน!$A$6)+1</f>
        <v>849</v>
      </c>
      <c r="B854" s="122" t="s">
        <v>323</v>
      </c>
      <c r="C854" s="123" t="s">
        <v>324</v>
      </c>
      <c r="D854" s="123" t="s">
        <v>325</v>
      </c>
      <c r="E854" s="124" t="s">
        <v>326</v>
      </c>
      <c r="F854" s="125">
        <v>15000</v>
      </c>
      <c r="G854" s="115" t="s">
        <v>6</v>
      </c>
      <c r="H854" s="32" t="s">
        <v>4256</v>
      </c>
      <c r="I854" s="123"/>
      <c r="J854" s="123"/>
      <c r="K854" s="126"/>
      <c r="L854" s="127"/>
      <c r="M854" s="128"/>
      <c r="N854" s="65" t="s">
        <v>327</v>
      </c>
    </row>
    <row r="855" spans="1:15" s="370" customFormat="1" ht="37.5" x14ac:dyDescent="0.2">
      <c r="A855" s="32">
        <f>ROW()-ROW(สำนักงาน!$A$6)+1</f>
        <v>850</v>
      </c>
      <c r="B855" s="246" t="s">
        <v>462</v>
      </c>
      <c r="C855" s="32" t="s">
        <v>463</v>
      </c>
      <c r="D855" s="32" t="s">
        <v>464</v>
      </c>
      <c r="E855" s="53" t="s">
        <v>465</v>
      </c>
      <c r="F855" s="54">
        <v>23500</v>
      </c>
      <c r="G855" s="32" t="s">
        <v>6</v>
      </c>
      <c r="H855" s="32" t="s">
        <v>4256</v>
      </c>
      <c r="I855" s="32"/>
      <c r="J855" s="32"/>
      <c r="K855" s="226"/>
      <c r="L855" s="226"/>
      <c r="M855" s="32"/>
      <c r="N855" s="56" t="s">
        <v>327</v>
      </c>
      <c r="O855" s="746">
        <f>SUM(F854:F860)</f>
        <v>97190</v>
      </c>
    </row>
    <row r="856" spans="1:15" s="370" customFormat="1" ht="37.5" x14ac:dyDescent="0.2">
      <c r="A856" s="32">
        <f>ROW()-ROW(สำนักงาน!$A$6)+1</f>
        <v>851</v>
      </c>
      <c r="B856" s="246" t="s">
        <v>467</v>
      </c>
      <c r="C856" s="32" t="s">
        <v>468</v>
      </c>
      <c r="D856" s="32" t="s">
        <v>469</v>
      </c>
      <c r="E856" s="53" t="s">
        <v>465</v>
      </c>
      <c r="F856" s="54">
        <v>23500</v>
      </c>
      <c r="G856" s="32" t="s">
        <v>6</v>
      </c>
      <c r="H856" s="32" t="s">
        <v>4256</v>
      </c>
      <c r="I856" s="32"/>
      <c r="J856" s="32"/>
      <c r="K856" s="226"/>
      <c r="L856" s="226"/>
      <c r="M856" s="32"/>
      <c r="N856" s="56" t="s">
        <v>466</v>
      </c>
    </row>
    <row r="857" spans="1:15" s="401" customFormat="1" ht="37.5" x14ac:dyDescent="0.2">
      <c r="A857" s="32">
        <f>ROW()-ROW(สำนักงาน!$A$6)+1</f>
        <v>852</v>
      </c>
      <c r="B857" s="55" t="s">
        <v>1694</v>
      </c>
      <c r="C857" s="13" t="s">
        <v>1695</v>
      </c>
      <c r="D857" s="13" t="s">
        <v>1696</v>
      </c>
      <c r="E857" s="53" t="s">
        <v>1697</v>
      </c>
      <c r="F857" s="31">
        <v>8500</v>
      </c>
      <c r="G857" s="32" t="s">
        <v>21</v>
      </c>
      <c r="H857" s="32" t="s">
        <v>4256</v>
      </c>
      <c r="I857" s="32"/>
      <c r="J857" s="32"/>
      <c r="K857" s="32"/>
      <c r="L857" s="32"/>
      <c r="M857" s="32"/>
      <c r="N857" s="81"/>
    </row>
    <row r="858" spans="1:15" s="401" customFormat="1" ht="37.5" x14ac:dyDescent="0.2">
      <c r="A858" s="32">
        <f>ROW()-ROW(สำนักงาน!$A$6)+1</f>
        <v>853</v>
      </c>
      <c r="B858" s="55" t="s">
        <v>1694</v>
      </c>
      <c r="C858" s="13" t="s">
        <v>1698</v>
      </c>
      <c r="D858" s="13" t="s">
        <v>1699</v>
      </c>
      <c r="E858" s="53" t="s">
        <v>1697</v>
      </c>
      <c r="F858" s="31">
        <v>8500</v>
      </c>
      <c r="G858" s="32" t="s">
        <v>21</v>
      </c>
      <c r="H858" s="32" t="s">
        <v>4256</v>
      </c>
      <c r="I858" s="32"/>
      <c r="J858" s="32"/>
      <c r="K858" s="32"/>
      <c r="L858" s="32"/>
      <c r="M858" s="32"/>
      <c r="N858" s="81"/>
    </row>
    <row r="859" spans="1:15" s="372" customFormat="1" ht="37.5" x14ac:dyDescent="0.3">
      <c r="A859" s="32">
        <f>ROW()-ROW(สำนักงาน!$A$6)+1</f>
        <v>854</v>
      </c>
      <c r="B859" s="337" t="s">
        <v>1463</v>
      </c>
      <c r="C859" s="308" t="s">
        <v>1464</v>
      </c>
      <c r="D859" s="308" t="s">
        <v>1465</v>
      </c>
      <c r="E859" s="319">
        <v>23971</v>
      </c>
      <c r="F859" s="380">
        <v>9095</v>
      </c>
      <c r="G859" s="308" t="s">
        <v>825</v>
      </c>
      <c r="H859" s="326" t="s">
        <v>4256</v>
      </c>
      <c r="I859" s="332"/>
      <c r="J859" s="332"/>
      <c r="K859" s="332"/>
      <c r="L859" s="332"/>
      <c r="M859" s="332"/>
      <c r="N859" s="355"/>
    </row>
    <row r="860" spans="1:15" s="372" customFormat="1" ht="37.5" x14ac:dyDescent="0.3">
      <c r="A860" s="32">
        <f>ROW()-ROW(สำนักงาน!$A$6)+1</f>
        <v>855</v>
      </c>
      <c r="B860" s="337" t="s">
        <v>1463</v>
      </c>
      <c r="C860" s="308" t="s">
        <v>1466</v>
      </c>
      <c r="D860" s="308" t="s">
        <v>1467</v>
      </c>
      <c r="E860" s="319">
        <v>23971</v>
      </c>
      <c r="F860" s="380">
        <v>9095</v>
      </c>
      <c r="G860" s="308" t="s">
        <v>825</v>
      </c>
      <c r="H860" s="326" t="s">
        <v>4256</v>
      </c>
      <c r="I860" s="332"/>
      <c r="J860" s="332"/>
      <c r="K860" s="332"/>
      <c r="L860" s="332"/>
      <c r="M860" s="332"/>
      <c r="N860" s="355"/>
    </row>
    <row r="861" spans="1:15" s="336" customFormat="1" ht="18.75" x14ac:dyDescent="0.3">
      <c r="A861" s="32">
        <f>ROW()-ROW(สำนักงาน!$A$6)+1</f>
        <v>856</v>
      </c>
      <c r="B861" s="637" t="s">
        <v>4053</v>
      </c>
      <c r="C861" s="28" t="s">
        <v>4054</v>
      </c>
      <c r="D861" s="638" t="s">
        <v>4055</v>
      </c>
      <c r="E861" s="639">
        <v>21514</v>
      </c>
      <c r="F861" s="640">
        <v>8000</v>
      </c>
      <c r="G861" s="28" t="s">
        <v>3892</v>
      </c>
      <c r="H861" s="32" t="s">
        <v>4256</v>
      </c>
      <c r="I861" s="28"/>
      <c r="J861" s="28"/>
      <c r="K861" s="641"/>
      <c r="L861" s="641"/>
      <c r="M861" s="28"/>
      <c r="N861" s="28"/>
    </row>
    <row r="862" spans="1:15" s="372" customFormat="1" ht="18.75" x14ac:dyDescent="0.3">
      <c r="A862" s="32">
        <f>ROW()-ROW(สำนักงาน!$A$6)+1</f>
        <v>857</v>
      </c>
      <c r="B862" s="337" t="s">
        <v>1012</v>
      </c>
      <c r="C862" s="308" t="s">
        <v>1013</v>
      </c>
      <c r="D862" s="338" t="s">
        <v>1014</v>
      </c>
      <c r="E862" s="642">
        <v>20963</v>
      </c>
      <c r="F862" s="233">
        <v>18000</v>
      </c>
      <c r="G862" s="346" t="s">
        <v>949</v>
      </c>
      <c r="H862" s="371" t="s">
        <v>4256</v>
      </c>
      <c r="I862" s="308"/>
      <c r="J862" s="307"/>
      <c r="K862" s="340"/>
      <c r="L862" s="341"/>
      <c r="M862" s="328"/>
      <c r="N862" s="381"/>
      <c r="O862" s="745">
        <f>SUM(F862:F864)</f>
        <v>134900</v>
      </c>
    </row>
    <row r="863" spans="1:15" s="372" customFormat="1" ht="18.75" x14ac:dyDescent="0.3">
      <c r="A863" s="32">
        <f>ROW()-ROW(สำนักงาน!$A$6)+1</f>
        <v>858</v>
      </c>
      <c r="B863" s="307" t="s">
        <v>1323</v>
      </c>
      <c r="C863" s="308" t="s">
        <v>1324</v>
      </c>
      <c r="D863" s="308" t="s">
        <v>1325</v>
      </c>
      <c r="E863" s="319" t="s">
        <v>1326</v>
      </c>
      <c r="F863" s="310">
        <v>63000</v>
      </c>
      <c r="G863" s="308" t="s">
        <v>825</v>
      </c>
      <c r="H863" s="320" t="s">
        <v>4256</v>
      </c>
      <c r="I863" s="321"/>
      <c r="J863" s="322"/>
      <c r="K863" s="322"/>
      <c r="L863" s="323"/>
      <c r="M863" s="324"/>
      <c r="N863" s="325"/>
    </row>
    <row r="864" spans="1:15" s="372" customFormat="1" ht="18.75" x14ac:dyDescent="0.3">
      <c r="A864" s="32">
        <f>ROW()-ROW(สำนักงาน!$A$6)+1</f>
        <v>859</v>
      </c>
      <c r="B864" s="307" t="s">
        <v>1395</v>
      </c>
      <c r="C864" s="308" t="s">
        <v>1396</v>
      </c>
      <c r="D864" s="308" t="s">
        <v>1397</v>
      </c>
      <c r="E864" s="319">
        <v>23903</v>
      </c>
      <c r="F864" s="380">
        <v>53900</v>
      </c>
      <c r="G864" s="308" t="s">
        <v>825</v>
      </c>
      <c r="H864" s="326" t="s">
        <v>4256</v>
      </c>
      <c r="I864" s="332"/>
      <c r="J864" s="332"/>
      <c r="K864" s="332"/>
      <c r="L864" s="332"/>
      <c r="M864" s="332"/>
      <c r="N864" s="355"/>
    </row>
    <row r="865" spans="1:15" s="3" customFormat="1" ht="18.75" x14ac:dyDescent="0.3">
      <c r="A865" s="32">
        <f>ROW()-ROW(สำนักงาน!$A$6)+1</f>
        <v>860</v>
      </c>
      <c r="B865" s="635" t="s">
        <v>1468</v>
      </c>
      <c r="C865" s="495" t="s">
        <v>1469</v>
      </c>
      <c r="D865" s="308" t="s">
        <v>1470</v>
      </c>
      <c r="E865" s="342">
        <v>23971</v>
      </c>
      <c r="F865" s="636">
        <v>11235</v>
      </c>
      <c r="G865" s="734" t="s">
        <v>825</v>
      </c>
      <c r="H865" s="326" t="s">
        <v>4256</v>
      </c>
      <c r="I865" s="532"/>
      <c r="J865" s="532"/>
      <c r="K865" s="532"/>
      <c r="L865" s="532"/>
      <c r="M865" s="532"/>
      <c r="N865" s="722"/>
      <c r="O865" s="3" t="s">
        <v>4367</v>
      </c>
    </row>
    <row r="866" spans="1:15" s="51" customFormat="1" ht="37.5" x14ac:dyDescent="0.2">
      <c r="A866" s="32">
        <f>ROW()-ROW(สำนักงาน!$A$6)+1</f>
        <v>861</v>
      </c>
      <c r="B866" s="253" t="s">
        <v>3929</v>
      </c>
      <c r="C866" s="254" t="s">
        <v>3930</v>
      </c>
      <c r="D866" s="254" t="s">
        <v>3931</v>
      </c>
      <c r="E866" s="255">
        <v>46783</v>
      </c>
      <c r="F866" s="256">
        <v>1200</v>
      </c>
      <c r="G866" s="254" t="s">
        <v>3932</v>
      </c>
      <c r="H866" s="326" t="s">
        <v>4256</v>
      </c>
      <c r="I866" s="254"/>
      <c r="J866" s="257"/>
      <c r="K866" s="257"/>
      <c r="L866" s="258"/>
      <c r="M866" s="259"/>
      <c r="N866" s="1" t="s">
        <v>3933</v>
      </c>
      <c r="O866" s="757">
        <f>SUM(F866:F870)</f>
        <v>9800</v>
      </c>
    </row>
    <row r="867" spans="1:15" s="51" customFormat="1" ht="37.5" x14ac:dyDescent="0.2">
      <c r="A867" s="32">
        <f>ROW()-ROW(สำนักงาน!$A$6)+1</f>
        <v>862</v>
      </c>
      <c r="B867" s="260" t="s">
        <v>3934</v>
      </c>
      <c r="C867" s="261" t="s">
        <v>3935</v>
      </c>
      <c r="D867" s="261" t="s">
        <v>3936</v>
      </c>
      <c r="E867" s="262">
        <v>11383</v>
      </c>
      <c r="F867" s="263">
        <v>1200</v>
      </c>
      <c r="G867" s="261" t="s">
        <v>3932</v>
      </c>
      <c r="H867" s="326" t="s">
        <v>4256</v>
      </c>
      <c r="I867" s="261"/>
      <c r="J867" s="261"/>
      <c r="K867" s="261"/>
      <c r="L867" s="264"/>
      <c r="M867" s="264"/>
      <c r="N867" s="1" t="s">
        <v>3933</v>
      </c>
    </row>
    <row r="868" spans="1:15" s="51" customFormat="1" ht="37.5" x14ac:dyDescent="0.2">
      <c r="A868" s="32">
        <f>ROW()-ROW(สำนักงาน!$A$6)+1</f>
        <v>863</v>
      </c>
      <c r="B868" s="260" t="s">
        <v>338</v>
      </c>
      <c r="C868" s="261" t="s">
        <v>3937</v>
      </c>
      <c r="D868" s="261" t="s">
        <v>3938</v>
      </c>
      <c r="E868" s="262">
        <v>11389</v>
      </c>
      <c r="F868" s="263">
        <v>1900</v>
      </c>
      <c r="G868" s="261" t="s">
        <v>3932</v>
      </c>
      <c r="H868" s="326" t="s">
        <v>4256</v>
      </c>
      <c r="I868" s="261"/>
      <c r="J868" s="261"/>
      <c r="K868" s="261"/>
      <c r="L868" s="264"/>
      <c r="M868" s="264"/>
      <c r="N868" s="1" t="s">
        <v>3939</v>
      </c>
    </row>
    <row r="869" spans="1:15" s="51" customFormat="1" ht="37.5" x14ac:dyDescent="0.2">
      <c r="A869" s="32">
        <f>ROW()-ROW(สำนักงาน!$A$6)+1</f>
        <v>864</v>
      </c>
      <c r="B869" s="265" t="s">
        <v>276</v>
      </c>
      <c r="C869" s="266" t="s">
        <v>3940</v>
      </c>
      <c r="D869" s="266" t="s">
        <v>3941</v>
      </c>
      <c r="E869" s="267">
        <v>16182</v>
      </c>
      <c r="F869" s="268">
        <v>3200</v>
      </c>
      <c r="G869" s="266" t="s">
        <v>3942</v>
      </c>
      <c r="H869" s="326" t="s">
        <v>4256</v>
      </c>
      <c r="I869" s="266"/>
      <c r="J869" s="266"/>
      <c r="K869" s="266"/>
      <c r="L869" s="269"/>
      <c r="M869" s="269"/>
      <c r="N869" s="1" t="s">
        <v>3943</v>
      </c>
    </row>
    <row r="870" spans="1:15" s="51" customFormat="1" ht="37.5" x14ac:dyDescent="0.2">
      <c r="A870" s="32">
        <f>ROW()-ROW(สำนักงาน!$A$6)+1</f>
        <v>865</v>
      </c>
      <c r="B870" s="270" t="s">
        <v>338</v>
      </c>
      <c r="C870" s="271" t="s">
        <v>3944</v>
      </c>
      <c r="D870" s="271" t="s">
        <v>3945</v>
      </c>
      <c r="E870" s="272">
        <v>16855</v>
      </c>
      <c r="F870" s="273">
        <v>2300</v>
      </c>
      <c r="G870" s="274" t="s">
        <v>3932</v>
      </c>
      <c r="H870" s="326" t="s">
        <v>4256</v>
      </c>
      <c r="I870" s="271"/>
      <c r="J870" s="271"/>
      <c r="K870" s="271"/>
      <c r="L870" s="275"/>
      <c r="M870" s="275"/>
      <c r="N870" s="1" t="s">
        <v>3946</v>
      </c>
      <c r="O870" s="764">
        <f>O866+P182</f>
        <v>641565.69999999995</v>
      </c>
    </row>
    <row r="871" spans="1:15" s="372" customFormat="1" ht="18.75" x14ac:dyDescent="0.3">
      <c r="A871" s="322"/>
      <c r="B871" s="341" t="s">
        <v>4970</v>
      </c>
      <c r="C871" s="307"/>
      <c r="D871" s="307"/>
      <c r="E871" s="307"/>
      <c r="F871" s="414">
        <f>SUBTOTAL(9,F6:F870)</f>
        <v>12530511.799999997</v>
      </c>
      <c r="G871" s="307"/>
      <c r="H871" s="322"/>
      <c r="I871" s="322"/>
      <c r="J871" s="322"/>
      <c r="K871" s="322"/>
      <c r="L871" s="322"/>
      <c r="M871" s="322"/>
      <c r="N871" s="322"/>
    </row>
  </sheetData>
  <autoFilter ref="A4:N870" xr:uid="{00000000-0009-0000-0000-00001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A3:N3"/>
    <mergeCell ref="A1:N1"/>
    <mergeCell ref="A2:N2"/>
    <mergeCell ref="A4:A5"/>
    <mergeCell ref="B4:B5"/>
    <mergeCell ref="C4:C5"/>
    <mergeCell ref="D4:D5"/>
    <mergeCell ref="E4:E5"/>
    <mergeCell ref="F4:F5"/>
    <mergeCell ref="G4:G5"/>
    <mergeCell ref="H4:N4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O296"/>
  <sheetViews>
    <sheetView topLeftCell="A288" workbookViewId="0">
      <selection activeCell="P168" sqref="P168"/>
    </sheetView>
  </sheetViews>
  <sheetFormatPr defaultRowHeight="14.25" x14ac:dyDescent="0.2"/>
  <cols>
    <col min="1" max="1" width="7.28515625" style="370" customWidth="1"/>
    <col min="2" max="2" width="42.140625" style="415" customWidth="1"/>
    <col min="3" max="3" width="16.7109375" style="415" customWidth="1"/>
    <col min="4" max="4" width="13.42578125" style="415" customWidth="1"/>
    <col min="5" max="5" width="14.7109375" style="415" customWidth="1"/>
    <col min="6" max="6" width="13.140625" style="415" customWidth="1"/>
    <col min="7" max="7" width="17.85546875" style="415" customWidth="1"/>
    <col min="8" max="13" width="3.5703125" style="415" customWidth="1"/>
    <col min="14" max="14" width="15.140625" style="415" customWidth="1"/>
    <col min="15" max="15" width="13.28515625" style="415" bestFit="1" customWidth="1"/>
    <col min="16" max="16384" width="9.140625" style="415"/>
  </cols>
  <sheetData>
    <row r="1" spans="1:15" s="359" customFormat="1" ht="18.75" x14ac:dyDescent="0.3">
      <c r="A1" s="915" t="s">
        <v>185</v>
      </c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</row>
    <row r="2" spans="1:15" s="359" customFormat="1" ht="18.75" x14ac:dyDescent="0.3">
      <c r="A2" s="915" t="s">
        <v>186</v>
      </c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</row>
    <row r="3" spans="1:15" s="359" customFormat="1" ht="18.75" x14ac:dyDescent="0.3">
      <c r="A3" s="914" t="s">
        <v>184</v>
      </c>
      <c r="B3" s="914"/>
      <c r="C3" s="914"/>
      <c r="D3" s="914"/>
      <c r="E3" s="914"/>
      <c r="F3" s="914"/>
      <c r="G3" s="914"/>
      <c r="H3" s="914"/>
      <c r="I3" s="914"/>
      <c r="J3" s="914"/>
      <c r="K3" s="914"/>
      <c r="L3" s="914"/>
      <c r="M3" s="914"/>
      <c r="N3" s="914"/>
    </row>
    <row r="4" spans="1:15" s="336" customFormat="1" ht="21" x14ac:dyDescent="0.3">
      <c r="A4" s="916" t="s">
        <v>0</v>
      </c>
      <c r="B4" s="918" t="s">
        <v>1</v>
      </c>
      <c r="C4" s="920" t="s">
        <v>187</v>
      </c>
      <c r="D4" s="918" t="s">
        <v>188</v>
      </c>
      <c r="E4" s="922" t="s">
        <v>189</v>
      </c>
      <c r="F4" s="924" t="s">
        <v>2</v>
      </c>
      <c r="G4" s="926" t="s">
        <v>4</v>
      </c>
      <c r="H4" s="928" t="s">
        <v>190</v>
      </c>
      <c r="I4" s="928"/>
      <c r="J4" s="928"/>
      <c r="K4" s="928"/>
      <c r="L4" s="928"/>
      <c r="M4" s="928"/>
      <c r="N4" s="928"/>
    </row>
    <row r="5" spans="1:15" s="336" customFormat="1" ht="77.25" x14ac:dyDescent="0.3">
      <c r="A5" s="917"/>
      <c r="B5" s="919"/>
      <c r="C5" s="921"/>
      <c r="D5" s="919"/>
      <c r="E5" s="923"/>
      <c r="F5" s="925"/>
      <c r="G5" s="927"/>
      <c r="H5" s="433" t="s">
        <v>191</v>
      </c>
      <c r="I5" s="433" t="s">
        <v>192</v>
      </c>
      <c r="J5" s="433" t="s">
        <v>193</v>
      </c>
      <c r="K5" s="433" t="s">
        <v>194</v>
      </c>
      <c r="L5" s="433" t="s">
        <v>195</v>
      </c>
      <c r="M5" s="433" t="s">
        <v>196</v>
      </c>
      <c r="N5" s="434" t="s">
        <v>3</v>
      </c>
    </row>
    <row r="6" spans="1:15" s="370" customFormat="1" ht="18.75" x14ac:dyDescent="0.2">
      <c r="A6" s="32">
        <f>ROW()-ROW($A$6)+1</f>
        <v>1</v>
      </c>
      <c r="B6" s="822" t="s">
        <v>310</v>
      </c>
      <c r="C6" s="823" t="s">
        <v>311</v>
      </c>
      <c r="D6" s="823" t="s">
        <v>312</v>
      </c>
      <c r="E6" s="824" t="s">
        <v>313</v>
      </c>
      <c r="F6" s="825">
        <v>34975</v>
      </c>
      <c r="G6" s="826" t="s">
        <v>220</v>
      </c>
      <c r="H6" s="823"/>
      <c r="I6" s="297" t="s">
        <v>4256</v>
      </c>
      <c r="J6" s="827"/>
      <c r="K6" s="827"/>
      <c r="L6" s="828"/>
      <c r="M6" s="829"/>
      <c r="N6" s="826" t="s">
        <v>3911</v>
      </c>
      <c r="O6" s="771">
        <f>F6+F10+F11+F12+F15+F16+F17+F18+F19+F20+F21+F22+F25+F26+F28+F29+F30+F31+F32+F33+F27+F48+F50+F51+F52+F53+F54+F55+F56+F57+F58+F59+F60+F62+F64+F66+F79+F80+F83+F84+F89+F91+F93+F95+F97+F113+F114+F115+F116+F117+F123+F135+F136+F137+F138+F139+F140+F141+F142+F143+F144+F145+F146+F147+F148+F149+F150+F151+F152+F167+F168+F176+F178+F180+F182+F184+F186+F208+F209+F212+F214+F216+F218+F220+F222+F224+F226+F228+F230+F259+F260+F262+F261+F263+F273+F275+F277+F280+F281+F282+F283+F284+F287+F288+F293</f>
        <v>2610513</v>
      </c>
    </row>
    <row r="7" spans="1:15" s="370" customFormat="1" ht="18.75" x14ac:dyDescent="0.2">
      <c r="A7" s="32">
        <f t="shared" ref="A7:A70" si="0">ROW()-ROW($A$6)+1</f>
        <v>2</v>
      </c>
      <c r="B7" s="830" t="s">
        <v>372</v>
      </c>
      <c r="C7" s="831" t="s">
        <v>373</v>
      </c>
      <c r="D7" s="831" t="s">
        <v>374</v>
      </c>
      <c r="E7" s="832" t="s">
        <v>375</v>
      </c>
      <c r="F7" s="833">
        <v>5000</v>
      </c>
      <c r="G7" s="831" t="s">
        <v>200</v>
      </c>
      <c r="H7" s="831"/>
      <c r="I7" s="297" t="s">
        <v>4256</v>
      </c>
      <c r="J7" s="834"/>
      <c r="K7" s="834"/>
      <c r="L7" s="835"/>
      <c r="M7" s="836"/>
      <c r="N7" s="837" t="s">
        <v>3912</v>
      </c>
      <c r="O7" s="771">
        <f>F7+F13+F14+F23+F24+F34+F35+F36+F37+F38+F39+F40+F41+F42+F45+F61+F63+F65+F77+F78+F81+F82+F88+F90+F92+F94+F96+F177+F179+F181+F183+F185+F187+F213+F215+F217+F219+F221+F223+F225+F227+F229+F231+F242+F243+F244+F245+F246</f>
        <v>175005</v>
      </c>
    </row>
    <row r="8" spans="1:15" s="370" customFormat="1" ht="18.75" x14ac:dyDescent="0.2">
      <c r="A8" s="32">
        <f t="shared" si="0"/>
        <v>3</v>
      </c>
      <c r="B8" s="55" t="s">
        <v>376</v>
      </c>
      <c r="C8" s="13" t="s">
        <v>377</v>
      </c>
      <c r="D8" s="13" t="s">
        <v>378</v>
      </c>
      <c r="E8" s="220" t="s">
        <v>379</v>
      </c>
      <c r="F8" s="221">
        <v>7000</v>
      </c>
      <c r="G8" s="13" t="s">
        <v>200</v>
      </c>
      <c r="H8" s="32" t="s">
        <v>4256</v>
      </c>
      <c r="I8" s="13"/>
      <c r="J8" s="82"/>
      <c r="K8" s="82"/>
      <c r="L8" s="222"/>
      <c r="M8" s="223"/>
      <c r="N8" s="13" t="s">
        <v>4311</v>
      </c>
      <c r="O8" s="771">
        <f>F8+F44+F68+F69+F98+F99+F100+F101+F102+F122+F153+F154+F155+F156+F157+F158+F159+F160+F161+F162+F163+F164+F165+F166+F171+F172+F173+F174+F175+F188+F189+F190+F191+F192+F193+F194+F195+F196+F197+F198+F199+F200+F201+F232+F233+F234+F235+F236+F237+F238+F239+F240+F241+F247+F248+F249+F250+F251+F264+F265+F266+F267+F268+F289+F290+F291+F292</f>
        <v>395910</v>
      </c>
    </row>
    <row r="9" spans="1:15" s="370" customFormat="1" ht="18.75" x14ac:dyDescent="0.2">
      <c r="A9" s="32">
        <f t="shared" si="0"/>
        <v>4</v>
      </c>
      <c r="B9" s="838" t="s">
        <v>380</v>
      </c>
      <c r="C9" s="363" t="s">
        <v>381</v>
      </c>
      <c r="D9" s="363" t="s">
        <v>382</v>
      </c>
      <c r="E9" s="839" t="s">
        <v>379</v>
      </c>
      <c r="F9" s="840">
        <v>6140</v>
      </c>
      <c r="G9" s="363" t="s">
        <v>220</v>
      </c>
      <c r="H9" s="363"/>
      <c r="I9" s="297" t="s">
        <v>4256</v>
      </c>
      <c r="J9" s="841"/>
      <c r="K9" s="841"/>
      <c r="L9" s="842"/>
      <c r="M9" s="843"/>
      <c r="N9" s="363" t="s">
        <v>4311</v>
      </c>
      <c r="O9" s="771">
        <f>F9+F47+F46+F49+F67+F85+F86+F87+F103+F104+F119+F169+F170+F202+F203+F204+F205+F206+F207+F210+F211+F252+F253+F254+F255+F256+F269+F270+F271+F272+F279+F278+F285+F286</f>
        <v>242850</v>
      </c>
    </row>
    <row r="10" spans="1:15" s="370" customFormat="1" ht="18.75" x14ac:dyDescent="0.2">
      <c r="A10" s="32">
        <f t="shared" si="0"/>
        <v>5</v>
      </c>
      <c r="B10" s="838" t="s">
        <v>383</v>
      </c>
      <c r="C10" s="363" t="s">
        <v>384</v>
      </c>
      <c r="D10" s="363" t="s">
        <v>385</v>
      </c>
      <c r="E10" s="839" t="s">
        <v>386</v>
      </c>
      <c r="F10" s="840">
        <v>34600</v>
      </c>
      <c r="G10" s="363" t="s">
        <v>200</v>
      </c>
      <c r="H10" s="363"/>
      <c r="I10" s="297" t="s">
        <v>4256</v>
      </c>
      <c r="J10" s="841"/>
      <c r="K10" s="841"/>
      <c r="L10" s="842"/>
      <c r="M10" s="843"/>
      <c r="N10" s="363" t="s">
        <v>4311</v>
      </c>
    </row>
    <row r="11" spans="1:15" s="370" customFormat="1" ht="18.75" x14ac:dyDescent="0.2">
      <c r="A11" s="32">
        <f t="shared" si="0"/>
        <v>6</v>
      </c>
      <c r="B11" s="55" t="s">
        <v>383</v>
      </c>
      <c r="C11" s="13" t="s">
        <v>387</v>
      </c>
      <c r="D11" s="13" t="s">
        <v>388</v>
      </c>
      <c r="E11" s="220" t="s">
        <v>386</v>
      </c>
      <c r="F11" s="221">
        <v>34600</v>
      </c>
      <c r="G11" s="13" t="s">
        <v>200</v>
      </c>
      <c r="H11" s="32" t="s">
        <v>4256</v>
      </c>
      <c r="I11" s="13"/>
      <c r="J11" s="82"/>
      <c r="K11" s="82"/>
      <c r="L11" s="222"/>
      <c r="M11" s="223"/>
      <c r="N11" s="13" t="s">
        <v>4326</v>
      </c>
    </row>
    <row r="12" spans="1:15" s="370" customFormat="1" ht="18.75" x14ac:dyDescent="0.2">
      <c r="A12" s="32">
        <f t="shared" si="0"/>
        <v>7</v>
      </c>
      <c r="B12" s="55" t="s">
        <v>383</v>
      </c>
      <c r="C12" s="13" t="s">
        <v>389</v>
      </c>
      <c r="D12" s="13" t="s">
        <v>390</v>
      </c>
      <c r="E12" s="220" t="s">
        <v>386</v>
      </c>
      <c r="F12" s="221">
        <v>34600</v>
      </c>
      <c r="G12" s="13" t="s">
        <v>200</v>
      </c>
      <c r="H12" s="32" t="s">
        <v>4256</v>
      </c>
      <c r="I12" s="13"/>
      <c r="J12" s="82"/>
      <c r="K12" s="82"/>
      <c r="L12" s="222"/>
      <c r="M12" s="223"/>
      <c r="N12" s="13" t="s">
        <v>391</v>
      </c>
    </row>
    <row r="13" spans="1:15" s="370" customFormat="1" ht="18.75" x14ac:dyDescent="0.2">
      <c r="A13" s="32">
        <f t="shared" si="0"/>
        <v>8</v>
      </c>
      <c r="B13" s="55" t="s">
        <v>392</v>
      </c>
      <c r="C13" s="13" t="s">
        <v>393</v>
      </c>
      <c r="D13" s="13" t="s">
        <v>394</v>
      </c>
      <c r="E13" s="220" t="s">
        <v>386</v>
      </c>
      <c r="F13" s="221">
        <v>5300</v>
      </c>
      <c r="G13" s="13" t="s">
        <v>200</v>
      </c>
      <c r="H13" s="32" t="s">
        <v>4256</v>
      </c>
      <c r="I13" s="13"/>
      <c r="J13" s="82"/>
      <c r="K13" s="82"/>
      <c r="L13" s="222"/>
      <c r="M13" s="223"/>
      <c r="N13" s="13" t="s">
        <v>315</v>
      </c>
    </row>
    <row r="14" spans="1:15" s="370" customFormat="1" ht="18.75" x14ac:dyDescent="0.2">
      <c r="A14" s="32">
        <f t="shared" si="0"/>
        <v>9</v>
      </c>
      <c r="B14" s="55" t="s">
        <v>392</v>
      </c>
      <c r="C14" s="13" t="s">
        <v>395</v>
      </c>
      <c r="D14" s="13" t="s">
        <v>396</v>
      </c>
      <c r="E14" s="220" t="s">
        <v>386</v>
      </c>
      <c r="F14" s="221">
        <v>5300</v>
      </c>
      <c r="G14" s="13" t="s">
        <v>220</v>
      </c>
      <c r="H14" s="32" t="s">
        <v>4256</v>
      </c>
      <c r="I14" s="13"/>
      <c r="J14" s="82"/>
      <c r="K14" s="82"/>
      <c r="L14" s="222"/>
      <c r="M14" s="223"/>
      <c r="N14" s="13" t="s">
        <v>397</v>
      </c>
    </row>
    <row r="15" spans="1:15" s="372" customFormat="1" ht="18.75" x14ac:dyDescent="0.3">
      <c r="A15" s="32">
        <f t="shared" si="0"/>
        <v>10</v>
      </c>
      <c r="B15" s="82" t="s">
        <v>969</v>
      </c>
      <c r="C15" s="13" t="s">
        <v>970</v>
      </c>
      <c r="D15" s="13" t="s">
        <v>971</v>
      </c>
      <c r="E15" s="220" t="s">
        <v>972</v>
      </c>
      <c r="F15" s="221">
        <v>13900</v>
      </c>
      <c r="G15" s="345" t="s">
        <v>949</v>
      </c>
      <c r="H15" s="371" t="s">
        <v>4256</v>
      </c>
      <c r="I15" s="300"/>
      <c r="J15" s="303"/>
      <c r="K15" s="303"/>
      <c r="L15" s="304"/>
      <c r="M15" s="305"/>
      <c r="N15" s="306"/>
    </row>
    <row r="16" spans="1:15" s="372" customFormat="1" ht="18.75" x14ac:dyDescent="0.3">
      <c r="A16" s="32">
        <f t="shared" si="0"/>
        <v>11</v>
      </c>
      <c r="B16" s="82" t="s">
        <v>969</v>
      </c>
      <c r="C16" s="13" t="s">
        <v>973</v>
      </c>
      <c r="D16" s="13" t="s">
        <v>974</v>
      </c>
      <c r="E16" s="220" t="s">
        <v>972</v>
      </c>
      <c r="F16" s="221">
        <v>13900</v>
      </c>
      <c r="G16" s="345" t="s">
        <v>949</v>
      </c>
      <c r="H16" s="371" t="s">
        <v>4256</v>
      </c>
      <c r="I16" s="300"/>
      <c r="J16" s="303"/>
      <c r="K16" s="303"/>
      <c r="L16" s="304"/>
      <c r="M16" s="305"/>
      <c r="N16" s="306"/>
    </row>
    <row r="17" spans="1:15" s="372" customFormat="1" ht="18.75" x14ac:dyDescent="0.3">
      <c r="A17" s="32">
        <f t="shared" si="0"/>
        <v>12</v>
      </c>
      <c r="B17" s="82" t="s">
        <v>969</v>
      </c>
      <c r="C17" s="13" t="s">
        <v>975</v>
      </c>
      <c r="D17" s="13" t="s">
        <v>976</v>
      </c>
      <c r="E17" s="220" t="s">
        <v>972</v>
      </c>
      <c r="F17" s="221">
        <v>13900</v>
      </c>
      <c r="G17" s="345" t="s">
        <v>949</v>
      </c>
      <c r="H17" s="371" t="s">
        <v>4256</v>
      </c>
      <c r="I17" s="300"/>
      <c r="J17" s="303"/>
      <c r="K17" s="303"/>
      <c r="L17" s="304"/>
      <c r="M17" s="305"/>
      <c r="N17" s="306"/>
    </row>
    <row r="18" spans="1:15" s="372" customFormat="1" ht="18.75" x14ac:dyDescent="0.3">
      <c r="A18" s="32">
        <f t="shared" si="0"/>
        <v>13</v>
      </c>
      <c r="B18" s="82" t="s">
        <v>969</v>
      </c>
      <c r="C18" s="13" t="s">
        <v>977</v>
      </c>
      <c r="D18" s="13" t="s">
        <v>978</v>
      </c>
      <c r="E18" s="220" t="s">
        <v>972</v>
      </c>
      <c r="F18" s="221">
        <v>13900</v>
      </c>
      <c r="G18" s="345" t="s">
        <v>949</v>
      </c>
      <c r="H18" s="371" t="s">
        <v>4256</v>
      </c>
      <c r="I18" s="300"/>
      <c r="J18" s="303"/>
      <c r="K18" s="303"/>
      <c r="L18" s="304"/>
      <c r="M18" s="305"/>
      <c r="N18" s="306"/>
    </row>
    <row r="19" spans="1:15" s="372" customFormat="1" ht="18.75" x14ac:dyDescent="0.3">
      <c r="A19" s="32">
        <f t="shared" si="0"/>
        <v>14</v>
      </c>
      <c r="B19" s="82" t="s">
        <v>979</v>
      </c>
      <c r="C19" s="13" t="s">
        <v>980</v>
      </c>
      <c r="D19" s="13" t="s">
        <v>981</v>
      </c>
      <c r="E19" s="220" t="s">
        <v>982</v>
      </c>
      <c r="F19" s="221">
        <v>13900</v>
      </c>
      <c r="G19" s="345" t="s">
        <v>949</v>
      </c>
      <c r="H19" s="371" t="s">
        <v>4256</v>
      </c>
      <c r="I19" s="300"/>
      <c r="J19" s="303"/>
      <c r="K19" s="303"/>
      <c r="L19" s="304"/>
      <c r="M19" s="305"/>
      <c r="N19" s="306"/>
    </row>
    <row r="20" spans="1:15" s="372" customFormat="1" ht="18.75" x14ac:dyDescent="0.3">
      <c r="A20" s="32">
        <f t="shared" si="0"/>
        <v>15</v>
      </c>
      <c r="B20" s="82" t="s">
        <v>979</v>
      </c>
      <c r="C20" s="13" t="s">
        <v>983</v>
      </c>
      <c r="D20" s="13" t="s">
        <v>984</v>
      </c>
      <c r="E20" s="220" t="s">
        <v>982</v>
      </c>
      <c r="F20" s="221">
        <v>13900</v>
      </c>
      <c r="G20" s="345" t="s">
        <v>949</v>
      </c>
      <c r="H20" s="371" t="s">
        <v>4256</v>
      </c>
      <c r="I20" s="300"/>
      <c r="J20" s="303"/>
      <c r="K20" s="303"/>
      <c r="L20" s="304"/>
      <c r="M20" s="305"/>
      <c r="N20" s="306"/>
    </row>
    <row r="21" spans="1:15" s="372" customFormat="1" ht="18.75" x14ac:dyDescent="0.3">
      <c r="A21" s="32">
        <f t="shared" si="0"/>
        <v>16</v>
      </c>
      <c r="B21" s="82" t="s">
        <v>979</v>
      </c>
      <c r="C21" s="13" t="s">
        <v>985</v>
      </c>
      <c r="D21" s="13" t="s">
        <v>986</v>
      </c>
      <c r="E21" s="220" t="s">
        <v>982</v>
      </c>
      <c r="F21" s="221">
        <v>13900</v>
      </c>
      <c r="G21" s="345" t="s">
        <v>949</v>
      </c>
      <c r="H21" s="371" t="s">
        <v>4256</v>
      </c>
      <c r="I21" s="300"/>
      <c r="J21" s="303"/>
      <c r="K21" s="303"/>
      <c r="L21" s="304"/>
      <c r="M21" s="305"/>
      <c r="N21" s="306"/>
    </row>
    <row r="22" spans="1:15" s="370" customFormat="1" ht="18.75" x14ac:dyDescent="0.2">
      <c r="A22" s="32">
        <f t="shared" si="0"/>
        <v>17</v>
      </c>
      <c r="B22" s="52" t="s">
        <v>398</v>
      </c>
      <c r="C22" s="32" t="s">
        <v>399</v>
      </c>
      <c r="D22" s="32" t="s">
        <v>400</v>
      </c>
      <c r="E22" s="34">
        <v>20311</v>
      </c>
      <c r="F22" s="31">
        <v>21900</v>
      </c>
      <c r="G22" s="224" t="s">
        <v>401</v>
      </c>
      <c r="H22" s="32" t="s">
        <v>4256</v>
      </c>
      <c r="I22" s="32"/>
      <c r="J22" s="79"/>
      <c r="K22" s="79"/>
      <c r="L22" s="225"/>
      <c r="M22" s="226"/>
      <c r="N22" s="32" t="s">
        <v>4312</v>
      </c>
    </row>
    <row r="23" spans="1:15" s="370" customFormat="1" ht="18.75" x14ac:dyDescent="0.2">
      <c r="A23" s="32">
        <f t="shared" si="0"/>
        <v>18</v>
      </c>
      <c r="B23" s="52" t="s">
        <v>402</v>
      </c>
      <c r="C23" s="32" t="s">
        <v>403</v>
      </c>
      <c r="D23" s="32" t="s">
        <v>404</v>
      </c>
      <c r="E23" s="34">
        <v>20311</v>
      </c>
      <c r="F23" s="31">
        <v>6550</v>
      </c>
      <c r="G23" s="224" t="s">
        <v>220</v>
      </c>
      <c r="H23" s="32" t="s">
        <v>4256</v>
      </c>
      <c r="I23" s="32"/>
      <c r="J23" s="79"/>
      <c r="K23" s="79"/>
      <c r="L23" s="225"/>
      <c r="M23" s="226"/>
      <c r="N23" s="32" t="s">
        <v>4313</v>
      </c>
      <c r="O23" s="370" t="s">
        <v>4366</v>
      </c>
    </row>
    <row r="24" spans="1:15" s="370" customFormat="1" ht="18.75" x14ac:dyDescent="0.2">
      <c r="A24" s="32">
        <f t="shared" si="0"/>
        <v>19</v>
      </c>
      <c r="B24" s="416" t="s">
        <v>405</v>
      </c>
      <c r="C24" s="297" t="s">
        <v>406</v>
      </c>
      <c r="D24" s="297" t="s">
        <v>407</v>
      </c>
      <c r="E24" s="417">
        <v>20311</v>
      </c>
      <c r="F24" s="418">
        <v>6550</v>
      </c>
      <c r="G24" s="419" t="s">
        <v>408</v>
      </c>
      <c r="H24" s="419"/>
      <c r="I24" s="297" t="s">
        <v>4256</v>
      </c>
      <c r="J24" s="420"/>
      <c r="K24" s="420"/>
      <c r="L24" s="421"/>
      <c r="M24" s="422"/>
      <c r="N24" s="363" t="s">
        <v>4311</v>
      </c>
      <c r="O24" s="370" t="s">
        <v>4366</v>
      </c>
    </row>
    <row r="25" spans="1:15" s="370" customFormat="1" ht="18.75" x14ac:dyDescent="0.2">
      <c r="A25" s="32">
        <f t="shared" si="0"/>
        <v>20</v>
      </c>
      <c r="B25" s="52" t="s">
        <v>409</v>
      </c>
      <c r="C25" s="32" t="s">
        <v>410</v>
      </c>
      <c r="D25" s="32" t="s">
        <v>411</v>
      </c>
      <c r="E25" s="34">
        <v>20311</v>
      </c>
      <c r="F25" s="31">
        <v>21900</v>
      </c>
      <c r="G25" s="224" t="s">
        <v>220</v>
      </c>
      <c r="H25" s="32" t="s">
        <v>4256</v>
      </c>
      <c r="I25" s="32"/>
      <c r="J25" s="79"/>
      <c r="K25" s="79"/>
      <c r="L25" s="225"/>
      <c r="M25" s="226"/>
      <c r="N25" s="13" t="s">
        <v>4311</v>
      </c>
    </row>
    <row r="26" spans="1:15" s="372" customFormat="1" ht="18.75" x14ac:dyDescent="0.3">
      <c r="A26" s="32">
        <f t="shared" si="0"/>
        <v>21</v>
      </c>
      <c r="B26" s="307" t="s">
        <v>1161</v>
      </c>
      <c r="C26" s="308" t="s">
        <v>1162</v>
      </c>
      <c r="D26" s="308" t="s">
        <v>1163</v>
      </c>
      <c r="E26" s="309">
        <v>21218</v>
      </c>
      <c r="F26" s="310">
        <v>127540</v>
      </c>
      <c r="G26" s="346" t="s">
        <v>949</v>
      </c>
      <c r="H26" s="371" t="s">
        <v>4256</v>
      </c>
      <c r="I26" s="321"/>
      <c r="J26" s="321"/>
      <c r="K26" s="323"/>
      <c r="L26" s="324"/>
      <c r="M26" s="347"/>
      <c r="N26" s="315"/>
    </row>
    <row r="27" spans="1:15" s="373" customFormat="1" ht="18.75" x14ac:dyDescent="0.2">
      <c r="A27" s="32">
        <f t="shared" si="0"/>
        <v>22</v>
      </c>
      <c r="B27" s="52" t="s">
        <v>2402</v>
      </c>
      <c r="C27" s="32" t="s">
        <v>2403</v>
      </c>
      <c r="D27" s="32" t="s">
        <v>2404</v>
      </c>
      <c r="E27" s="53" t="s">
        <v>457</v>
      </c>
      <c r="F27" s="31">
        <v>23800</v>
      </c>
      <c r="G27" s="32" t="s">
        <v>2383</v>
      </c>
      <c r="H27" s="479" t="s">
        <v>4256</v>
      </c>
      <c r="I27" s="32"/>
      <c r="J27" s="79"/>
      <c r="K27" s="225"/>
      <c r="L27" s="226"/>
      <c r="M27" s="234"/>
      <c r="N27" s="285" t="s">
        <v>4254</v>
      </c>
    </row>
    <row r="28" spans="1:15" s="372" customFormat="1" ht="37.5" x14ac:dyDescent="0.3">
      <c r="A28" s="32">
        <f t="shared" si="0"/>
        <v>23</v>
      </c>
      <c r="B28" s="337" t="s">
        <v>1174</v>
      </c>
      <c r="C28" s="308" t="s">
        <v>1167</v>
      </c>
      <c r="D28" s="308" t="s">
        <v>1168</v>
      </c>
      <c r="E28" s="348" t="s">
        <v>1169</v>
      </c>
      <c r="F28" s="349">
        <v>10550</v>
      </c>
      <c r="G28" s="346" t="s">
        <v>949</v>
      </c>
      <c r="H28" s="371" t="s">
        <v>4256</v>
      </c>
      <c r="I28" s="371"/>
      <c r="J28" s="308"/>
      <c r="K28" s="341"/>
      <c r="L28" s="341"/>
      <c r="M28" s="308"/>
      <c r="N28" s="245" t="s">
        <v>4255</v>
      </c>
    </row>
    <row r="29" spans="1:15" s="372" customFormat="1" ht="37.5" x14ac:dyDescent="0.3">
      <c r="A29" s="32">
        <f t="shared" si="0"/>
        <v>24</v>
      </c>
      <c r="B29" s="337" t="s">
        <v>1174</v>
      </c>
      <c r="C29" s="308" t="s">
        <v>1170</v>
      </c>
      <c r="D29" s="308" t="s">
        <v>1171</v>
      </c>
      <c r="E29" s="348" t="s">
        <v>1169</v>
      </c>
      <c r="F29" s="349">
        <v>10550</v>
      </c>
      <c r="G29" s="346" t="s">
        <v>949</v>
      </c>
      <c r="H29" s="371" t="s">
        <v>4256</v>
      </c>
      <c r="I29" s="321"/>
      <c r="J29" s="321"/>
      <c r="K29" s="324"/>
      <c r="L29" s="324"/>
      <c r="M29" s="321"/>
      <c r="N29" s="350"/>
    </row>
    <row r="30" spans="1:15" s="372" customFormat="1" ht="37.5" x14ac:dyDescent="0.3">
      <c r="A30" s="32">
        <f t="shared" si="0"/>
        <v>25</v>
      </c>
      <c r="B30" s="337" t="s">
        <v>1174</v>
      </c>
      <c r="C30" s="308" t="s">
        <v>1172</v>
      </c>
      <c r="D30" s="308" t="s">
        <v>1173</v>
      </c>
      <c r="E30" s="348" t="s">
        <v>1169</v>
      </c>
      <c r="F30" s="349">
        <v>10550</v>
      </c>
      <c r="G30" s="346" t="s">
        <v>949</v>
      </c>
      <c r="H30" s="371" t="s">
        <v>4256</v>
      </c>
      <c r="I30" s="332"/>
      <c r="J30" s="332"/>
      <c r="K30" s="351"/>
      <c r="L30" s="351"/>
      <c r="M30" s="332"/>
      <c r="N30" s="350"/>
    </row>
    <row r="31" spans="1:15" s="372" customFormat="1" ht="37.5" x14ac:dyDescent="0.3">
      <c r="A31" s="32">
        <f t="shared" si="0"/>
        <v>26</v>
      </c>
      <c r="B31" s="337" t="s">
        <v>1174</v>
      </c>
      <c r="C31" s="308" t="s">
        <v>1175</v>
      </c>
      <c r="D31" s="308" t="s">
        <v>1176</v>
      </c>
      <c r="E31" s="348" t="s">
        <v>1169</v>
      </c>
      <c r="F31" s="349">
        <v>10550</v>
      </c>
      <c r="G31" s="346" t="s">
        <v>949</v>
      </c>
      <c r="H31" s="371" t="s">
        <v>4256</v>
      </c>
      <c r="I31" s="321"/>
      <c r="J31" s="321"/>
      <c r="K31" s="324"/>
      <c r="L31" s="324"/>
      <c r="M31" s="321"/>
      <c r="N31" s="350"/>
    </row>
    <row r="32" spans="1:15" s="372" customFormat="1" ht="37.5" x14ac:dyDescent="0.3">
      <c r="A32" s="32">
        <f t="shared" si="0"/>
        <v>27</v>
      </c>
      <c r="B32" s="337" t="s">
        <v>1174</v>
      </c>
      <c r="C32" s="308" t="s">
        <v>1177</v>
      </c>
      <c r="D32" s="308" t="s">
        <v>1178</v>
      </c>
      <c r="E32" s="348" t="s">
        <v>1169</v>
      </c>
      <c r="F32" s="349">
        <v>10550</v>
      </c>
      <c r="G32" s="346" t="s">
        <v>949</v>
      </c>
      <c r="H32" s="371" t="s">
        <v>4256</v>
      </c>
      <c r="I32" s="321"/>
      <c r="J32" s="321"/>
      <c r="K32" s="351"/>
      <c r="L32" s="324"/>
      <c r="M32" s="321"/>
      <c r="N32" s="350"/>
    </row>
    <row r="33" spans="1:15" s="372" customFormat="1" ht="37.5" x14ac:dyDescent="0.3">
      <c r="A33" s="32">
        <f t="shared" si="0"/>
        <v>28</v>
      </c>
      <c r="B33" s="337" t="s">
        <v>1174</v>
      </c>
      <c r="C33" s="308" t="s">
        <v>1179</v>
      </c>
      <c r="D33" s="308" t="s">
        <v>1180</v>
      </c>
      <c r="E33" s="348" t="s">
        <v>1169</v>
      </c>
      <c r="F33" s="349">
        <v>10550</v>
      </c>
      <c r="G33" s="346" t="s">
        <v>949</v>
      </c>
      <c r="H33" s="371" t="s">
        <v>4256</v>
      </c>
      <c r="I33" s="321"/>
      <c r="J33" s="321"/>
      <c r="K33" s="324"/>
      <c r="L33" s="324"/>
      <c r="M33" s="321"/>
      <c r="N33" s="350"/>
    </row>
    <row r="34" spans="1:15" s="372" customFormat="1" ht="18.75" x14ac:dyDescent="0.3">
      <c r="A34" s="32">
        <f t="shared" si="0"/>
        <v>29</v>
      </c>
      <c r="B34" s="307" t="s">
        <v>1164</v>
      </c>
      <c r="C34" s="308" t="s">
        <v>1165</v>
      </c>
      <c r="D34" s="308" t="s">
        <v>1166</v>
      </c>
      <c r="E34" s="317" t="s">
        <v>1126</v>
      </c>
      <c r="F34" s="310">
        <v>3000</v>
      </c>
      <c r="G34" s="346" t="s">
        <v>949</v>
      </c>
      <c r="H34" s="371" t="s">
        <v>4256</v>
      </c>
      <c r="I34" s="321"/>
      <c r="J34" s="321"/>
      <c r="K34" s="323"/>
      <c r="L34" s="324"/>
      <c r="M34" s="347"/>
      <c r="N34" s="315"/>
    </row>
    <row r="35" spans="1:15" s="372" customFormat="1" ht="37.5" x14ac:dyDescent="0.3">
      <c r="A35" s="32">
        <f t="shared" si="0"/>
        <v>30</v>
      </c>
      <c r="B35" s="364" t="s">
        <v>1181</v>
      </c>
      <c r="C35" s="365" t="s">
        <v>1182</v>
      </c>
      <c r="D35" s="365" t="s">
        <v>1183</v>
      </c>
      <c r="E35" s="366" t="s">
        <v>1169</v>
      </c>
      <c r="F35" s="367">
        <v>3000</v>
      </c>
      <c r="G35" s="368" t="s">
        <v>949</v>
      </c>
      <c r="H35" s="369"/>
      <c r="I35" s="369" t="s">
        <v>4256</v>
      </c>
      <c r="J35" s="847"/>
      <c r="K35" s="848"/>
      <c r="L35" s="848"/>
      <c r="M35" s="847"/>
      <c r="N35" s="846"/>
    </row>
    <row r="36" spans="1:15" s="372" customFormat="1" ht="37.5" x14ac:dyDescent="0.3">
      <c r="A36" s="32">
        <f t="shared" si="0"/>
        <v>31</v>
      </c>
      <c r="B36" s="364" t="s">
        <v>1181</v>
      </c>
      <c r="C36" s="365" t="s">
        <v>1184</v>
      </c>
      <c r="D36" s="365" t="s">
        <v>1185</v>
      </c>
      <c r="E36" s="366" t="s">
        <v>1169</v>
      </c>
      <c r="F36" s="367">
        <v>3000</v>
      </c>
      <c r="G36" s="368" t="s">
        <v>949</v>
      </c>
      <c r="H36" s="369"/>
      <c r="I36" s="369" t="s">
        <v>4256</v>
      </c>
      <c r="J36" s="844"/>
      <c r="K36" s="845"/>
      <c r="L36" s="845"/>
      <c r="M36" s="844"/>
      <c r="N36" s="846"/>
    </row>
    <row r="37" spans="1:15" s="372" customFormat="1" ht="37.5" x14ac:dyDescent="0.3">
      <c r="A37" s="32">
        <f t="shared" si="0"/>
        <v>32</v>
      </c>
      <c r="B37" s="364" t="s">
        <v>1181</v>
      </c>
      <c r="C37" s="365" t="s">
        <v>1186</v>
      </c>
      <c r="D37" s="365" t="s">
        <v>1187</v>
      </c>
      <c r="E37" s="366" t="s">
        <v>1169</v>
      </c>
      <c r="F37" s="367">
        <v>3000</v>
      </c>
      <c r="G37" s="368" t="s">
        <v>949</v>
      </c>
      <c r="H37" s="369"/>
      <c r="I37" s="369" t="s">
        <v>4256</v>
      </c>
      <c r="J37" s="844"/>
      <c r="K37" s="845"/>
      <c r="L37" s="845"/>
      <c r="M37" s="844"/>
      <c r="N37" s="846"/>
    </row>
    <row r="38" spans="1:15" s="372" customFormat="1" ht="37.5" x14ac:dyDescent="0.3">
      <c r="A38" s="32">
        <f t="shared" si="0"/>
        <v>33</v>
      </c>
      <c r="B38" s="337" t="s">
        <v>1181</v>
      </c>
      <c r="C38" s="308" t="s">
        <v>1188</v>
      </c>
      <c r="D38" s="308" t="s">
        <v>1189</v>
      </c>
      <c r="E38" s="348" t="s">
        <v>1169</v>
      </c>
      <c r="F38" s="349">
        <v>3000</v>
      </c>
      <c r="G38" s="346" t="s">
        <v>949</v>
      </c>
      <c r="H38" s="371" t="s">
        <v>4256</v>
      </c>
      <c r="I38" s="371"/>
      <c r="J38" s="332"/>
      <c r="K38" s="351"/>
      <c r="L38" s="351"/>
      <c r="M38" s="332"/>
      <c r="N38" s="350"/>
    </row>
    <row r="39" spans="1:15" s="372" customFormat="1" ht="37.5" x14ac:dyDescent="0.3">
      <c r="A39" s="32">
        <f t="shared" si="0"/>
        <v>34</v>
      </c>
      <c r="B39" s="364" t="s">
        <v>1181</v>
      </c>
      <c r="C39" s="365" t="s">
        <v>1190</v>
      </c>
      <c r="D39" s="365" t="s">
        <v>1191</v>
      </c>
      <c r="E39" s="366" t="s">
        <v>1169</v>
      </c>
      <c r="F39" s="367">
        <v>3000</v>
      </c>
      <c r="G39" s="368" t="s">
        <v>949</v>
      </c>
      <c r="H39" s="369"/>
      <c r="I39" s="369" t="s">
        <v>4256</v>
      </c>
      <c r="J39" s="844"/>
      <c r="K39" s="845"/>
      <c r="L39" s="845"/>
      <c r="M39" s="844"/>
      <c r="N39" s="846"/>
    </row>
    <row r="40" spans="1:15" s="372" customFormat="1" ht="37.5" x14ac:dyDescent="0.3">
      <c r="A40" s="32">
        <f t="shared" si="0"/>
        <v>35</v>
      </c>
      <c r="B40" s="364" t="s">
        <v>1181</v>
      </c>
      <c r="C40" s="365" t="s">
        <v>1192</v>
      </c>
      <c r="D40" s="365" t="s">
        <v>1193</v>
      </c>
      <c r="E40" s="366" t="s">
        <v>1169</v>
      </c>
      <c r="F40" s="367">
        <v>3000</v>
      </c>
      <c r="G40" s="368" t="s">
        <v>949</v>
      </c>
      <c r="H40" s="369"/>
      <c r="I40" s="369" t="s">
        <v>4256</v>
      </c>
      <c r="J40" s="844"/>
      <c r="K40" s="845"/>
      <c r="L40" s="845"/>
      <c r="M40" s="844"/>
      <c r="N40" s="846"/>
    </row>
    <row r="41" spans="1:15" s="372" customFormat="1" ht="37.5" x14ac:dyDescent="0.3">
      <c r="A41" s="32">
        <f t="shared" si="0"/>
        <v>36</v>
      </c>
      <c r="B41" s="364" t="s">
        <v>1181</v>
      </c>
      <c r="C41" s="365" t="s">
        <v>1194</v>
      </c>
      <c r="D41" s="365" t="s">
        <v>1195</v>
      </c>
      <c r="E41" s="366" t="s">
        <v>1169</v>
      </c>
      <c r="F41" s="367">
        <v>3000</v>
      </c>
      <c r="G41" s="368" t="s">
        <v>949</v>
      </c>
      <c r="H41" s="369"/>
      <c r="I41" s="369" t="s">
        <v>4256</v>
      </c>
      <c r="J41" s="844"/>
      <c r="K41" s="845"/>
      <c r="L41" s="845"/>
      <c r="M41" s="844"/>
      <c r="N41" s="846"/>
    </row>
    <row r="42" spans="1:15" s="372" customFormat="1" ht="37.5" x14ac:dyDescent="0.3">
      <c r="A42" s="32">
        <f t="shared" si="0"/>
        <v>37</v>
      </c>
      <c r="B42" s="337" t="s">
        <v>1181</v>
      </c>
      <c r="C42" s="308" t="s">
        <v>1196</v>
      </c>
      <c r="D42" s="308" t="s">
        <v>1197</v>
      </c>
      <c r="E42" s="348" t="s">
        <v>1169</v>
      </c>
      <c r="F42" s="349">
        <v>3000</v>
      </c>
      <c r="G42" s="346" t="s">
        <v>949</v>
      </c>
      <c r="H42" s="371" t="s">
        <v>4256</v>
      </c>
      <c r="I42" s="332"/>
      <c r="J42" s="332"/>
      <c r="K42" s="351"/>
      <c r="L42" s="351"/>
      <c r="M42" s="332"/>
      <c r="N42" s="350"/>
    </row>
    <row r="43" spans="1:15" s="335" customFormat="1" ht="18.75" x14ac:dyDescent="0.3">
      <c r="A43" s="32">
        <f t="shared" si="0"/>
        <v>38</v>
      </c>
      <c r="B43" s="619" t="s">
        <v>4046</v>
      </c>
      <c r="C43" s="28" t="s">
        <v>4047</v>
      </c>
      <c r="D43" s="620" t="s">
        <v>4048</v>
      </c>
      <c r="E43" s="759" t="s">
        <v>4049</v>
      </c>
      <c r="F43" s="760">
        <v>165000</v>
      </c>
      <c r="G43" s="620" t="s">
        <v>3892</v>
      </c>
      <c r="H43" s="32" t="s">
        <v>4256</v>
      </c>
      <c r="I43" s="620"/>
      <c r="K43" s="623"/>
      <c r="L43" s="624"/>
      <c r="M43" s="761"/>
      <c r="N43" s="350"/>
      <c r="O43" s="772">
        <f>F43+F105+F106+F107+F112+F295</f>
        <v>677114.18</v>
      </c>
    </row>
    <row r="44" spans="1:15" s="373" customFormat="1" ht="18.75" x14ac:dyDescent="0.2">
      <c r="A44" s="32">
        <f t="shared" si="0"/>
        <v>39</v>
      </c>
      <c r="B44" s="52" t="s">
        <v>2405</v>
      </c>
      <c r="C44" s="32" t="s">
        <v>2406</v>
      </c>
      <c r="D44" s="32" t="s">
        <v>2407</v>
      </c>
      <c r="E44" s="53" t="s">
        <v>457</v>
      </c>
      <c r="F44" s="31">
        <v>5800</v>
      </c>
      <c r="G44" s="32" t="s">
        <v>2383</v>
      </c>
      <c r="H44" s="479" t="s">
        <v>4256</v>
      </c>
      <c r="I44" s="32"/>
      <c r="J44" s="79"/>
      <c r="K44" s="225"/>
      <c r="L44" s="226"/>
      <c r="M44" s="234"/>
      <c r="N44" s="285" t="s">
        <v>4254</v>
      </c>
    </row>
    <row r="45" spans="1:15" s="373" customFormat="1" ht="18.75" x14ac:dyDescent="0.2">
      <c r="A45" s="32">
        <f t="shared" si="0"/>
        <v>40</v>
      </c>
      <c r="B45" s="52" t="s">
        <v>2408</v>
      </c>
      <c r="C45" s="32" t="s">
        <v>2409</v>
      </c>
      <c r="D45" s="32" t="s">
        <v>2410</v>
      </c>
      <c r="E45" s="53" t="s">
        <v>457</v>
      </c>
      <c r="F45" s="31">
        <v>5000</v>
      </c>
      <c r="G45" s="32" t="s">
        <v>2383</v>
      </c>
      <c r="H45" s="479" t="s">
        <v>4256</v>
      </c>
      <c r="I45" s="32"/>
      <c r="J45" s="79"/>
      <c r="K45" s="225"/>
      <c r="L45" s="226"/>
      <c r="M45" s="234"/>
      <c r="N45" s="285" t="s">
        <v>4254</v>
      </c>
    </row>
    <row r="46" spans="1:15" s="370" customFormat="1" ht="18.75" x14ac:dyDescent="0.2">
      <c r="A46" s="32">
        <f t="shared" si="0"/>
        <v>41</v>
      </c>
      <c r="B46" s="52" t="s">
        <v>454</v>
      </c>
      <c r="C46" s="32" t="s">
        <v>455</v>
      </c>
      <c r="D46" s="32" t="s">
        <v>456</v>
      </c>
      <c r="E46" s="53" t="s">
        <v>457</v>
      </c>
      <c r="F46" s="31">
        <v>16900</v>
      </c>
      <c r="G46" s="32" t="s">
        <v>200</v>
      </c>
      <c r="H46" s="32" t="s">
        <v>4256</v>
      </c>
      <c r="I46" s="243"/>
      <c r="J46" s="243"/>
      <c r="K46" s="243"/>
      <c r="L46" s="244"/>
      <c r="M46" s="65"/>
      <c r="N46" s="65" t="s">
        <v>288</v>
      </c>
    </row>
    <row r="47" spans="1:15" s="373" customFormat="1" ht="18.75" x14ac:dyDescent="0.2">
      <c r="A47" s="32">
        <f t="shared" si="0"/>
        <v>42</v>
      </c>
      <c r="B47" s="52" t="s">
        <v>2399</v>
      </c>
      <c r="C47" s="32" t="s">
        <v>2400</v>
      </c>
      <c r="D47" s="32" t="s">
        <v>2401</v>
      </c>
      <c r="E47" s="53" t="s">
        <v>457</v>
      </c>
      <c r="F47" s="31">
        <v>11900</v>
      </c>
      <c r="G47" s="32" t="s">
        <v>2383</v>
      </c>
      <c r="H47" s="479" t="s">
        <v>4256</v>
      </c>
      <c r="I47" s="243"/>
      <c r="J47" s="243"/>
      <c r="K47" s="243"/>
      <c r="L47" s="244"/>
      <c r="M47" s="65"/>
      <c r="N47" s="285" t="s">
        <v>3833</v>
      </c>
    </row>
    <row r="48" spans="1:15" s="370" customFormat="1" ht="18.75" x14ac:dyDescent="0.2">
      <c r="A48" s="32">
        <f t="shared" si="0"/>
        <v>43</v>
      </c>
      <c r="B48" s="52" t="s">
        <v>459</v>
      </c>
      <c r="C48" s="32" t="s">
        <v>460</v>
      </c>
      <c r="D48" s="32" t="s">
        <v>461</v>
      </c>
      <c r="E48" s="53" t="s">
        <v>457</v>
      </c>
      <c r="F48" s="31">
        <v>20800</v>
      </c>
      <c r="G48" s="32" t="s">
        <v>200</v>
      </c>
      <c r="H48" s="32" t="s">
        <v>4256</v>
      </c>
      <c r="I48" s="32"/>
      <c r="J48" s="79"/>
      <c r="K48" s="225"/>
      <c r="L48" s="226"/>
      <c r="M48" s="234"/>
      <c r="N48" s="245" t="s">
        <v>4316</v>
      </c>
    </row>
    <row r="49" spans="1:14" s="372" customFormat="1" ht="18.75" x14ac:dyDescent="0.3">
      <c r="A49" s="32">
        <f t="shared" si="0"/>
        <v>44</v>
      </c>
      <c r="B49" s="307" t="s">
        <v>1333</v>
      </c>
      <c r="C49" s="308" t="s">
        <v>1334</v>
      </c>
      <c r="D49" s="308" t="s">
        <v>1335</v>
      </c>
      <c r="E49" s="319" t="s">
        <v>457</v>
      </c>
      <c r="F49" s="310">
        <v>4200</v>
      </c>
      <c r="G49" s="308" t="s">
        <v>825</v>
      </c>
      <c r="H49" s="320" t="s">
        <v>4256</v>
      </c>
      <c r="I49" s="352"/>
      <c r="J49" s="352"/>
      <c r="K49" s="352"/>
      <c r="L49" s="353"/>
      <c r="M49" s="306"/>
      <c r="N49" s="354"/>
    </row>
    <row r="50" spans="1:14" s="372" customFormat="1" ht="18.75" x14ac:dyDescent="0.3">
      <c r="A50" s="32">
        <f t="shared" si="0"/>
        <v>45</v>
      </c>
      <c r="B50" s="307" t="s">
        <v>1336</v>
      </c>
      <c r="C50" s="308" t="s">
        <v>1337</v>
      </c>
      <c r="D50" s="308" t="s">
        <v>1338</v>
      </c>
      <c r="E50" s="319" t="s">
        <v>457</v>
      </c>
      <c r="F50" s="310">
        <v>19800</v>
      </c>
      <c r="G50" s="308" t="s">
        <v>825</v>
      </c>
      <c r="H50" s="320" t="s">
        <v>4256</v>
      </c>
      <c r="I50" s="321"/>
      <c r="J50" s="322"/>
      <c r="K50" s="322"/>
      <c r="L50" s="322"/>
      <c r="M50" s="322"/>
      <c r="N50" s="332"/>
    </row>
    <row r="51" spans="1:14" s="372" customFormat="1" ht="18.75" x14ac:dyDescent="0.3">
      <c r="A51" s="32">
        <f t="shared" si="0"/>
        <v>46</v>
      </c>
      <c r="B51" s="307" t="s">
        <v>1336</v>
      </c>
      <c r="C51" s="308" t="s">
        <v>1339</v>
      </c>
      <c r="D51" s="308" t="s">
        <v>1340</v>
      </c>
      <c r="E51" s="319" t="s">
        <v>457</v>
      </c>
      <c r="F51" s="310">
        <v>19800</v>
      </c>
      <c r="G51" s="308" t="s">
        <v>825</v>
      </c>
      <c r="H51" s="320" t="s">
        <v>4256</v>
      </c>
      <c r="I51" s="321"/>
      <c r="J51" s="322"/>
      <c r="K51" s="322"/>
      <c r="L51" s="322"/>
      <c r="M51" s="322"/>
      <c r="N51" s="332"/>
    </row>
    <row r="52" spans="1:14" s="372" customFormat="1" ht="18.75" x14ac:dyDescent="0.3">
      <c r="A52" s="32">
        <f t="shared" si="0"/>
        <v>47</v>
      </c>
      <c r="B52" s="307" t="s">
        <v>1336</v>
      </c>
      <c r="C52" s="308" t="s">
        <v>1341</v>
      </c>
      <c r="D52" s="308" t="s">
        <v>1342</v>
      </c>
      <c r="E52" s="319" t="s">
        <v>457</v>
      </c>
      <c r="F52" s="310">
        <v>19800</v>
      </c>
      <c r="G52" s="308" t="s">
        <v>825</v>
      </c>
      <c r="H52" s="320" t="s">
        <v>4256</v>
      </c>
      <c r="I52" s="321"/>
      <c r="J52" s="322"/>
      <c r="K52" s="322"/>
      <c r="L52" s="322"/>
      <c r="M52" s="322"/>
      <c r="N52" s="332"/>
    </row>
    <row r="53" spans="1:14" s="372" customFormat="1" ht="18.75" x14ac:dyDescent="0.3">
      <c r="A53" s="32">
        <f t="shared" si="0"/>
        <v>48</v>
      </c>
      <c r="B53" s="307" t="s">
        <v>1336</v>
      </c>
      <c r="C53" s="308" t="s">
        <v>1343</v>
      </c>
      <c r="D53" s="308" t="s">
        <v>1344</v>
      </c>
      <c r="E53" s="319" t="s">
        <v>457</v>
      </c>
      <c r="F53" s="310">
        <v>19800</v>
      </c>
      <c r="G53" s="308" t="s">
        <v>825</v>
      </c>
      <c r="H53" s="320" t="s">
        <v>4256</v>
      </c>
      <c r="I53" s="321"/>
      <c r="J53" s="322"/>
      <c r="K53" s="322"/>
      <c r="L53" s="322"/>
      <c r="M53" s="322"/>
      <c r="N53" s="332"/>
    </row>
    <row r="54" spans="1:14" s="372" customFormat="1" ht="18.75" x14ac:dyDescent="0.3">
      <c r="A54" s="32">
        <f t="shared" si="0"/>
        <v>49</v>
      </c>
      <c r="B54" s="307" t="s">
        <v>1336</v>
      </c>
      <c r="C54" s="308" t="s">
        <v>1345</v>
      </c>
      <c r="D54" s="308" t="s">
        <v>1346</v>
      </c>
      <c r="E54" s="319" t="s">
        <v>457</v>
      </c>
      <c r="F54" s="310">
        <v>19800</v>
      </c>
      <c r="G54" s="308" t="s">
        <v>825</v>
      </c>
      <c r="H54" s="320" t="s">
        <v>4256</v>
      </c>
      <c r="I54" s="321"/>
      <c r="J54" s="322"/>
      <c r="K54" s="322"/>
      <c r="L54" s="322"/>
      <c r="M54" s="322"/>
      <c r="N54" s="332"/>
    </row>
    <row r="55" spans="1:14" s="372" customFormat="1" ht="18.75" x14ac:dyDescent="0.3">
      <c r="A55" s="32">
        <f t="shared" si="0"/>
        <v>50</v>
      </c>
      <c r="B55" s="307" t="s">
        <v>1336</v>
      </c>
      <c r="C55" s="308" t="s">
        <v>1347</v>
      </c>
      <c r="D55" s="308" t="s">
        <v>1348</v>
      </c>
      <c r="E55" s="319" t="s">
        <v>457</v>
      </c>
      <c r="F55" s="310">
        <v>19800</v>
      </c>
      <c r="G55" s="308" t="s">
        <v>825</v>
      </c>
      <c r="H55" s="320" t="s">
        <v>4256</v>
      </c>
      <c r="I55" s="321"/>
      <c r="J55" s="322"/>
      <c r="K55" s="322"/>
      <c r="L55" s="322"/>
      <c r="M55" s="322"/>
      <c r="N55" s="332"/>
    </row>
    <row r="56" spans="1:14" s="372" customFormat="1" ht="18.75" x14ac:dyDescent="0.3">
      <c r="A56" s="32">
        <f t="shared" si="0"/>
        <v>51</v>
      </c>
      <c r="B56" s="307" t="s">
        <v>1336</v>
      </c>
      <c r="C56" s="308" t="s">
        <v>1349</v>
      </c>
      <c r="D56" s="308" t="s">
        <v>1350</v>
      </c>
      <c r="E56" s="319" t="s">
        <v>457</v>
      </c>
      <c r="F56" s="310">
        <v>19800</v>
      </c>
      <c r="G56" s="308" t="s">
        <v>825</v>
      </c>
      <c r="H56" s="320" t="s">
        <v>4256</v>
      </c>
      <c r="I56" s="321"/>
      <c r="J56" s="322"/>
      <c r="K56" s="322"/>
      <c r="L56" s="322"/>
      <c r="M56" s="322"/>
      <c r="N56" s="332"/>
    </row>
    <row r="57" spans="1:14" s="372" customFormat="1" ht="18.75" x14ac:dyDescent="0.3">
      <c r="A57" s="32">
        <f t="shared" si="0"/>
        <v>52</v>
      </c>
      <c r="B57" s="307" t="s">
        <v>1336</v>
      </c>
      <c r="C57" s="308" t="s">
        <v>1351</v>
      </c>
      <c r="D57" s="308" t="s">
        <v>1352</v>
      </c>
      <c r="E57" s="319" t="s">
        <v>457</v>
      </c>
      <c r="F57" s="310">
        <v>19800</v>
      </c>
      <c r="G57" s="308" t="s">
        <v>825</v>
      </c>
      <c r="H57" s="320" t="s">
        <v>4256</v>
      </c>
      <c r="I57" s="321"/>
      <c r="J57" s="322"/>
      <c r="K57" s="322"/>
      <c r="L57" s="322"/>
      <c r="M57" s="322"/>
      <c r="N57" s="332"/>
    </row>
    <row r="58" spans="1:14" s="372" customFormat="1" ht="18.75" x14ac:dyDescent="0.3">
      <c r="A58" s="32">
        <f t="shared" si="0"/>
        <v>53</v>
      </c>
      <c r="B58" s="307" t="s">
        <v>1336</v>
      </c>
      <c r="C58" s="308" t="s">
        <v>1353</v>
      </c>
      <c r="D58" s="308" t="s">
        <v>1354</v>
      </c>
      <c r="E58" s="319" t="s">
        <v>457</v>
      </c>
      <c r="F58" s="310">
        <v>19800</v>
      </c>
      <c r="G58" s="308" t="s">
        <v>825</v>
      </c>
      <c r="H58" s="320" t="s">
        <v>4256</v>
      </c>
      <c r="I58" s="321"/>
      <c r="J58" s="322"/>
      <c r="K58" s="322"/>
      <c r="L58" s="322"/>
      <c r="M58" s="322"/>
      <c r="N58" s="332"/>
    </row>
    <row r="59" spans="1:14" s="372" customFormat="1" ht="18.75" x14ac:dyDescent="0.3">
      <c r="A59" s="32">
        <f t="shared" si="0"/>
        <v>54</v>
      </c>
      <c r="B59" s="307" t="s">
        <v>1336</v>
      </c>
      <c r="C59" s="308" t="s">
        <v>1355</v>
      </c>
      <c r="D59" s="308" t="s">
        <v>1356</v>
      </c>
      <c r="E59" s="319" t="s">
        <v>457</v>
      </c>
      <c r="F59" s="310">
        <v>19800</v>
      </c>
      <c r="G59" s="308" t="s">
        <v>825</v>
      </c>
      <c r="H59" s="326" t="s">
        <v>4256</v>
      </c>
      <c r="I59" s="321"/>
      <c r="J59" s="322"/>
      <c r="K59" s="322"/>
      <c r="L59" s="322"/>
      <c r="M59" s="322"/>
      <c r="N59" s="332"/>
    </row>
    <row r="60" spans="1:14" s="373" customFormat="1" ht="37.5" x14ac:dyDescent="0.2">
      <c r="A60" s="32">
        <f t="shared" si="0"/>
        <v>55</v>
      </c>
      <c r="B60" s="246" t="s">
        <v>2570</v>
      </c>
      <c r="C60" s="32" t="s">
        <v>2571</v>
      </c>
      <c r="D60" s="32" t="s">
        <v>2572</v>
      </c>
      <c r="E60" s="53" t="s">
        <v>2573</v>
      </c>
      <c r="F60" s="31">
        <v>20000</v>
      </c>
      <c r="G60" s="56" t="s">
        <v>2383</v>
      </c>
      <c r="H60" s="326" t="s">
        <v>4256</v>
      </c>
      <c r="I60" s="32"/>
      <c r="J60" s="32"/>
      <c r="K60" s="225"/>
      <c r="L60" s="226"/>
      <c r="M60" s="234"/>
      <c r="N60" s="285" t="s">
        <v>3835</v>
      </c>
    </row>
    <row r="61" spans="1:14" s="373" customFormat="1" ht="18.75" x14ac:dyDescent="0.2">
      <c r="A61" s="32">
        <f t="shared" si="0"/>
        <v>56</v>
      </c>
      <c r="B61" s="246" t="s">
        <v>2574</v>
      </c>
      <c r="C61" s="32" t="s">
        <v>2575</v>
      </c>
      <c r="D61" s="32" t="s">
        <v>2576</v>
      </c>
      <c r="E61" s="53" t="s">
        <v>2573</v>
      </c>
      <c r="F61" s="31">
        <v>5500</v>
      </c>
      <c r="G61" s="56" t="s">
        <v>2383</v>
      </c>
      <c r="H61" s="326" t="s">
        <v>4256</v>
      </c>
      <c r="I61" s="32"/>
      <c r="J61" s="32"/>
      <c r="K61" s="225"/>
      <c r="L61" s="226"/>
      <c r="M61" s="234"/>
      <c r="N61" s="285" t="s">
        <v>3835</v>
      </c>
    </row>
    <row r="62" spans="1:14" s="373" customFormat="1" ht="37.5" x14ac:dyDescent="0.2">
      <c r="A62" s="32">
        <f t="shared" si="0"/>
        <v>57</v>
      </c>
      <c r="B62" s="246" t="s">
        <v>2570</v>
      </c>
      <c r="C62" s="32" t="s">
        <v>2577</v>
      </c>
      <c r="D62" s="32" t="s">
        <v>2578</v>
      </c>
      <c r="E62" s="53" t="s">
        <v>2573</v>
      </c>
      <c r="F62" s="54">
        <v>20000</v>
      </c>
      <c r="G62" s="56" t="s">
        <v>2383</v>
      </c>
      <c r="H62" s="326" t="s">
        <v>4256</v>
      </c>
      <c r="I62" s="32"/>
      <c r="J62" s="32"/>
      <c r="K62" s="226"/>
      <c r="L62" s="226"/>
      <c r="M62" s="32"/>
      <c r="N62" s="285" t="s">
        <v>3835</v>
      </c>
    </row>
    <row r="63" spans="1:14" s="373" customFormat="1" ht="18.75" x14ac:dyDescent="0.2">
      <c r="A63" s="32">
        <f t="shared" si="0"/>
        <v>58</v>
      </c>
      <c r="B63" s="246" t="s">
        <v>2574</v>
      </c>
      <c r="C63" s="32" t="s">
        <v>2579</v>
      </c>
      <c r="D63" s="32" t="s">
        <v>2580</v>
      </c>
      <c r="E63" s="53" t="s">
        <v>2573</v>
      </c>
      <c r="F63" s="31">
        <v>5500</v>
      </c>
      <c r="G63" s="56" t="s">
        <v>2383</v>
      </c>
      <c r="H63" s="326" t="s">
        <v>4256</v>
      </c>
      <c r="I63" s="32"/>
      <c r="J63" s="32"/>
      <c r="K63" s="225"/>
      <c r="L63" s="226"/>
      <c r="M63" s="234"/>
      <c r="N63" s="285" t="s">
        <v>3835</v>
      </c>
    </row>
    <row r="64" spans="1:14" s="373" customFormat="1" ht="37.5" x14ac:dyDescent="0.2">
      <c r="A64" s="32">
        <f t="shared" si="0"/>
        <v>59</v>
      </c>
      <c r="B64" s="52" t="s">
        <v>2581</v>
      </c>
      <c r="C64" s="32" t="s">
        <v>2582</v>
      </c>
      <c r="D64" s="32" t="s">
        <v>2583</v>
      </c>
      <c r="E64" s="53" t="s">
        <v>2573</v>
      </c>
      <c r="F64" s="54">
        <v>18000</v>
      </c>
      <c r="G64" s="56" t="s">
        <v>2383</v>
      </c>
      <c r="H64" s="326" t="s">
        <v>4256</v>
      </c>
      <c r="I64" s="32"/>
      <c r="J64" s="32"/>
      <c r="K64" s="226"/>
      <c r="L64" s="226"/>
      <c r="M64" s="32"/>
      <c r="N64" s="316"/>
    </row>
    <row r="65" spans="1:15" s="373" customFormat="1" ht="18.75" x14ac:dyDescent="0.2">
      <c r="A65" s="32">
        <f t="shared" si="0"/>
        <v>60</v>
      </c>
      <c r="B65" s="52" t="s">
        <v>2829</v>
      </c>
      <c r="C65" s="32" t="s">
        <v>2830</v>
      </c>
      <c r="D65" s="32" t="s">
        <v>2831</v>
      </c>
      <c r="E65" s="53" t="s">
        <v>479</v>
      </c>
      <c r="F65" s="54">
        <v>2900</v>
      </c>
      <c r="G65" s="32" t="s">
        <v>2378</v>
      </c>
      <c r="H65" s="326" t="s">
        <v>4256</v>
      </c>
      <c r="I65" s="32"/>
      <c r="J65" s="32"/>
      <c r="K65" s="32"/>
      <c r="L65" s="32"/>
      <c r="M65" s="32"/>
      <c r="N65" s="285" t="s">
        <v>3865</v>
      </c>
    </row>
    <row r="66" spans="1:15" s="373" customFormat="1" ht="37.5" x14ac:dyDescent="0.2">
      <c r="A66" s="32">
        <f t="shared" si="0"/>
        <v>61</v>
      </c>
      <c r="B66" s="52" t="s">
        <v>2832</v>
      </c>
      <c r="C66" s="32" t="s">
        <v>2833</v>
      </c>
      <c r="D66" s="32" t="s">
        <v>2834</v>
      </c>
      <c r="E66" s="53" t="s">
        <v>479</v>
      </c>
      <c r="F66" s="54">
        <v>78000</v>
      </c>
      <c r="G66" s="32" t="s">
        <v>2378</v>
      </c>
      <c r="H66" s="326" t="s">
        <v>4256</v>
      </c>
      <c r="I66" s="32"/>
      <c r="J66" s="32"/>
      <c r="K66" s="32"/>
      <c r="L66" s="32"/>
      <c r="M66" s="32"/>
      <c r="N66" s="285" t="s">
        <v>3833</v>
      </c>
    </row>
    <row r="67" spans="1:15" s="373" customFormat="1" ht="37.5" x14ac:dyDescent="0.2">
      <c r="A67" s="32">
        <f t="shared" si="0"/>
        <v>62</v>
      </c>
      <c r="B67" s="52" t="s">
        <v>494</v>
      </c>
      <c r="C67" s="32" t="s">
        <v>2835</v>
      </c>
      <c r="D67" s="32" t="s">
        <v>2836</v>
      </c>
      <c r="E67" s="53" t="s">
        <v>479</v>
      </c>
      <c r="F67" s="54">
        <v>5550</v>
      </c>
      <c r="G67" s="32" t="s">
        <v>2378</v>
      </c>
      <c r="H67" s="326" t="s">
        <v>4256</v>
      </c>
      <c r="I67" s="32"/>
      <c r="J67" s="32"/>
      <c r="K67" s="32"/>
      <c r="L67" s="32"/>
      <c r="M67" s="32"/>
      <c r="N67" s="285" t="s">
        <v>3865</v>
      </c>
    </row>
    <row r="68" spans="1:15" s="373" customFormat="1" ht="37.5" x14ac:dyDescent="0.2">
      <c r="A68" s="32">
        <f t="shared" si="0"/>
        <v>63</v>
      </c>
      <c r="B68" s="416" t="s">
        <v>2837</v>
      </c>
      <c r="C68" s="297" t="s">
        <v>2838</v>
      </c>
      <c r="D68" s="297" t="s">
        <v>2839</v>
      </c>
      <c r="E68" s="849" t="s">
        <v>479</v>
      </c>
      <c r="F68" s="850">
        <v>9250</v>
      </c>
      <c r="G68" s="297" t="s">
        <v>2378</v>
      </c>
      <c r="H68" s="852"/>
      <c r="I68" s="853" t="s">
        <v>4256</v>
      </c>
      <c r="J68" s="297"/>
      <c r="K68" s="297"/>
      <c r="L68" s="297"/>
      <c r="M68" s="297"/>
      <c r="N68" s="854" t="s">
        <v>3865</v>
      </c>
    </row>
    <row r="69" spans="1:15" s="373" customFormat="1" ht="37.5" x14ac:dyDescent="0.2">
      <c r="A69" s="32">
        <f t="shared" si="0"/>
        <v>64</v>
      </c>
      <c r="B69" s="52" t="s">
        <v>2840</v>
      </c>
      <c r="C69" s="32" t="s">
        <v>2841</v>
      </c>
      <c r="D69" s="32" t="s">
        <v>2842</v>
      </c>
      <c r="E69" s="53" t="s">
        <v>479</v>
      </c>
      <c r="F69" s="54">
        <v>30100</v>
      </c>
      <c r="G69" s="32" t="s">
        <v>2843</v>
      </c>
      <c r="H69" s="479" t="s">
        <v>4256</v>
      </c>
      <c r="I69" s="32"/>
      <c r="J69" s="32"/>
      <c r="K69" s="32"/>
      <c r="L69" s="32"/>
      <c r="M69" s="32"/>
      <c r="N69" s="285" t="s">
        <v>3855</v>
      </c>
    </row>
    <row r="70" spans="1:15" s="373" customFormat="1" ht="37.5" x14ac:dyDescent="0.2">
      <c r="A70" s="32">
        <f t="shared" si="0"/>
        <v>65</v>
      </c>
      <c r="B70" s="52" t="s">
        <v>2844</v>
      </c>
      <c r="C70" s="32" t="s">
        <v>2845</v>
      </c>
      <c r="D70" s="32" t="s">
        <v>2846</v>
      </c>
      <c r="E70" s="53" t="s">
        <v>479</v>
      </c>
      <c r="F70" s="54">
        <v>3650</v>
      </c>
      <c r="G70" s="32" t="s">
        <v>2378</v>
      </c>
      <c r="H70" s="479" t="s">
        <v>4256</v>
      </c>
      <c r="I70" s="32"/>
      <c r="J70" s="32"/>
      <c r="K70" s="32"/>
      <c r="L70" s="32"/>
      <c r="M70" s="32"/>
      <c r="N70" s="285" t="s">
        <v>3837</v>
      </c>
    </row>
    <row r="71" spans="1:15" s="373" customFormat="1" ht="37.5" x14ac:dyDescent="0.2">
      <c r="A71" s="32">
        <f t="shared" ref="A71:A134" si="1">ROW()-ROW($A$6)+1</f>
        <v>66</v>
      </c>
      <c r="B71" s="52" t="s">
        <v>2844</v>
      </c>
      <c r="C71" s="32" t="s">
        <v>2847</v>
      </c>
      <c r="D71" s="32" t="s">
        <v>2848</v>
      </c>
      <c r="E71" s="53" t="s">
        <v>479</v>
      </c>
      <c r="F71" s="54">
        <v>3650</v>
      </c>
      <c r="G71" s="32" t="s">
        <v>2378</v>
      </c>
      <c r="H71" s="479" t="s">
        <v>4256</v>
      </c>
      <c r="I71" s="32"/>
      <c r="J71" s="32"/>
      <c r="K71" s="32"/>
      <c r="L71" s="32"/>
      <c r="M71" s="32"/>
      <c r="N71" s="285" t="s">
        <v>3855</v>
      </c>
    </row>
    <row r="72" spans="1:15" s="373" customFormat="1" ht="37.5" x14ac:dyDescent="0.2">
      <c r="A72" s="32">
        <f t="shared" si="1"/>
        <v>67</v>
      </c>
      <c r="B72" s="52" t="s">
        <v>2844</v>
      </c>
      <c r="C72" s="32" t="s">
        <v>2849</v>
      </c>
      <c r="D72" s="32" t="s">
        <v>2850</v>
      </c>
      <c r="E72" s="53" t="s">
        <v>479</v>
      </c>
      <c r="F72" s="54">
        <v>3650</v>
      </c>
      <c r="G72" s="32" t="s">
        <v>2378</v>
      </c>
      <c r="H72" s="479" t="s">
        <v>4256</v>
      </c>
      <c r="I72" s="32"/>
      <c r="J72" s="32"/>
      <c r="K72" s="32"/>
      <c r="L72" s="32"/>
      <c r="M72" s="32"/>
      <c r="N72" s="285" t="s">
        <v>3833</v>
      </c>
    </row>
    <row r="73" spans="1:15" s="373" customFormat="1" ht="18.75" x14ac:dyDescent="0.2">
      <c r="A73" s="32">
        <f t="shared" si="1"/>
        <v>68</v>
      </c>
      <c r="B73" s="52" t="s">
        <v>2851</v>
      </c>
      <c r="C73" s="32" t="s">
        <v>2852</v>
      </c>
      <c r="D73" s="32" t="s">
        <v>2853</v>
      </c>
      <c r="E73" s="53" t="s">
        <v>479</v>
      </c>
      <c r="F73" s="54">
        <v>3250</v>
      </c>
      <c r="G73" s="32" t="s">
        <v>2378</v>
      </c>
      <c r="H73" s="479" t="s">
        <v>4256</v>
      </c>
      <c r="I73" s="32"/>
      <c r="J73" s="32"/>
      <c r="K73" s="32"/>
      <c r="L73" s="32"/>
      <c r="M73" s="32"/>
      <c r="N73" s="285" t="s">
        <v>3855</v>
      </c>
    </row>
    <row r="74" spans="1:15" s="373" customFormat="1" ht="18.75" x14ac:dyDescent="0.2">
      <c r="A74" s="32">
        <f t="shared" si="1"/>
        <v>69</v>
      </c>
      <c r="B74" s="52" t="s">
        <v>2851</v>
      </c>
      <c r="C74" s="32" t="s">
        <v>2854</v>
      </c>
      <c r="D74" s="32" t="s">
        <v>2855</v>
      </c>
      <c r="E74" s="53" t="s">
        <v>479</v>
      </c>
      <c r="F74" s="54">
        <v>3250</v>
      </c>
      <c r="G74" s="32" t="s">
        <v>2378</v>
      </c>
      <c r="H74" s="479" t="s">
        <v>4256</v>
      </c>
      <c r="I74" s="32"/>
      <c r="J74" s="32"/>
      <c r="K74" s="32"/>
      <c r="L74" s="32"/>
      <c r="M74" s="32"/>
      <c r="N74" s="285" t="s">
        <v>3855</v>
      </c>
    </row>
    <row r="75" spans="1:15" s="370" customFormat="1" ht="37.5" x14ac:dyDescent="0.2">
      <c r="A75" s="32">
        <f t="shared" si="1"/>
        <v>70</v>
      </c>
      <c r="B75" s="52" t="s">
        <v>538</v>
      </c>
      <c r="C75" s="32" t="s">
        <v>539</v>
      </c>
      <c r="D75" s="32" t="s">
        <v>540</v>
      </c>
      <c r="E75" s="53" t="s">
        <v>503</v>
      </c>
      <c r="F75" s="54">
        <v>26000</v>
      </c>
      <c r="G75" s="32" t="s">
        <v>220</v>
      </c>
      <c r="H75" s="32" t="s">
        <v>4256</v>
      </c>
      <c r="I75" s="32"/>
      <c r="J75" s="32"/>
      <c r="K75" s="32"/>
      <c r="L75" s="32"/>
      <c r="M75" s="32"/>
      <c r="N75" s="56" t="s">
        <v>315</v>
      </c>
      <c r="O75" s="771">
        <f>F75+F257+F258+F70+F71+F72+F73+F74</f>
        <v>53350</v>
      </c>
    </row>
    <row r="76" spans="1:15" s="373" customFormat="1" ht="37.5" x14ac:dyDescent="0.2">
      <c r="A76" s="32">
        <f t="shared" si="1"/>
        <v>71</v>
      </c>
      <c r="B76" s="52" t="s">
        <v>2856</v>
      </c>
      <c r="C76" s="32" t="s">
        <v>2857</v>
      </c>
      <c r="D76" s="32" t="s">
        <v>2858</v>
      </c>
      <c r="E76" s="53" t="s">
        <v>479</v>
      </c>
      <c r="F76" s="54">
        <v>46250</v>
      </c>
      <c r="G76" s="32" t="s">
        <v>2378</v>
      </c>
      <c r="H76" s="479" t="s">
        <v>4256</v>
      </c>
      <c r="I76" s="32"/>
      <c r="J76" s="32"/>
      <c r="K76" s="32"/>
      <c r="L76" s="32"/>
      <c r="M76" s="32"/>
      <c r="N76" s="285" t="s">
        <v>3844</v>
      </c>
    </row>
    <row r="77" spans="1:15" s="370" customFormat="1" ht="37.5" x14ac:dyDescent="0.2">
      <c r="A77" s="32">
        <f t="shared" si="1"/>
        <v>72</v>
      </c>
      <c r="B77" s="52" t="s">
        <v>476</v>
      </c>
      <c r="C77" s="32" t="s">
        <v>477</v>
      </c>
      <c r="D77" s="32" t="s">
        <v>478</v>
      </c>
      <c r="E77" s="53" t="s">
        <v>479</v>
      </c>
      <c r="F77" s="54">
        <v>2900</v>
      </c>
      <c r="G77" s="32" t="s">
        <v>480</v>
      </c>
      <c r="H77" s="32" t="s">
        <v>4256</v>
      </c>
      <c r="I77" s="32"/>
      <c r="J77" s="32"/>
      <c r="K77" s="32"/>
      <c r="L77" s="32"/>
      <c r="M77" s="32"/>
      <c r="N77" s="56" t="s">
        <v>4327</v>
      </c>
    </row>
    <row r="78" spans="1:15" s="370" customFormat="1" ht="37.5" x14ac:dyDescent="0.2">
      <c r="A78" s="32">
        <f t="shared" si="1"/>
        <v>73</v>
      </c>
      <c r="B78" s="52" t="s">
        <v>476</v>
      </c>
      <c r="C78" s="32" t="s">
        <v>482</v>
      </c>
      <c r="D78" s="32" t="s">
        <v>483</v>
      </c>
      <c r="E78" s="53" t="s">
        <v>479</v>
      </c>
      <c r="F78" s="54">
        <v>2900</v>
      </c>
      <c r="G78" s="32" t="s">
        <v>480</v>
      </c>
      <c r="H78" s="32" t="s">
        <v>4256</v>
      </c>
      <c r="I78" s="32"/>
      <c r="J78" s="32"/>
      <c r="K78" s="32"/>
      <c r="L78" s="32"/>
      <c r="M78" s="32"/>
      <c r="N78" s="56" t="s">
        <v>484</v>
      </c>
    </row>
    <row r="79" spans="1:15" s="370" customFormat="1" ht="37.5" x14ac:dyDescent="0.2">
      <c r="A79" s="32">
        <f t="shared" si="1"/>
        <v>74</v>
      </c>
      <c r="B79" s="52" t="s">
        <v>485</v>
      </c>
      <c r="C79" s="32" t="s">
        <v>486</v>
      </c>
      <c r="D79" s="32" t="s">
        <v>487</v>
      </c>
      <c r="E79" s="53" t="s">
        <v>479</v>
      </c>
      <c r="F79" s="54">
        <v>9200</v>
      </c>
      <c r="G79" s="32" t="s">
        <v>480</v>
      </c>
      <c r="H79" s="32" t="s">
        <v>4256</v>
      </c>
      <c r="I79" s="32"/>
      <c r="J79" s="32"/>
      <c r="K79" s="32"/>
      <c r="L79" s="32"/>
      <c r="M79" s="32"/>
      <c r="N79" s="56" t="s">
        <v>4327</v>
      </c>
    </row>
    <row r="80" spans="1:15" s="370" customFormat="1" ht="37.5" x14ac:dyDescent="0.2">
      <c r="A80" s="32">
        <f t="shared" si="1"/>
        <v>75</v>
      </c>
      <c r="B80" s="52" t="s">
        <v>485</v>
      </c>
      <c r="C80" s="32" t="s">
        <v>488</v>
      </c>
      <c r="D80" s="32" t="s">
        <v>489</v>
      </c>
      <c r="E80" s="53" t="s">
        <v>479</v>
      </c>
      <c r="F80" s="54">
        <v>9200</v>
      </c>
      <c r="G80" s="32" t="s">
        <v>480</v>
      </c>
      <c r="H80" s="32" t="s">
        <v>4256</v>
      </c>
      <c r="I80" s="32"/>
      <c r="J80" s="32"/>
      <c r="K80" s="32"/>
      <c r="L80" s="32"/>
      <c r="M80" s="32"/>
      <c r="N80" s="56" t="s">
        <v>484</v>
      </c>
    </row>
    <row r="81" spans="1:14" s="372" customFormat="1" ht="37.5" x14ac:dyDescent="0.3">
      <c r="A81" s="32">
        <f t="shared" si="1"/>
        <v>76</v>
      </c>
      <c r="B81" s="337" t="s">
        <v>476</v>
      </c>
      <c r="C81" s="308" t="s">
        <v>1357</v>
      </c>
      <c r="D81" s="308" t="s">
        <v>1358</v>
      </c>
      <c r="E81" s="319" t="s">
        <v>479</v>
      </c>
      <c r="F81" s="349">
        <v>2900</v>
      </c>
      <c r="G81" s="308" t="s">
        <v>825</v>
      </c>
      <c r="H81" s="326" t="s">
        <v>4256</v>
      </c>
      <c r="I81" s="321"/>
      <c r="J81" s="321"/>
      <c r="K81" s="321"/>
      <c r="L81" s="321"/>
      <c r="M81" s="321"/>
      <c r="N81" s="355"/>
    </row>
    <row r="82" spans="1:14" s="372" customFormat="1" ht="37.5" x14ac:dyDescent="0.3">
      <c r="A82" s="32">
        <f t="shared" si="1"/>
        <v>77</v>
      </c>
      <c r="B82" s="337" t="s">
        <v>476</v>
      </c>
      <c r="C82" s="308" t="s">
        <v>1359</v>
      </c>
      <c r="D82" s="308" t="s">
        <v>1360</v>
      </c>
      <c r="E82" s="319" t="s">
        <v>479</v>
      </c>
      <c r="F82" s="349">
        <v>2900</v>
      </c>
      <c r="G82" s="308" t="s">
        <v>825</v>
      </c>
      <c r="H82" s="326" t="s">
        <v>4256</v>
      </c>
      <c r="I82" s="321"/>
      <c r="J82" s="321"/>
      <c r="K82" s="321"/>
      <c r="L82" s="321"/>
      <c r="M82" s="321"/>
      <c r="N82" s="355"/>
    </row>
    <row r="83" spans="1:14" s="372" customFormat="1" ht="37.5" x14ac:dyDescent="0.3">
      <c r="A83" s="32">
        <f t="shared" si="1"/>
        <v>78</v>
      </c>
      <c r="B83" s="337" t="s">
        <v>485</v>
      </c>
      <c r="C83" s="308" t="s">
        <v>1361</v>
      </c>
      <c r="D83" s="308" t="s">
        <v>1362</v>
      </c>
      <c r="E83" s="319" t="s">
        <v>479</v>
      </c>
      <c r="F83" s="349">
        <v>11550</v>
      </c>
      <c r="G83" s="308" t="s">
        <v>825</v>
      </c>
      <c r="H83" s="326" t="s">
        <v>4256</v>
      </c>
      <c r="I83" s="321"/>
      <c r="J83" s="321"/>
      <c r="K83" s="321"/>
      <c r="L83" s="321"/>
      <c r="M83" s="321"/>
      <c r="N83" s="355"/>
    </row>
    <row r="84" spans="1:14" s="372" customFormat="1" ht="37.5" x14ac:dyDescent="0.3">
      <c r="A84" s="32">
        <f t="shared" si="1"/>
        <v>79</v>
      </c>
      <c r="B84" s="337" t="s">
        <v>485</v>
      </c>
      <c r="C84" s="308" t="s">
        <v>1363</v>
      </c>
      <c r="D84" s="308" t="s">
        <v>1364</v>
      </c>
      <c r="E84" s="319" t="s">
        <v>479</v>
      </c>
      <c r="F84" s="349">
        <v>11550</v>
      </c>
      <c r="G84" s="308" t="s">
        <v>825</v>
      </c>
      <c r="H84" s="326" t="s">
        <v>4256</v>
      </c>
      <c r="I84" s="321"/>
      <c r="J84" s="321"/>
      <c r="K84" s="321"/>
      <c r="L84" s="321"/>
      <c r="M84" s="321"/>
      <c r="N84" s="355"/>
    </row>
    <row r="85" spans="1:14" s="370" customFormat="1" ht="37.5" x14ac:dyDescent="0.2">
      <c r="A85" s="32">
        <f t="shared" si="1"/>
        <v>80</v>
      </c>
      <c r="B85" s="52" t="s">
        <v>490</v>
      </c>
      <c r="C85" s="32" t="s">
        <v>491</v>
      </c>
      <c r="D85" s="32" t="s">
        <v>492</v>
      </c>
      <c r="E85" s="53" t="s">
        <v>479</v>
      </c>
      <c r="F85" s="54">
        <v>6710</v>
      </c>
      <c r="G85" s="32" t="s">
        <v>480</v>
      </c>
      <c r="H85" s="32" t="s">
        <v>4256</v>
      </c>
      <c r="I85" s="32"/>
      <c r="J85" s="32"/>
      <c r="K85" s="32"/>
      <c r="L85" s="32"/>
      <c r="M85" s="32"/>
      <c r="N85" s="56" t="s">
        <v>493</v>
      </c>
    </row>
    <row r="86" spans="1:14" s="370" customFormat="1" ht="37.5" x14ac:dyDescent="0.2">
      <c r="A86" s="32">
        <f t="shared" si="1"/>
        <v>81</v>
      </c>
      <c r="B86" s="416" t="s">
        <v>494</v>
      </c>
      <c r="C86" s="297" t="s">
        <v>495</v>
      </c>
      <c r="D86" s="297" t="s">
        <v>496</v>
      </c>
      <c r="E86" s="849" t="s">
        <v>479</v>
      </c>
      <c r="F86" s="850">
        <v>5550</v>
      </c>
      <c r="G86" s="297" t="s">
        <v>4317</v>
      </c>
      <c r="H86" s="851"/>
      <c r="I86" s="297" t="s">
        <v>4256</v>
      </c>
      <c r="J86" s="297"/>
      <c r="K86" s="297"/>
      <c r="L86" s="297"/>
      <c r="M86" s="297"/>
      <c r="N86" s="851" t="s">
        <v>315</v>
      </c>
    </row>
    <row r="87" spans="1:14" s="370" customFormat="1" ht="37.5" x14ac:dyDescent="0.2">
      <c r="A87" s="32">
        <f t="shared" si="1"/>
        <v>82</v>
      </c>
      <c r="B87" s="52" t="s">
        <v>494</v>
      </c>
      <c r="C87" s="32" t="s">
        <v>497</v>
      </c>
      <c r="D87" s="32" t="s">
        <v>498</v>
      </c>
      <c r="E87" s="53" t="s">
        <v>479</v>
      </c>
      <c r="F87" s="54">
        <v>5550</v>
      </c>
      <c r="G87" s="32" t="s">
        <v>480</v>
      </c>
      <c r="H87" s="32" t="s">
        <v>4256</v>
      </c>
      <c r="I87" s="32"/>
      <c r="J87" s="32"/>
      <c r="K87" s="32"/>
      <c r="L87" s="32"/>
      <c r="M87" s="32"/>
      <c r="N87" s="56" t="s">
        <v>499</v>
      </c>
    </row>
    <row r="88" spans="1:14" s="370" customFormat="1" ht="18.75" x14ac:dyDescent="0.2">
      <c r="A88" s="32">
        <f t="shared" si="1"/>
        <v>83</v>
      </c>
      <c r="B88" s="52" t="s">
        <v>500</v>
      </c>
      <c r="C88" s="32" t="s">
        <v>501</v>
      </c>
      <c r="D88" s="32" t="s">
        <v>502</v>
      </c>
      <c r="E88" s="53" t="s">
        <v>503</v>
      </c>
      <c r="F88" s="54">
        <v>2800</v>
      </c>
      <c r="G88" s="32" t="s">
        <v>200</v>
      </c>
      <c r="H88" s="32" t="s">
        <v>4256</v>
      </c>
      <c r="I88" s="32"/>
      <c r="J88" s="32"/>
      <c r="K88" s="32"/>
      <c r="L88" s="32"/>
      <c r="M88" s="32"/>
      <c r="N88" s="56" t="s">
        <v>4325</v>
      </c>
    </row>
    <row r="89" spans="1:14" s="370" customFormat="1" ht="37.5" x14ac:dyDescent="0.2">
      <c r="A89" s="32">
        <f t="shared" si="1"/>
        <v>84</v>
      </c>
      <c r="B89" s="52" t="s">
        <v>504</v>
      </c>
      <c r="C89" s="32" t="s">
        <v>505</v>
      </c>
      <c r="D89" s="32" t="s">
        <v>506</v>
      </c>
      <c r="E89" s="53" t="s">
        <v>503</v>
      </c>
      <c r="F89" s="54">
        <v>175200</v>
      </c>
      <c r="G89" s="32" t="s">
        <v>200</v>
      </c>
      <c r="H89" s="32" t="s">
        <v>4256</v>
      </c>
      <c r="I89" s="32"/>
      <c r="J89" s="32"/>
      <c r="K89" s="32"/>
      <c r="L89" s="32"/>
      <c r="M89" s="32"/>
      <c r="N89" s="56" t="s">
        <v>4951</v>
      </c>
    </row>
    <row r="90" spans="1:14" s="370" customFormat="1" ht="18.75" x14ac:dyDescent="0.2">
      <c r="A90" s="32">
        <f t="shared" si="1"/>
        <v>85</v>
      </c>
      <c r="B90" s="52" t="s">
        <v>507</v>
      </c>
      <c r="C90" s="32" t="s">
        <v>508</v>
      </c>
      <c r="D90" s="32" t="s">
        <v>509</v>
      </c>
      <c r="E90" s="53" t="s">
        <v>503</v>
      </c>
      <c r="F90" s="54">
        <v>2800</v>
      </c>
      <c r="G90" s="32" t="s">
        <v>6</v>
      </c>
      <c r="H90" s="32" t="s">
        <v>4256</v>
      </c>
      <c r="I90" s="32"/>
      <c r="J90" s="32"/>
      <c r="K90" s="32"/>
      <c r="L90" s="32"/>
      <c r="M90" s="32"/>
      <c r="N90" s="56" t="s">
        <v>4299</v>
      </c>
    </row>
    <row r="91" spans="1:14" s="370" customFormat="1" ht="18.75" x14ac:dyDescent="0.2">
      <c r="A91" s="32">
        <f t="shared" si="1"/>
        <v>86</v>
      </c>
      <c r="B91" s="52" t="s">
        <v>510</v>
      </c>
      <c r="C91" s="32" t="s">
        <v>511</v>
      </c>
      <c r="D91" s="32" t="s">
        <v>512</v>
      </c>
      <c r="E91" s="53" t="s">
        <v>503</v>
      </c>
      <c r="F91" s="54">
        <v>18000</v>
      </c>
      <c r="G91" s="32" t="s">
        <v>6</v>
      </c>
      <c r="H91" s="32" t="s">
        <v>4256</v>
      </c>
      <c r="I91" s="32"/>
      <c r="J91" s="32"/>
      <c r="K91" s="32"/>
      <c r="L91" s="32"/>
      <c r="M91" s="32"/>
      <c r="N91" s="56" t="s">
        <v>4299</v>
      </c>
    </row>
    <row r="92" spans="1:14" s="370" customFormat="1" ht="18.75" x14ac:dyDescent="0.2">
      <c r="A92" s="32">
        <f t="shared" si="1"/>
        <v>87</v>
      </c>
      <c r="B92" s="52" t="s">
        <v>507</v>
      </c>
      <c r="C92" s="32" t="s">
        <v>513</v>
      </c>
      <c r="D92" s="32" t="s">
        <v>514</v>
      </c>
      <c r="E92" s="53" t="s">
        <v>503</v>
      </c>
      <c r="F92" s="54">
        <v>2800</v>
      </c>
      <c r="G92" s="32" t="s">
        <v>200</v>
      </c>
      <c r="H92" s="32" t="s">
        <v>4256</v>
      </c>
      <c r="I92" s="32"/>
      <c r="J92" s="32"/>
      <c r="K92" s="32"/>
      <c r="L92" s="32"/>
      <c r="M92" s="32"/>
      <c r="N92" s="56" t="s">
        <v>275</v>
      </c>
    </row>
    <row r="93" spans="1:14" s="370" customFormat="1" ht="18.75" x14ac:dyDescent="0.2">
      <c r="A93" s="32">
        <f t="shared" si="1"/>
        <v>88</v>
      </c>
      <c r="B93" s="52" t="s">
        <v>510</v>
      </c>
      <c r="C93" s="32" t="s">
        <v>515</v>
      </c>
      <c r="D93" s="32" t="s">
        <v>516</v>
      </c>
      <c r="E93" s="53" t="s">
        <v>503</v>
      </c>
      <c r="F93" s="54">
        <v>18000</v>
      </c>
      <c r="G93" s="32" t="s">
        <v>200</v>
      </c>
      <c r="H93" s="32" t="s">
        <v>4256</v>
      </c>
      <c r="I93" s="32"/>
      <c r="J93" s="32"/>
      <c r="K93" s="32"/>
      <c r="L93" s="32"/>
      <c r="M93" s="32"/>
      <c r="N93" s="56" t="s">
        <v>275</v>
      </c>
    </row>
    <row r="94" spans="1:14" s="370" customFormat="1" ht="18.75" x14ac:dyDescent="0.2">
      <c r="A94" s="32">
        <f t="shared" si="1"/>
        <v>89</v>
      </c>
      <c r="B94" s="52" t="s">
        <v>507</v>
      </c>
      <c r="C94" s="32" t="s">
        <v>517</v>
      </c>
      <c r="D94" s="32" t="s">
        <v>518</v>
      </c>
      <c r="E94" s="53" t="s">
        <v>503</v>
      </c>
      <c r="F94" s="54">
        <v>2800</v>
      </c>
      <c r="G94" s="32" t="s">
        <v>200</v>
      </c>
      <c r="H94" s="32" t="s">
        <v>4256</v>
      </c>
      <c r="I94" s="32"/>
      <c r="J94" s="32"/>
      <c r="K94" s="32"/>
      <c r="L94" s="32"/>
      <c r="M94" s="32"/>
      <c r="N94" s="56" t="s">
        <v>291</v>
      </c>
    </row>
    <row r="95" spans="1:14" s="370" customFormat="1" ht="18.75" x14ac:dyDescent="0.2">
      <c r="A95" s="32">
        <f t="shared" si="1"/>
        <v>90</v>
      </c>
      <c r="B95" s="52" t="s">
        <v>510</v>
      </c>
      <c r="C95" s="32" t="s">
        <v>519</v>
      </c>
      <c r="D95" s="32" t="s">
        <v>520</v>
      </c>
      <c r="E95" s="53" t="s">
        <v>503</v>
      </c>
      <c r="F95" s="54">
        <v>18000</v>
      </c>
      <c r="G95" s="32" t="s">
        <v>200</v>
      </c>
      <c r="H95" s="32" t="s">
        <v>4256</v>
      </c>
      <c r="I95" s="32"/>
      <c r="J95" s="32"/>
      <c r="K95" s="32"/>
      <c r="L95" s="32"/>
      <c r="M95" s="32"/>
      <c r="N95" s="56" t="s">
        <v>291</v>
      </c>
    </row>
    <row r="96" spans="1:14" s="370" customFormat="1" ht="18.75" x14ac:dyDescent="0.2">
      <c r="A96" s="32">
        <f t="shared" si="1"/>
        <v>91</v>
      </c>
      <c r="B96" s="52" t="s">
        <v>507</v>
      </c>
      <c r="C96" s="32" t="s">
        <v>521</v>
      </c>
      <c r="D96" s="32" t="s">
        <v>522</v>
      </c>
      <c r="E96" s="53" t="s">
        <v>503</v>
      </c>
      <c r="F96" s="54">
        <v>2800</v>
      </c>
      <c r="G96" s="32" t="s">
        <v>200</v>
      </c>
      <c r="H96" s="32" t="s">
        <v>4256</v>
      </c>
      <c r="I96" s="32"/>
      <c r="J96" s="32"/>
      <c r="K96" s="32"/>
      <c r="L96" s="32"/>
      <c r="M96" s="32"/>
      <c r="N96" s="56" t="s">
        <v>523</v>
      </c>
    </row>
    <row r="97" spans="1:14" s="370" customFormat="1" ht="18.75" x14ac:dyDescent="0.2">
      <c r="A97" s="32">
        <f t="shared" si="1"/>
        <v>92</v>
      </c>
      <c r="B97" s="52" t="s">
        <v>510</v>
      </c>
      <c r="C97" s="32" t="s">
        <v>524</v>
      </c>
      <c r="D97" s="32" t="s">
        <v>525</v>
      </c>
      <c r="E97" s="53" t="s">
        <v>503</v>
      </c>
      <c r="F97" s="54">
        <v>18000</v>
      </c>
      <c r="G97" s="32" t="s">
        <v>200</v>
      </c>
      <c r="H97" s="32" t="s">
        <v>4256</v>
      </c>
      <c r="I97" s="32"/>
      <c r="J97" s="32"/>
      <c r="K97" s="32"/>
      <c r="L97" s="32"/>
      <c r="M97" s="32"/>
      <c r="N97" s="56" t="s">
        <v>523</v>
      </c>
    </row>
    <row r="98" spans="1:14" s="370" customFormat="1" ht="18.75" x14ac:dyDescent="0.2">
      <c r="A98" s="32">
        <f t="shared" si="1"/>
        <v>93</v>
      </c>
      <c r="B98" s="52" t="s">
        <v>526</v>
      </c>
      <c r="C98" s="32" t="s">
        <v>527</v>
      </c>
      <c r="D98" s="32" t="s">
        <v>528</v>
      </c>
      <c r="E98" s="53" t="s">
        <v>503</v>
      </c>
      <c r="F98" s="54">
        <v>20000</v>
      </c>
      <c r="G98" s="32" t="s">
        <v>220</v>
      </c>
      <c r="H98" s="32" t="s">
        <v>4256</v>
      </c>
      <c r="I98" s="32"/>
      <c r="J98" s="32"/>
      <c r="K98" s="32"/>
      <c r="L98" s="32"/>
      <c r="M98" s="32"/>
      <c r="N98" s="56" t="s">
        <v>315</v>
      </c>
    </row>
    <row r="99" spans="1:14" s="370" customFormat="1" ht="18.75" x14ac:dyDescent="0.2">
      <c r="A99" s="32">
        <f t="shared" si="1"/>
        <v>94</v>
      </c>
      <c r="B99" s="52" t="s">
        <v>529</v>
      </c>
      <c r="C99" s="32" t="s">
        <v>530</v>
      </c>
      <c r="D99" s="32" t="s">
        <v>531</v>
      </c>
      <c r="E99" s="53" t="s">
        <v>503</v>
      </c>
      <c r="F99" s="54">
        <v>5800</v>
      </c>
      <c r="G99" s="32" t="s">
        <v>6</v>
      </c>
      <c r="H99" s="32" t="s">
        <v>4256</v>
      </c>
      <c r="I99" s="32"/>
      <c r="J99" s="32"/>
      <c r="K99" s="32"/>
      <c r="L99" s="32"/>
      <c r="M99" s="32"/>
      <c r="N99" s="56" t="s">
        <v>4299</v>
      </c>
    </row>
    <row r="100" spans="1:14" s="370" customFormat="1" ht="18.75" x14ac:dyDescent="0.2">
      <c r="A100" s="32">
        <f t="shared" si="1"/>
        <v>95</v>
      </c>
      <c r="B100" s="52" t="s">
        <v>529</v>
      </c>
      <c r="C100" s="32" t="s">
        <v>532</v>
      </c>
      <c r="D100" s="32" t="s">
        <v>533</v>
      </c>
      <c r="E100" s="53" t="s">
        <v>503</v>
      </c>
      <c r="F100" s="54">
        <v>5800</v>
      </c>
      <c r="G100" s="32" t="s">
        <v>200</v>
      </c>
      <c r="H100" s="32" t="s">
        <v>4256</v>
      </c>
      <c r="I100" s="32"/>
      <c r="J100" s="32"/>
      <c r="K100" s="32"/>
      <c r="L100" s="32"/>
      <c r="M100" s="32"/>
      <c r="N100" s="56" t="s">
        <v>275</v>
      </c>
    </row>
    <row r="101" spans="1:14" s="370" customFormat="1" ht="18.75" x14ac:dyDescent="0.2">
      <c r="A101" s="32">
        <f t="shared" si="1"/>
        <v>96</v>
      </c>
      <c r="B101" s="52" t="s">
        <v>529</v>
      </c>
      <c r="C101" s="32" t="s">
        <v>534</v>
      </c>
      <c r="D101" s="32" t="s">
        <v>535</v>
      </c>
      <c r="E101" s="53" t="s">
        <v>503</v>
      </c>
      <c r="F101" s="54">
        <v>5800</v>
      </c>
      <c r="G101" s="32" t="s">
        <v>200</v>
      </c>
      <c r="H101" s="32" t="s">
        <v>4256</v>
      </c>
      <c r="I101" s="32"/>
      <c r="J101" s="32"/>
      <c r="K101" s="32"/>
      <c r="L101" s="32"/>
      <c r="M101" s="32"/>
      <c r="N101" s="56" t="s">
        <v>291</v>
      </c>
    </row>
    <row r="102" spans="1:14" s="370" customFormat="1" ht="18.75" x14ac:dyDescent="0.2">
      <c r="A102" s="32">
        <f t="shared" si="1"/>
        <v>97</v>
      </c>
      <c r="B102" s="416" t="s">
        <v>529</v>
      </c>
      <c r="C102" s="297" t="s">
        <v>536</v>
      </c>
      <c r="D102" s="297" t="s">
        <v>537</v>
      </c>
      <c r="E102" s="849" t="s">
        <v>503</v>
      </c>
      <c r="F102" s="850">
        <v>5800</v>
      </c>
      <c r="G102" s="297" t="s">
        <v>220</v>
      </c>
      <c r="H102" s="297"/>
      <c r="I102" s="297" t="s">
        <v>4256</v>
      </c>
      <c r="J102" s="297"/>
      <c r="K102" s="297"/>
      <c r="L102" s="297"/>
      <c r="M102" s="297"/>
      <c r="N102" s="851" t="s">
        <v>315</v>
      </c>
    </row>
    <row r="103" spans="1:14" s="370" customFormat="1" ht="37.5" x14ac:dyDescent="0.2">
      <c r="A103" s="32">
        <f t="shared" si="1"/>
        <v>98</v>
      </c>
      <c r="B103" s="416" t="s">
        <v>541</v>
      </c>
      <c r="C103" s="297" t="s">
        <v>542</v>
      </c>
      <c r="D103" s="297" t="s">
        <v>543</v>
      </c>
      <c r="E103" s="849" t="s">
        <v>503</v>
      </c>
      <c r="F103" s="850">
        <v>8800</v>
      </c>
      <c r="G103" s="297" t="s">
        <v>220</v>
      </c>
      <c r="H103" s="851"/>
      <c r="I103" s="297"/>
      <c r="J103" s="297"/>
      <c r="K103" s="297"/>
      <c r="L103" s="297"/>
      <c r="M103" s="297"/>
      <c r="N103" s="851" t="s">
        <v>544</v>
      </c>
    </row>
    <row r="104" spans="1:14" s="370" customFormat="1" ht="37.5" x14ac:dyDescent="0.2">
      <c r="A104" s="32">
        <f t="shared" si="1"/>
        <v>99</v>
      </c>
      <c r="B104" s="416" t="s">
        <v>541</v>
      </c>
      <c r="C104" s="297" t="s">
        <v>545</v>
      </c>
      <c r="D104" s="297" t="s">
        <v>546</v>
      </c>
      <c r="E104" s="849" t="s">
        <v>503</v>
      </c>
      <c r="F104" s="850">
        <v>8800</v>
      </c>
      <c r="G104" s="297" t="s">
        <v>200</v>
      </c>
      <c r="H104" s="851"/>
      <c r="I104" s="297" t="s">
        <v>4256</v>
      </c>
      <c r="J104" s="297"/>
      <c r="K104" s="297"/>
      <c r="L104" s="297"/>
      <c r="M104" s="297"/>
      <c r="N104" s="851" t="s">
        <v>315</v>
      </c>
    </row>
    <row r="105" spans="1:14" s="370" customFormat="1" ht="37.5" x14ac:dyDescent="0.2">
      <c r="A105" s="32">
        <f t="shared" si="1"/>
        <v>100</v>
      </c>
      <c r="B105" s="52" t="s">
        <v>547</v>
      </c>
      <c r="C105" s="32" t="s">
        <v>548</v>
      </c>
      <c r="D105" s="32" t="s">
        <v>549</v>
      </c>
      <c r="E105" s="53" t="s">
        <v>503</v>
      </c>
      <c r="F105" s="54">
        <v>102000</v>
      </c>
      <c r="G105" s="32" t="s">
        <v>220</v>
      </c>
      <c r="H105" s="32" t="s">
        <v>4256</v>
      </c>
      <c r="I105" s="32"/>
      <c r="J105" s="32"/>
      <c r="K105" s="32"/>
      <c r="L105" s="32"/>
      <c r="M105" s="32"/>
      <c r="N105" s="56"/>
    </row>
    <row r="106" spans="1:14" s="373" customFormat="1" ht="18.75" x14ac:dyDescent="0.2">
      <c r="A106" s="32">
        <f t="shared" si="1"/>
        <v>101</v>
      </c>
      <c r="B106" s="52" t="s">
        <v>3317</v>
      </c>
      <c r="C106" s="32" t="s">
        <v>3318</v>
      </c>
      <c r="D106" s="32" t="s">
        <v>3319</v>
      </c>
      <c r="E106" s="53" t="s">
        <v>2862</v>
      </c>
      <c r="F106" s="54">
        <v>29999.59</v>
      </c>
      <c r="G106" s="32" t="s">
        <v>2863</v>
      </c>
      <c r="H106" s="479" t="s">
        <v>4256</v>
      </c>
      <c r="I106" s="32"/>
      <c r="J106" s="32"/>
      <c r="K106" s="32"/>
      <c r="L106" s="32"/>
      <c r="M106" s="32"/>
      <c r="N106" s="285" t="s">
        <v>3844</v>
      </c>
    </row>
    <row r="107" spans="1:14" s="373" customFormat="1" ht="18.75" x14ac:dyDescent="0.2">
      <c r="A107" s="32">
        <f t="shared" si="1"/>
        <v>102</v>
      </c>
      <c r="B107" s="52" t="s">
        <v>3317</v>
      </c>
      <c r="C107" s="32" t="s">
        <v>3320</v>
      </c>
      <c r="D107" s="32" t="s">
        <v>3321</v>
      </c>
      <c r="E107" s="53" t="s">
        <v>2862</v>
      </c>
      <c r="F107" s="54">
        <v>29999.59</v>
      </c>
      <c r="G107" s="32" t="s">
        <v>2863</v>
      </c>
      <c r="H107" s="479" t="s">
        <v>4256</v>
      </c>
      <c r="I107" s="32"/>
      <c r="J107" s="32"/>
      <c r="K107" s="32"/>
      <c r="L107" s="32"/>
      <c r="M107" s="32"/>
      <c r="N107" s="285" t="s">
        <v>3832</v>
      </c>
    </row>
    <row r="108" spans="1:14" s="373" customFormat="1" ht="18.75" x14ac:dyDescent="0.2">
      <c r="A108" s="32">
        <f t="shared" si="1"/>
        <v>103</v>
      </c>
      <c r="B108" s="52" t="s">
        <v>3322</v>
      </c>
      <c r="C108" s="32" t="s">
        <v>3323</v>
      </c>
      <c r="D108" s="32" t="s">
        <v>3324</v>
      </c>
      <c r="E108" s="53" t="s">
        <v>2862</v>
      </c>
      <c r="F108" s="54">
        <v>4815</v>
      </c>
      <c r="G108" s="32" t="s">
        <v>2863</v>
      </c>
      <c r="H108" s="479" t="s">
        <v>4256</v>
      </c>
      <c r="I108" s="32"/>
      <c r="J108" s="32"/>
      <c r="K108" s="32"/>
      <c r="L108" s="32"/>
      <c r="M108" s="32"/>
      <c r="N108" s="285" t="s">
        <v>3832</v>
      </c>
    </row>
    <row r="109" spans="1:14" s="373" customFormat="1" ht="18.75" x14ac:dyDescent="0.2">
      <c r="A109" s="32">
        <f t="shared" si="1"/>
        <v>104</v>
      </c>
      <c r="B109" s="52" t="s">
        <v>3325</v>
      </c>
      <c r="C109" s="32" t="s">
        <v>3326</v>
      </c>
      <c r="D109" s="32" t="s">
        <v>3327</v>
      </c>
      <c r="E109" s="53" t="s">
        <v>2862</v>
      </c>
      <c r="F109" s="54">
        <v>1605</v>
      </c>
      <c r="G109" s="32" t="s">
        <v>2863</v>
      </c>
      <c r="H109" s="479" t="s">
        <v>4256</v>
      </c>
      <c r="I109" s="32"/>
      <c r="J109" s="32"/>
      <c r="K109" s="32"/>
      <c r="L109" s="32"/>
      <c r="M109" s="32"/>
      <c r="N109" s="285"/>
    </row>
    <row r="110" spans="1:14" s="373" customFormat="1" ht="18.75" x14ac:dyDescent="0.2">
      <c r="A110" s="32">
        <f t="shared" si="1"/>
        <v>105</v>
      </c>
      <c r="B110" s="52" t="s">
        <v>3328</v>
      </c>
      <c r="C110" s="32" t="s">
        <v>3329</v>
      </c>
      <c r="D110" s="32" t="s">
        <v>3330</v>
      </c>
      <c r="E110" s="53" t="s">
        <v>2862</v>
      </c>
      <c r="F110" s="54">
        <v>2664.3</v>
      </c>
      <c r="G110" s="32" t="s">
        <v>2863</v>
      </c>
      <c r="H110" s="479" t="s">
        <v>4256</v>
      </c>
      <c r="I110" s="32"/>
      <c r="J110" s="32"/>
      <c r="K110" s="32"/>
      <c r="L110" s="32"/>
      <c r="M110" s="32"/>
      <c r="N110" s="285"/>
    </row>
    <row r="111" spans="1:14" s="373" customFormat="1" ht="75" x14ac:dyDescent="0.2">
      <c r="A111" s="32">
        <f t="shared" si="1"/>
        <v>106</v>
      </c>
      <c r="B111" s="52" t="s">
        <v>3331</v>
      </c>
      <c r="C111" s="32" t="s">
        <v>3332</v>
      </c>
      <c r="D111" s="32" t="s">
        <v>3333</v>
      </c>
      <c r="E111" s="53" t="s">
        <v>2862</v>
      </c>
      <c r="F111" s="54">
        <v>117700</v>
      </c>
      <c r="G111" s="32" t="s">
        <v>2863</v>
      </c>
      <c r="H111" s="479" t="s">
        <v>4256</v>
      </c>
      <c r="I111" s="32"/>
      <c r="J111" s="32"/>
      <c r="K111" s="32"/>
      <c r="L111" s="32"/>
      <c r="M111" s="32"/>
      <c r="N111" s="285" t="s">
        <v>3855</v>
      </c>
    </row>
    <row r="112" spans="1:14" s="373" customFormat="1" ht="56.25" x14ac:dyDescent="0.2">
      <c r="A112" s="32">
        <f t="shared" si="1"/>
        <v>107</v>
      </c>
      <c r="B112" s="52" t="s">
        <v>3347</v>
      </c>
      <c r="C112" s="32" t="s">
        <v>3348</v>
      </c>
      <c r="D112" s="32" t="s">
        <v>3349</v>
      </c>
      <c r="E112" s="53" t="s">
        <v>3346</v>
      </c>
      <c r="F112" s="54">
        <v>101115</v>
      </c>
      <c r="G112" s="32" t="s">
        <v>2863</v>
      </c>
      <c r="H112" s="479" t="s">
        <v>4256</v>
      </c>
      <c r="I112" s="32"/>
      <c r="J112" s="32"/>
      <c r="K112" s="32"/>
      <c r="L112" s="32"/>
      <c r="M112" s="32"/>
      <c r="N112" s="285" t="s">
        <v>3832</v>
      </c>
    </row>
    <row r="113" spans="1:14" s="373" customFormat="1" ht="37.5" x14ac:dyDescent="0.2">
      <c r="A113" s="32">
        <f t="shared" si="1"/>
        <v>108</v>
      </c>
      <c r="B113" s="52" t="s">
        <v>3350</v>
      </c>
      <c r="C113" s="32" t="s">
        <v>3351</v>
      </c>
      <c r="D113" s="32" t="s">
        <v>3352</v>
      </c>
      <c r="E113" s="53" t="s">
        <v>3353</v>
      </c>
      <c r="F113" s="54">
        <v>36800</v>
      </c>
      <c r="G113" s="32" t="s">
        <v>2863</v>
      </c>
      <c r="H113" s="479" t="s">
        <v>4256</v>
      </c>
      <c r="I113" s="32"/>
      <c r="J113" s="32"/>
      <c r="K113" s="32"/>
      <c r="L113" s="32"/>
      <c r="M113" s="32"/>
      <c r="N113" s="285" t="s">
        <v>3832</v>
      </c>
    </row>
    <row r="114" spans="1:14" s="373" customFormat="1" ht="37.5" x14ac:dyDescent="0.2">
      <c r="A114" s="32">
        <f t="shared" si="1"/>
        <v>109</v>
      </c>
      <c r="B114" s="52" t="s">
        <v>3350</v>
      </c>
      <c r="C114" s="251" t="s">
        <v>3354</v>
      </c>
      <c r="D114" s="251" t="s">
        <v>3355</v>
      </c>
      <c r="E114" s="249" t="s">
        <v>3353</v>
      </c>
      <c r="F114" s="356">
        <v>36800</v>
      </c>
      <c r="G114" s="251" t="s">
        <v>2863</v>
      </c>
      <c r="H114" s="479" t="s">
        <v>4256</v>
      </c>
      <c r="I114" s="251"/>
      <c r="J114" s="251"/>
      <c r="K114" s="251"/>
      <c r="L114" s="251"/>
      <c r="M114" s="251"/>
      <c r="N114" s="285" t="s">
        <v>3839</v>
      </c>
    </row>
    <row r="115" spans="1:14" s="373" customFormat="1" ht="37.5" x14ac:dyDescent="0.2">
      <c r="A115" s="32">
        <f t="shared" si="1"/>
        <v>110</v>
      </c>
      <c r="B115" s="52" t="s">
        <v>3350</v>
      </c>
      <c r="C115" s="32" t="s">
        <v>3356</v>
      </c>
      <c r="D115" s="32" t="s">
        <v>3357</v>
      </c>
      <c r="E115" s="53" t="s">
        <v>3353</v>
      </c>
      <c r="F115" s="54">
        <v>30800</v>
      </c>
      <c r="G115" s="32" t="s">
        <v>2863</v>
      </c>
      <c r="H115" s="479" t="s">
        <v>4256</v>
      </c>
      <c r="I115" s="32"/>
      <c r="J115" s="32"/>
      <c r="K115" s="32"/>
      <c r="L115" s="32"/>
      <c r="M115" s="32"/>
      <c r="N115" s="285" t="s">
        <v>3839</v>
      </c>
    </row>
    <row r="116" spans="1:14" s="373" customFormat="1" ht="37.5" x14ac:dyDescent="0.2">
      <c r="A116" s="32">
        <f t="shared" si="1"/>
        <v>111</v>
      </c>
      <c r="B116" s="52" t="s">
        <v>3350</v>
      </c>
      <c r="C116" s="32" t="s">
        <v>3358</v>
      </c>
      <c r="D116" s="32" t="s">
        <v>3359</v>
      </c>
      <c r="E116" s="53" t="s">
        <v>3353</v>
      </c>
      <c r="F116" s="54">
        <v>30800</v>
      </c>
      <c r="G116" s="32" t="s">
        <v>2863</v>
      </c>
      <c r="H116" s="479" t="s">
        <v>4256</v>
      </c>
      <c r="I116" s="32"/>
      <c r="J116" s="32"/>
      <c r="K116" s="32"/>
      <c r="L116" s="32"/>
      <c r="M116" s="32"/>
      <c r="N116" s="285" t="s">
        <v>3837</v>
      </c>
    </row>
    <row r="117" spans="1:14" s="373" customFormat="1" ht="37.5" x14ac:dyDescent="0.2">
      <c r="A117" s="32">
        <f t="shared" si="1"/>
        <v>112</v>
      </c>
      <c r="B117" s="52" t="s">
        <v>3360</v>
      </c>
      <c r="C117" s="32" t="s">
        <v>3361</v>
      </c>
      <c r="D117" s="32" t="s">
        <v>3362</v>
      </c>
      <c r="E117" s="53" t="s">
        <v>3353</v>
      </c>
      <c r="F117" s="54">
        <v>30800</v>
      </c>
      <c r="G117" s="32" t="s">
        <v>2863</v>
      </c>
      <c r="H117" s="479" t="s">
        <v>4256</v>
      </c>
      <c r="I117" s="32"/>
      <c r="J117" s="32"/>
      <c r="K117" s="32"/>
      <c r="L117" s="32"/>
      <c r="M117" s="32"/>
      <c r="N117" s="285" t="s">
        <v>3832</v>
      </c>
    </row>
    <row r="118" spans="1:14" s="373" customFormat="1" ht="37.5" x14ac:dyDescent="0.2">
      <c r="A118" s="32">
        <f t="shared" si="1"/>
        <v>113</v>
      </c>
      <c r="B118" s="52" t="s">
        <v>3363</v>
      </c>
      <c r="C118" s="32" t="s">
        <v>3364</v>
      </c>
      <c r="D118" s="32" t="s">
        <v>3365</v>
      </c>
      <c r="E118" s="53" t="s">
        <v>3353</v>
      </c>
      <c r="F118" s="54">
        <v>318220</v>
      </c>
      <c r="G118" s="32" t="s">
        <v>2863</v>
      </c>
      <c r="H118" s="479" t="s">
        <v>4256</v>
      </c>
      <c r="I118" s="32"/>
      <c r="J118" s="32"/>
      <c r="K118" s="32"/>
      <c r="L118" s="32"/>
      <c r="M118" s="32"/>
      <c r="N118" s="285" t="s">
        <v>3855</v>
      </c>
    </row>
    <row r="119" spans="1:14" s="373" customFormat="1" ht="18.75" x14ac:dyDescent="0.2">
      <c r="A119" s="32">
        <f t="shared" si="1"/>
        <v>114</v>
      </c>
      <c r="B119" s="52" t="s">
        <v>3366</v>
      </c>
      <c r="C119" s="32" t="s">
        <v>3367</v>
      </c>
      <c r="D119" s="32" t="s">
        <v>3368</v>
      </c>
      <c r="E119" s="53" t="s">
        <v>3353</v>
      </c>
      <c r="F119" s="54">
        <v>11500</v>
      </c>
      <c r="G119" s="32" t="s">
        <v>2863</v>
      </c>
      <c r="H119" s="479" t="s">
        <v>4256</v>
      </c>
      <c r="I119" s="32"/>
      <c r="J119" s="32"/>
      <c r="K119" s="32"/>
      <c r="L119" s="32"/>
      <c r="M119" s="32"/>
      <c r="N119" s="285" t="s">
        <v>3837</v>
      </c>
    </row>
    <row r="120" spans="1:14" s="373" customFormat="1" ht="18.75" x14ac:dyDescent="0.2">
      <c r="A120" s="32">
        <f t="shared" si="1"/>
        <v>115</v>
      </c>
      <c r="B120" s="52" t="s">
        <v>3369</v>
      </c>
      <c r="C120" s="32" t="s">
        <v>3370</v>
      </c>
      <c r="D120" s="32" t="s">
        <v>3371</v>
      </c>
      <c r="E120" s="53" t="s">
        <v>3353</v>
      </c>
      <c r="F120" s="54">
        <v>3000</v>
      </c>
      <c r="G120" s="32" t="s">
        <v>2863</v>
      </c>
      <c r="H120" s="479" t="s">
        <v>4256</v>
      </c>
      <c r="I120" s="32"/>
      <c r="J120" s="32"/>
      <c r="K120" s="32"/>
      <c r="L120" s="32"/>
      <c r="M120" s="32"/>
      <c r="N120" s="285" t="s">
        <v>3837</v>
      </c>
    </row>
    <row r="121" spans="1:14" s="373" customFormat="1" ht="18.75" x14ac:dyDescent="0.2">
      <c r="A121" s="32">
        <f t="shared" si="1"/>
        <v>116</v>
      </c>
      <c r="B121" s="52" t="s">
        <v>3372</v>
      </c>
      <c r="C121" s="32" t="s">
        <v>3373</v>
      </c>
      <c r="D121" s="32" t="s">
        <v>3374</v>
      </c>
      <c r="E121" s="53" t="s">
        <v>3353</v>
      </c>
      <c r="F121" s="54">
        <v>320000</v>
      </c>
      <c r="G121" s="32" t="s">
        <v>2863</v>
      </c>
      <c r="H121" s="479" t="s">
        <v>4256</v>
      </c>
      <c r="I121" s="32"/>
      <c r="J121" s="32"/>
      <c r="K121" s="32"/>
      <c r="L121" s="32"/>
      <c r="M121" s="32"/>
      <c r="N121" s="285" t="s">
        <v>3855</v>
      </c>
    </row>
    <row r="122" spans="1:14" s="373" customFormat="1" ht="18.75" x14ac:dyDescent="0.2">
      <c r="A122" s="32">
        <f t="shared" si="1"/>
        <v>117</v>
      </c>
      <c r="B122" s="52" t="s">
        <v>3375</v>
      </c>
      <c r="C122" s="32" t="s">
        <v>3376</v>
      </c>
      <c r="D122" s="32" t="s">
        <v>3377</v>
      </c>
      <c r="E122" s="53" t="s">
        <v>3353</v>
      </c>
      <c r="F122" s="54">
        <v>35000</v>
      </c>
      <c r="G122" s="32" t="s">
        <v>2863</v>
      </c>
      <c r="H122" s="479" t="s">
        <v>4256</v>
      </c>
      <c r="I122" s="32"/>
      <c r="J122" s="32"/>
      <c r="K122" s="32"/>
      <c r="L122" s="32"/>
      <c r="M122" s="32"/>
      <c r="N122" s="285" t="s">
        <v>3855</v>
      </c>
    </row>
    <row r="123" spans="1:14" s="373" customFormat="1" ht="37.5" x14ac:dyDescent="0.2">
      <c r="A123" s="32">
        <f t="shared" si="1"/>
        <v>118</v>
      </c>
      <c r="B123" s="52" t="s">
        <v>3378</v>
      </c>
      <c r="C123" s="32" t="s">
        <v>3379</v>
      </c>
      <c r="D123" s="32" t="s">
        <v>3380</v>
      </c>
      <c r="E123" s="53" t="s">
        <v>3353</v>
      </c>
      <c r="F123" s="54">
        <v>30800</v>
      </c>
      <c r="G123" s="32" t="s">
        <v>2863</v>
      </c>
      <c r="H123" s="479" t="s">
        <v>4256</v>
      </c>
      <c r="I123" s="32"/>
      <c r="J123" s="32"/>
      <c r="K123" s="32"/>
      <c r="L123" s="32"/>
      <c r="M123" s="32"/>
      <c r="N123" s="285" t="s">
        <v>3839</v>
      </c>
    </row>
    <row r="124" spans="1:14" s="373" customFormat="1" ht="18.75" x14ac:dyDescent="0.2">
      <c r="A124" s="32">
        <f t="shared" si="1"/>
        <v>119</v>
      </c>
      <c r="B124" s="52" t="s">
        <v>3381</v>
      </c>
      <c r="C124" s="32" t="s">
        <v>3382</v>
      </c>
      <c r="D124" s="32" t="s">
        <v>3383</v>
      </c>
      <c r="E124" s="53" t="s">
        <v>3353</v>
      </c>
      <c r="F124" s="54">
        <v>550000</v>
      </c>
      <c r="G124" s="32" t="s">
        <v>2863</v>
      </c>
      <c r="H124" s="479" t="s">
        <v>4256</v>
      </c>
      <c r="I124" s="32"/>
      <c r="J124" s="32"/>
      <c r="K124" s="32"/>
      <c r="L124" s="32"/>
      <c r="M124" s="32"/>
      <c r="N124" s="285" t="s">
        <v>3858</v>
      </c>
    </row>
    <row r="125" spans="1:14" s="373" customFormat="1" ht="37.5" x14ac:dyDescent="0.2">
      <c r="A125" s="32">
        <f t="shared" si="1"/>
        <v>120</v>
      </c>
      <c r="B125" s="52" t="s">
        <v>3384</v>
      </c>
      <c r="C125" s="32" t="s">
        <v>3385</v>
      </c>
      <c r="D125" s="32" t="s">
        <v>3386</v>
      </c>
      <c r="E125" s="53" t="s">
        <v>3353</v>
      </c>
      <c r="F125" s="54">
        <v>147728</v>
      </c>
      <c r="G125" s="32" t="s">
        <v>2863</v>
      </c>
      <c r="H125" s="479" t="s">
        <v>4256</v>
      </c>
      <c r="I125" s="32"/>
      <c r="J125" s="32"/>
      <c r="K125" s="32"/>
      <c r="L125" s="32"/>
      <c r="M125" s="32"/>
      <c r="N125" s="285" t="s">
        <v>3854</v>
      </c>
    </row>
    <row r="126" spans="1:14" s="373" customFormat="1" ht="37.5" x14ac:dyDescent="0.2">
      <c r="A126" s="32">
        <f t="shared" si="1"/>
        <v>121</v>
      </c>
      <c r="B126" s="52" t="s">
        <v>3384</v>
      </c>
      <c r="C126" s="32" t="s">
        <v>3387</v>
      </c>
      <c r="D126" s="32" t="s">
        <v>3388</v>
      </c>
      <c r="E126" s="53" t="s">
        <v>3353</v>
      </c>
      <c r="F126" s="54">
        <v>147728</v>
      </c>
      <c r="G126" s="32" t="s">
        <v>2863</v>
      </c>
      <c r="H126" s="479" t="s">
        <v>4256</v>
      </c>
      <c r="I126" s="32"/>
      <c r="J126" s="32"/>
      <c r="K126" s="32"/>
      <c r="L126" s="32"/>
      <c r="M126" s="32"/>
      <c r="N126" s="285" t="s">
        <v>3854</v>
      </c>
    </row>
    <row r="127" spans="1:14" s="373" customFormat="1" ht="18.75" x14ac:dyDescent="0.2">
      <c r="A127" s="32">
        <f t="shared" si="1"/>
        <v>122</v>
      </c>
      <c r="B127" s="52" t="s">
        <v>3389</v>
      </c>
      <c r="C127" s="32" t="s">
        <v>3390</v>
      </c>
      <c r="D127" s="32" t="s">
        <v>3391</v>
      </c>
      <c r="E127" s="53" t="s">
        <v>3353</v>
      </c>
      <c r="F127" s="54">
        <v>7490</v>
      </c>
      <c r="G127" s="32" t="s">
        <v>2863</v>
      </c>
      <c r="H127" s="479" t="s">
        <v>4256</v>
      </c>
      <c r="I127" s="32"/>
      <c r="J127" s="32"/>
      <c r="K127" s="32"/>
      <c r="L127" s="32"/>
      <c r="M127" s="32"/>
      <c r="N127" s="285" t="s">
        <v>3854</v>
      </c>
    </row>
    <row r="128" spans="1:14" s="373" customFormat="1" ht="18.75" x14ac:dyDescent="0.2">
      <c r="A128" s="32">
        <f t="shared" si="1"/>
        <v>123</v>
      </c>
      <c r="B128" s="52" t="s">
        <v>3389</v>
      </c>
      <c r="C128" s="32" t="s">
        <v>3392</v>
      </c>
      <c r="D128" s="32" t="s">
        <v>3393</v>
      </c>
      <c r="E128" s="53" t="s">
        <v>3353</v>
      </c>
      <c r="F128" s="54">
        <v>7490</v>
      </c>
      <c r="G128" s="32" t="s">
        <v>2863</v>
      </c>
      <c r="H128" s="479" t="s">
        <v>4256</v>
      </c>
      <c r="I128" s="32"/>
      <c r="J128" s="32"/>
      <c r="K128" s="32"/>
      <c r="L128" s="32"/>
      <c r="M128" s="32"/>
      <c r="N128" s="285" t="s">
        <v>3854</v>
      </c>
    </row>
    <row r="129" spans="1:14" s="373" customFormat="1" ht="18.75" x14ac:dyDescent="0.2">
      <c r="A129" s="32">
        <f t="shared" si="1"/>
        <v>124</v>
      </c>
      <c r="B129" s="52" t="s">
        <v>3394</v>
      </c>
      <c r="C129" s="32" t="s">
        <v>3395</v>
      </c>
      <c r="D129" s="32" t="s">
        <v>3396</v>
      </c>
      <c r="E129" s="53" t="s">
        <v>3353</v>
      </c>
      <c r="F129" s="54">
        <v>16050</v>
      </c>
      <c r="G129" s="32" t="s">
        <v>2863</v>
      </c>
      <c r="H129" s="479" t="s">
        <v>4256</v>
      </c>
      <c r="I129" s="32"/>
      <c r="J129" s="32"/>
      <c r="K129" s="32"/>
      <c r="L129" s="32"/>
      <c r="M129" s="32"/>
      <c r="N129" s="285" t="s">
        <v>3854</v>
      </c>
    </row>
    <row r="130" spans="1:14" s="373" customFormat="1" ht="18.75" x14ac:dyDescent="0.2">
      <c r="A130" s="32">
        <f t="shared" si="1"/>
        <v>125</v>
      </c>
      <c r="B130" s="52" t="s">
        <v>3397</v>
      </c>
      <c r="C130" s="32" t="s">
        <v>3398</v>
      </c>
      <c r="D130" s="32" t="s">
        <v>3399</v>
      </c>
      <c r="E130" s="53" t="s">
        <v>3353</v>
      </c>
      <c r="F130" s="54">
        <v>85600</v>
      </c>
      <c r="G130" s="32" t="s">
        <v>2863</v>
      </c>
      <c r="H130" s="479" t="s">
        <v>4256</v>
      </c>
      <c r="I130" s="32"/>
      <c r="J130" s="32"/>
      <c r="K130" s="32"/>
      <c r="L130" s="32"/>
      <c r="M130" s="32"/>
      <c r="N130" s="285" t="s">
        <v>3854</v>
      </c>
    </row>
    <row r="131" spans="1:14" s="373" customFormat="1" ht="18.75" x14ac:dyDescent="0.2">
      <c r="A131" s="32">
        <f t="shared" si="1"/>
        <v>126</v>
      </c>
      <c r="B131" s="52" t="s">
        <v>3400</v>
      </c>
      <c r="C131" s="32" t="s">
        <v>3401</v>
      </c>
      <c r="D131" s="32" t="s">
        <v>3402</v>
      </c>
      <c r="E131" s="53" t="s">
        <v>3353</v>
      </c>
      <c r="F131" s="54">
        <v>5884</v>
      </c>
      <c r="G131" s="32" t="s">
        <v>2863</v>
      </c>
      <c r="H131" s="479" t="s">
        <v>4256</v>
      </c>
      <c r="I131" s="32"/>
      <c r="J131" s="32"/>
      <c r="K131" s="32"/>
      <c r="L131" s="32"/>
      <c r="M131" s="32"/>
      <c r="N131" s="285" t="s">
        <v>3854</v>
      </c>
    </row>
    <row r="132" spans="1:14" s="373" customFormat="1" ht="18.75" x14ac:dyDescent="0.2">
      <c r="A132" s="32">
        <f t="shared" si="1"/>
        <v>127</v>
      </c>
      <c r="B132" s="52" t="s">
        <v>3403</v>
      </c>
      <c r="C132" s="32" t="s">
        <v>3404</v>
      </c>
      <c r="D132" s="32" t="s">
        <v>3405</v>
      </c>
      <c r="E132" s="53" t="s">
        <v>3353</v>
      </c>
      <c r="F132" s="54">
        <v>16050</v>
      </c>
      <c r="G132" s="32" t="s">
        <v>2863</v>
      </c>
      <c r="H132" s="479" t="s">
        <v>4256</v>
      </c>
      <c r="I132" s="32"/>
      <c r="J132" s="32"/>
      <c r="K132" s="32"/>
      <c r="L132" s="32"/>
      <c r="M132" s="32"/>
      <c r="N132" s="285" t="s">
        <v>3854</v>
      </c>
    </row>
    <row r="133" spans="1:14" s="373" customFormat="1" ht="18.75" x14ac:dyDescent="0.2">
      <c r="A133" s="32">
        <f t="shared" si="1"/>
        <v>128</v>
      </c>
      <c r="B133" s="52" t="s">
        <v>3389</v>
      </c>
      <c r="C133" s="32" t="s">
        <v>3406</v>
      </c>
      <c r="D133" s="32" t="s">
        <v>3407</v>
      </c>
      <c r="E133" s="53" t="s">
        <v>3353</v>
      </c>
      <c r="F133" s="54">
        <v>7490</v>
      </c>
      <c r="G133" s="32" t="s">
        <v>2863</v>
      </c>
      <c r="H133" s="479" t="s">
        <v>4256</v>
      </c>
      <c r="I133" s="32"/>
      <c r="J133" s="32"/>
      <c r="K133" s="32"/>
      <c r="L133" s="32"/>
      <c r="M133" s="32"/>
      <c r="N133" s="285" t="s">
        <v>3854</v>
      </c>
    </row>
    <row r="134" spans="1:14" s="373" customFormat="1" ht="18.75" x14ac:dyDescent="0.2">
      <c r="A134" s="32">
        <f t="shared" si="1"/>
        <v>129</v>
      </c>
      <c r="B134" s="52" t="s">
        <v>3408</v>
      </c>
      <c r="C134" s="32" t="s">
        <v>3409</v>
      </c>
      <c r="D134" s="32" t="s">
        <v>3410</v>
      </c>
      <c r="E134" s="53" t="s">
        <v>3353</v>
      </c>
      <c r="F134" s="54">
        <v>7490</v>
      </c>
      <c r="G134" s="32" t="s">
        <v>2863</v>
      </c>
      <c r="H134" s="479" t="s">
        <v>4256</v>
      </c>
      <c r="I134" s="32"/>
      <c r="J134" s="32"/>
      <c r="K134" s="32"/>
      <c r="L134" s="32"/>
      <c r="M134" s="32"/>
      <c r="N134" s="285" t="s">
        <v>3854</v>
      </c>
    </row>
    <row r="135" spans="1:14" s="373" customFormat="1" ht="18.75" x14ac:dyDescent="0.2">
      <c r="A135" s="32">
        <f t="shared" ref="A135:A198" si="2">ROW()-ROW($A$6)+1</f>
        <v>130</v>
      </c>
      <c r="B135" s="55" t="s">
        <v>3559</v>
      </c>
      <c r="C135" s="298" t="s">
        <v>3560</v>
      </c>
      <c r="D135" s="13" t="s">
        <v>3561</v>
      </c>
      <c r="E135" s="53" t="s">
        <v>3420</v>
      </c>
      <c r="F135" s="31">
        <v>38000</v>
      </c>
      <c r="G135" s="32" t="s">
        <v>2378</v>
      </c>
      <c r="H135" s="479" t="s">
        <v>4256</v>
      </c>
      <c r="I135" s="32"/>
      <c r="J135" s="32"/>
      <c r="K135" s="32"/>
      <c r="L135" s="32"/>
      <c r="M135" s="32"/>
      <c r="N135" s="776" t="s">
        <v>3881</v>
      </c>
    </row>
    <row r="136" spans="1:14" s="373" customFormat="1" ht="18.75" x14ac:dyDescent="0.2">
      <c r="A136" s="32">
        <f t="shared" si="2"/>
        <v>131</v>
      </c>
      <c r="B136" s="55" t="s">
        <v>3562</v>
      </c>
      <c r="C136" s="298" t="s">
        <v>3563</v>
      </c>
      <c r="D136" s="13" t="s">
        <v>3564</v>
      </c>
      <c r="E136" s="53" t="s">
        <v>3420</v>
      </c>
      <c r="F136" s="31">
        <v>38000</v>
      </c>
      <c r="G136" s="32" t="s">
        <v>2378</v>
      </c>
      <c r="H136" s="479" t="s">
        <v>4256</v>
      </c>
      <c r="I136" s="32"/>
      <c r="J136" s="32"/>
      <c r="K136" s="32"/>
      <c r="L136" s="32"/>
      <c r="M136" s="32"/>
      <c r="N136" s="776" t="s">
        <v>3881</v>
      </c>
    </row>
    <row r="137" spans="1:14" s="373" customFormat="1" ht="18.75" x14ac:dyDescent="0.2">
      <c r="A137" s="32">
        <f t="shared" si="2"/>
        <v>132</v>
      </c>
      <c r="B137" s="55" t="s">
        <v>3562</v>
      </c>
      <c r="C137" s="298" t="s">
        <v>3565</v>
      </c>
      <c r="D137" s="13" t="s">
        <v>3566</v>
      </c>
      <c r="E137" s="53" t="s">
        <v>3420</v>
      </c>
      <c r="F137" s="31">
        <v>38000</v>
      </c>
      <c r="G137" s="32" t="s">
        <v>2378</v>
      </c>
      <c r="H137" s="479" t="s">
        <v>4256</v>
      </c>
      <c r="I137" s="32"/>
      <c r="J137" s="32"/>
      <c r="K137" s="32"/>
      <c r="L137" s="32"/>
      <c r="M137" s="32"/>
      <c r="N137" s="776" t="s">
        <v>3881</v>
      </c>
    </row>
    <row r="138" spans="1:14" s="373" customFormat="1" ht="18.75" x14ac:dyDescent="0.2">
      <c r="A138" s="32">
        <f t="shared" si="2"/>
        <v>133</v>
      </c>
      <c r="B138" s="55" t="s">
        <v>3562</v>
      </c>
      <c r="C138" s="298" t="s">
        <v>3567</v>
      </c>
      <c r="D138" s="13" t="s">
        <v>3568</v>
      </c>
      <c r="E138" s="53" t="s">
        <v>3420</v>
      </c>
      <c r="F138" s="31">
        <v>38000</v>
      </c>
      <c r="G138" s="32" t="s">
        <v>2378</v>
      </c>
      <c r="H138" s="479" t="s">
        <v>4256</v>
      </c>
      <c r="I138" s="32"/>
      <c r="J138" s="32"/>
      <c r="K138" s="32"/>
      <c r="L138" s="32"/>
      <c r="M138" s="32"/>
      <c r="N138" s="776" t="s">
        <v>3881</v>
      </c>
    </row>
    <row r="139" spans="1:14" s="373" customFormat="1" ht="18.75" x14ac:dyDescent="0.2">
      <c r="A139" s="32">
        <f t="shared" si="2"/>
        <v>134</v>
      </c>
      <c r="B139" s="55" t="s">
        <v>3562</v>
      </c>
      <c r="C139" s="298" t="s">
        <v>3569</v>
      </c>
      <c r="D139" s="13" t="s">
        <v>3570</v>
      </c>
      <c r="E139" s="53" t="s">
        <v>3420</v>
      </c>
      <c r="F139" s="31">
        <v>38000</v>
      </c>
      <c r="G139" s="32" t="s">
        <v>2378</v>
      </c>
      <c r="H139" s="479" t="s">
        <v>4256</v>
      </c>
      <c r="I139" s="32"/>
      <c r="J139" s="32"/>
      <c r="K139" s="32"/>
      <c r="L139" s="32"/>
      <c r="M139" s="32"/>
      <c r="N139" s="776" t="s">
        <v>3881</v>
      </c>
    </row>
    <row r="140" spans="1:14" s="373" customFormat="1" ht="18.75" x14ac:dyDescent="0.2">
      <c r="A140" s="32">
        <f t="shared" si="2"/>
        <v>135</v>
      </c>
      <c r="B140" s="55" t="s">
        <v>3559</v>
      </c>
      <c r="C140" s="298" t="s">
        <v>3571</v>
      </c>
      <c r="D140" s="13" t="s">
        <v>3572</v>
      </c>
      <c r="E140" s="53" t="s">
        <v>3420</v>
      </c>
      <c r="F140" s="31">
        <v>38000</v>
      </c>
      <c r="G140" s="32" t="s">
        <v>2378</v>
      </c>
      <c r="H140" s="479" t="s">
        <v>4256</v>
      </c>
      <c r="I140" s="32"/>
      <c r="J140" s="32"/>
      <c r="K140" s="32"/>
      <c r="L140" s="32"/>
      <c r="M140" s="32"/>
      <c r="N140" s="776" t="s">
        <v>3881</v>
      </c>
    </row>
    <row r="141" spans="1:14" s="373" customFormat="1" ht="18.75" x14ac:dyDescent="0.2">
      <c r="A141" s="32">
        <f t="shared" si="2"/>
        <v>136</v>
      </c>
      <c r="B141" s="55" t="s">
        <v>3559</v>
      </c>
      <c r="C141" s="298" t="s">
        <v>3573</v>
      </c>
      <c r="D141" s="13" t="s">
        <v>3574</v>
      </c>
      <c r="E141" s="53" t="s">
        <v>3420</v>
      </c>
      <c r="F141" s="31">
        <v>38000</v>
      </c>
      <c r="G141" s="32" t="s">
        <v>2378</v>
      </c>
      <c r="H141" s="479" t="s">
        <v>4256</v>
      </c>
      <c r="I141" s="32"/>
      <c r="J141" s="32"/>
      <c r="K141" s="32"/>
      <c r="L141" s="32"/>
      <c r="M141" s="32"/>
      <c r="N141" s="776" t="s">
        <v>3881</v>
      </c>
    </row>
    <row r="142" spans="1:14" s="373" customFormat="1" ht="18.75" x14ac:dyDescent="0.2">
      <c r="A142" s="32">
        <f t="shared" si="2"/>
        <v>137</v>
      </c>
      <c r="B142" s="55" t="s">
        <v>3559</v>
      </c>
      <c r="C142" s="298" t="s">
        <v>3575</v>
      </c>
      <c r="D142" s="13" t="s">
        <v>3576</v>
      </c>
      <c r="E142" s="53" t="s">
        <v>3420</v>
      </c>
      <c r="F142" s="31">
        <v>38000</v>
      </c>
      <c r="G142" s="32" t="s">
        <v>2378</v>
      </c>
      <c r="H142" s="479" t="s">
        <v>4256</v>
      </c>
      <c r="I142" s="32"/>
      <c r="J142" s="32"/>
      <c r="K142" s="32"/>
      <c r="L142" s="32"/>
      <c r="M142" s="32"/>
      <c r="N142" s="776" t="s">
        <v>3881</v>
      </c>
    </row>
    <row r="143" spans="1:14" s="373" customFormat="1" ht="18.75" x14ac:dyDescent="0.2">
      <c r="A143" s="32">
        <f t="shared" si="2"/>
        <v>138</v>
      </c>
      <c r="B143" s="55" t="s">
        <v>3559</v>
      </c>
      <c r="C143" s="298" t="s">
        <v>3577</v>
      </c>
      <c r="D143" s="13" t="s">
        <v>3578</v>
      </c>
      <c r="E143" s="53" t="s">
        <v>3420</v>
      </c>
      <c r="F143" s="31">
        <v>38000</v>
      </c>
      <c r="G143" s="32" t="s">
        <v>2378</v>
      </c>
      <c r="H143" s="479" t="s">
        <v>4256</v>
      </c>
      <c r="I143" s="32"/>
      <c r="J143" s="32"/>
      <c r="K143" s="32"/>
      <c r="L143" s="32"/>
      <c r="M143" s="32"/>
      <c r="N143" s="776" t="s">
        <v>3881</v>
      </c>
    </row>
    <row r="144" spans="1:14" s="373" customFormat="1" ht="18.75" x14ac:dyDescent="0.2">
      <c r="A144" s="32">
        <f t="shared" si="2"/>
        <v>139</v>
      </c>
      <c r="B144" s="55" t="s">
        <v>3579</v>
      </c>
      <c r="C144" s="298" t="s">
        <v>3580</v>
      </c>
      <c r="D144" s="13" t="s">
        <v>3581</v>
      </c>
      <c r="E144" s="53" t="s">
        <v>3420</v>
      </c>
      <c r="F144" s="31">
        <v>38000</v>
      </c>
      <c r="G144" s="32" t="s">
        <v>2378</v>
      </c>
      <c r="H144" s="479" t="s">
        <v>4256</v>
      </c>
      <c r="I144" s="32"/>
      <c r="J144" s="32"/>
      <c r="K144" s="32"/>
      <c r="L144" s="32"/>
      <c r="M144" s="32"/>
      <c r="N144" s="776" t="s">
        <v>3881</v>
      </c>
    </row>
    <row r="145" spans="1:14" s="373" customFormat="1" ht="18.75" x14ac:dyDescent="0.2">
      <c r="A145" s="32">
        <f t="shared" si="2"/>
        <v>140</v>
      </c>
      <c r="B145" s="55" t="s">
        <v>3579</v>
      </c>
      <c r="C145" s="298" t="s">
        <v>3582</v>
      </c>
      <c r="D145" s="13" t="s">
        <v>3583</v>
      </c>
      <c r="E145" s="53" t="s">
        <v>3420</v>
      </c>
      <c r="F145" s="31">
        <v>38000</v>
      </c>
      <c r="G145" s="32" t="s">
        <v>2378</v>
      </c>
      <c r="H145" s="479" t="s">
        <v>4256</v>
      </c>
      <c r="I145" s="32"/>
      <c r="J145" s="32"/>
      <c r="K145" s="32"/>
      <c r="L145" s="32"/>
      <c r="M145" s="32"/>
      <c r="N145" s="776" t="s">
        <v>3881</v>
      </c>
    </row>
    <row r="146" spans="1:14" s="373" customFormat="1" ht="18.75" x14ac:dyDescent="0.2">
      <c r="A146" s="32">
        <f t="shared" si="2"/>
        <v>141</v>
      </c>
      <c r="B146" s="55" t="s">
        <v>3579</v>
      </c>
      <c r="C146" s="298" t="s">
        <v>3584</v>
      </c>
      <c r="D146" s="13" t="s">
        <v>3585</v>
      </c>
      <c r="E146" s="53" t="s">
        <v>3420</v>
      </c>
      <c r="F146" s="31">
        <v>38000</v>
      </c>
      <c r="G146" s="32" t="s">
        <v>2378</v>
      </c>
      <c r="H146" s="479" t="s">
        <v>4256</v>
      </c>
      <c r="I146" s="32"/>
      <c r="J146" s="32"/>
      <c r="K146" s="32"/>
      <c r="L146" s="32"/>
      <c r="M146" s="32"/>
      <c r="N146" s="776" t="s">
        <v>3881</v>
      </c>
    </row>
    <row r="147" spans="1:14" s="373" customFormat="1" ht="18.75" x14ac:dyDescent="0.2">
      <c r="A147" s="32">
        <f t="shared" si="2"/>
        <v>142</v>
      </c>
      <c r="B147" s="55" t="s">
        <v>3586</v>
      </c>
      <c r="C147" s="298" t="s">
        <v>3587</v>
      </c>
      <c r="D147" s="13" t="s">
        <v>3588</v>
      </c>
      <c r="E147" s="53" t="s">
        <v>3420</v>
      </c>
      <c r="F147" s="31">
        <v>30000</v>
      </c>
      <c r="G147" s="32" t="s">
        <v>2378</v>
      </c>
      <c r="H147" s="479" t="s">
        <v>4256</v>
      </c>
      <c r="I147" s="32"/>
      <c r="J147" s="32"/>
      <c r="K147" s="32"/>
      <c r="L147" s="32"/>
      <c r="M147" s="32"/>
      <c r="N147" s="776" t="s">
        <v>3881</v>
      </c>
    </row>
    <row r="148" spans="1:14" s="373" customFormat="1" ht="18.75" x14ac:dyDescent="0.2">
      <c r="A148" s="32">
        <f t="shared" si="2"/>
        <v>143</v>
      </c>
      <c r="B148" s="55" t="s">
        <v>3586</v>
      </c>
      <c r="C148" s="298" t="s">
        <v>3589</v>
      </c>
      <c r="D148" s="13" t="s">
        <v>3590</v>
      </c>
      <c r="E148" s="53" t="s">
        <v>3420</v>
      </c>
      <c r="F148" s="31">
        <v>30000</v>
      </c>
      <c r="G148" s="32" t="s">
        <v>2378</v>
      </c>
      <c r="H148" s="479" t="s">
        <v>4256</v>
      </c>
      <c r="I148" s="32"/>
      <c r="J148" s="32"/>
      <c r="K148" s="32"/>
      <c r="L148" s="32"/>
      <c r="M148" s="32"/>
      <c r="N148" s="776" t="s">
        <v>3881</v>
      </c>
    </row>
    <row r="149" spans="1:14" s="373" customFormat="1" ht="18.75" x14ac:dyDescent="0.2">
      <c r="A149" s="32">
        <f t="shared" si="2"/>
        <v>144</v>
      </c>
      <c r="B149" s="55" t="s">
        <v>3586</v>
      </c>
      <c r="C149" s="298" t="s">
        <v>3591</v>
      </c>
      <c r="D149" s="13" t="s">
        <v>3592</v>
      </c>
      <c r="E149" s="53" t="s">
        <v>3420</v>
      </c>
      <c r="F149" s="31">
        <v>30000</v>
      </c>
      <c r="G149" s="32" t="s">
        <v>2378</v>
      </c>
      <c r="H149" s="479" t="s">
        <v>4256</v>
      </c>
      <c r="I149" s="32"/>
      <c r="J149" s="32"/>
      <c r="K149" s="32"/>
      <c r="L149" s="32"/>
      <c r="M149" s="32"/>
      <c r="N149" s="776" t="s">
        <v>3881</v>
      </c>
    </row>
    <row r="150" spans="1:14" s="373" customFormat="1" ht="18.75" x14ac:dyDescent="0.2">
      <c r="A150" s="32">
        <f t="shared" si="2"/>
        <v>145</v>
      </c>
      <c r="B150" s="55" t="s">
        <v>3586</v>
      </c>
      <c r="C150" s="298" t="s">
        <v>3593</v>
      </c>
      <c r="D150" s="13" t="s">
        <v>3594</v>
      </c>
      <c r="E150" s="53" t="s">
        <v>3420</v>
      </c>
      <c r="F150" s="31">
        <v>30000</v>
      </c>
      <c r="G150" s="32" t="s">
        <v>2378</v>
      </c>
      <c r="H150" s="479" t="s">
        <v>4256</v>
      </c>
      <c r="I150" s="32"/>
      <c r="J150" s="32"/>
      <c r="K150" s="32"/>
      <c r="L150" s="32"/>
      <c r="M150" s="32"/>
      <c r="N150" s="776" t="s">
        <v>3881</v>
      </c>
    </row>
    <row r="151" spans="1:14" s="373" customFormat="1" ht="18.75" x14ac:dyDescent="0.2">
      <c r="A151" s="32">
        <f t="shared" si="2"/>
        <v>146</v>
      </c>
      <c r="B151" s="55" t="s">
        <v>3586</v>
      </c>
      <c r="C151" s="298" t="s">
        <v>3595</v>
      </c>
      <c r="D151" s="13" t="s">
        <v>3596</v>
      </c>
      <c r="E151" s="53" t="s">
        <v>3420</v>
      </c>
      <c r="F151" s="31">
        <v>30000</v>
      </c>
      <c r="G151" s="32" t="s">
        <v>2378</v>
      </c>
      <c r="H151" s="479" t="s">
        <v>4256</v>
      </c>
      <c r="I151" s="32"/>
      <c r="J151" s="32"/>
      <c r="K151" s="32"/>
      <c r="L151" s="32"/>
      <c r="M151" s="32"/>
      <c r="N151" s="776" t="s">
        <v>3881</v>
      </c>
    </row>
    <row r="152" spans="1:14" s="373" customFormat="1" ht="18.75" x14ac:dyDescent="0.2">
      <c r="A152" s="32">
        <f t="shared" si="2"/>
        <v>147</v>
      </c>
      <c r="B152" s="55" t="s">
        <v>3586</v>
      </c>
      <c r="C152" s="298" t="s">
        <v>3597</v>
      </c>
      <c r="D152" s="13" t="s">
        <v>3598</v>
      </c>
      <c r="E152" s="53" t="s">
        <v>3420</v>
      </c>
      <c r="F152" s="31">
        <v>30000</v>
      </c>
      <c r="G152" s="32" t="s">
        <v>2378</v>
      </c>
      <c r="H152" s="479" t="s">
        <v>4256</v>
      </c>
      <c r="I152" s="32"/>
      <c r="J152" s="32"/>
      <c r="K152" s="32"/>
      <c r="L152" s="32"/>
      <c r="M152" s="32"/>
      <c r="N152" s="776" t="s">
        <v>3881</v>
      </c>
    </row>
    <row r="153" spans="1:14" s="373" customFormat="1" ht="18.75" x14ac:dyDescent="0.2">
      <c r="A153" s="32">
        <f t="shared" si="2"/>
        <v>148</v>
      </c>
      <c r="B153" s="55" t="s">
        <v>3599</v>
      </c>
      <c r="C153" s="298" t="s">
        <v>3600</v>
      </c>
      <c r="D153" s="13" t="s">
        <v>3601</v>
      </c>
      <c r="E153" s="53" t="s">
        <v>3420</v>
      </c>
      <c r="F153" s="31">
        <v>17000</v>
      </c>
      <c r="G153" s="32" t="s">
        <v>2378</v>
      </c>
      <c r="H153" s="480" t="s">
        <v>4256</v>
      </c>
      <c r="I153" s="32"/>
      <c r="J153" s="480"/>
      <c r="K153" s="32"/>
      <c r="L153" s="32"/>
      <c r="M153" s="32"/>
      <c r="N153" s="776" t="s">
        <v>3834</v>
      </c>
    </row>
    <row r="154" spans="1:14" s="373" customFormat="1" ht="18.75" x14ac:dyDescent="0.2">
      <c r="A154" s="32">
        <f t="shared" si="2"/>
        <v>149</v>
      </c>
      <c r="B154" s="55" t="s">
        <v>3602</v>
      </c>
      <c r="C154" s="298" t="s">
        <v>3603</v>
      </c>
      <c r="D154" s="13" t="s">
        <v>3604</v>
      </c>
      <c r="E154" s="53" t="s">
        <v>3420</v>
      </c>
      <c r="F154" s="31">
        <v>13500</v>
      </c>
      <c r="G154" s="32" t="s">
        <v>2378</v>
      </c>
      <c r="H154" s="480" t="s">
        <v>4256</v>
      </c>
      <c r="I154" s="32"/>
      <c r="J154" s="480"/>
      <c r="K154" s="32"/>
      <c r="L154" s="32"/>
      <c r="M154" s="32"/>
      <c r="N154" s="776" t="s">
        <v>3834</v>
      </c>
    </row>
    <row r="155" spans="1:14" s="373" customFormat="1" ht="18.75" x14ac:dyDescent="0.2">
      <c r="A155" s="32">
        <f t="shared" si="2"/>
        <v>150</v>
      </c>
      <c r="B155" s="55" t="s">
        <v>3602</v>
      </c>
      <c r="C155" s="298" t="s">
        <v>3605</v>
      </c>
      <c r="D155" s="13" t="s">
        <v>3606</v>
      </c>
      <c r="E155" s="53" t="s">
        <v>3420</v>
      </c>
      <c r="F155" s="31">
        <v>13500</v>
      </c>
      <c r="G155" s="32" t="s">
        <v>2378</v>
      </c>
      <c r="H155" s="480" t="s">
        <v>4256</v>
      </c>
      <c r="I155" s="32"/>
      <c r="J155" s="480"/>
      <c r="K155" s="32"/>
      <c r="L155" s="32"/>
      <c r="M155" s="32"/>
      <c r="N155" s="776" t="s">
        <v>3834</v>
      </c>
    </row>
    <row r="156" spans="1:14" s="373" customFormat="1" ht="18.75" x14ac:dyDescent="0.2">
      <c r="A156" s="32">
        <f t="shared" si="2"/>
        <v>151</v>
      </c>
      <c r="B156" s="55" t="s">
        <v>3602</v>
      </c>
      <c r="C156" s="298" t="s">
        <v>3607</v>
      </c>
      <c r="D156" s="13" t="s">
        <v>3608</v>
      </c>
      <c r="E156" s="53" t="s">
        <v>3420</v>
      </c>
      <c r="F156" s="31">
        <v>17000</v>
      </c>
      <c r="G156" s="32" t="s">
        <v>2378</v>
      </c>
      <c r="H156" s="480" t="s">
        <v>4256</v>
      </c>
      <c r="I156" s="32"/>
      <c r="J156" s="480"/>
      <c r="K156" s="32"/>
      <c r="L156" s="32"/>
      <c r="M156" s="32"/>
      <c r="N156" s="776" t="s">
        <v>3834</v>
      </c>
    </row>
    <row r="157" spans="1:14" s="373" customFormat="1" ht="18.75" x14ac:dyDescent="0.2">
      <c r="A157" s="32">
        <f t="shared" si="2"/>
        <v>152</v>
      </c>
      <c r="B157" s="55" t="s">
        <v>3602</v>
      </c>
      <c r="C157" s="298" t="s">
        <v>3609</v>
      </c>
      <c r="D157" s="13" t="s">
        <v>3610</v>
      </c>
      <c r="E157" s="53" t="s">
        <v>3420</v>
      </c>
      <c r="F157" s="31">
        <v>17000</v>
      </c>
      <c r="G157" s="32" t="s">
        <v>2378</v>
      </c>
      <c r="H157" s="480" t="s">
        <v>4256</v>
      </c>
      <c r="I157" s="32"/>
      <c r="J157" s="480"/>
      <c r="K157" s="32"/>
      <c r="L157" s="32"/>
      <c r="M157" s="32"/>
      <c r="N157" s="776" t="s">
        <v>3834</v>
      </c>
    </row>
    <row r="158" spans="1:14" s="373" customFormat="1" ht="18.75" x14ac:dyDescent="0.2">
      <c r="A158" s="32">
        <f t="shared" si="2"/>
        <v>153</v>
      </c>
      <c r="B158" s="55" t="s">
        <v>3602</v>
      </c>
      <c r="C158" s="298" t="s">
        <v>3611</v>
      </c>
      <c r="D158" s="13" t="s">
        <v>3612</v>
      </c>
      <c r="E158" s="53" t="s">
        <v>3420</v>
      </c>
      <c r="F158" s="31">
        <v>17000</v>
      </c>
      <c r="G158" s="32" t="s">
        <v>2378</v>
      </c>
      <c r="H158" s="480" t="s">
        <v>4256</v>
      </c>
      <c r="I158" s="32"/>
      <c r="J158" s="480"/>
      <c r="K158" s="32"/>
      <c r="L158" s="32"/>
      <c r="M158" s="32"/>
      <c r="N158" s="776" t="s">
        <v>3834</v>
      </c>
    </row>
    <row r="159" spans="1:14" s="373" customFormat="1" ht="18.75" x14ac:dyDescent="0.2">
      <c r="A159" s="32">
        <f t="shared" si="2"/>
        <v>154</v>
      </c>
      <c r="B159" s="55" t="s">
        <v>3602</v>
      </c>
      <c r="C159" s="298" t="s">
        <v>3613</v>
      </c>
      <c r="D159" s="13" t="s">
        <v>3614</v>
      </c>
      <c r="E159" s="53" t="s">
        <v>3420</v>
      </c>
      <c r="F159" s="31">
        <v>17000</v>
      </c>
      <c r="G159" s="32" t="s">
        <v>2378</v>
      </c>
      <c r="H159" s="479" t="s">
        <v>4256</v>
      </c>
      <c r="I159" s="32"/>
      <c r="J159" s="32"/>
      <c r="K159" s="32"/>
      <c r="L159" s="32"/>
      <c r="M159" s="32"/>
      <c r="N159" s="776" t="s">
        <v>3834</v>
      </c>
    </row>
    <row r="160" spans="1:14" s="373" customFormat="1" ht="18.75" x14ac:dyDescent="0.2">
      <c r="A160" s="32">
        <f t="shared" si="2"/>
        <v>155</v>
      </c>
      <c r="B160" s="55" t="s">
        <v>3615</v>
      </c>
      <c r="C160" s="298" t="s">
        <v>3616</v>
      </c>
      <c r="D160" s="13" t="s">
        <v>3617</v>
      </c>
      <c r="E160" s="53" t="s">
        <v>3420</v>
      </c>
      <c r="F160" s="31">
        <v>4600</v>
      </c>
      <c r="G160" s="32" t="s">
        <v>2378</v>
      </c>
      <c r="H160" s="479" t="s">
        <v>4256</v>
      </c>
      <c r="I160" s="32"/>
      <c r="J160" s="32"/>
      <c r="K160" s="32"/>
      <c r="L160" s="32"/>
      <c r="M160" s="32"/>
      <c r="N160" s="776" t="s">
        <v>3881</v>
      </c>
    </row>
    <row r="161" spans="1:14" s="373" customFormat="1" ht="18.75" x14ac:dyDescent="0.2">
      <c r="A161" s="32">
        <f t="shared" si="2"/>
        <v>156</v>
      </c>
      <c r="B161" s="55" t="s">
        <v>3615</v>
      </c>
      <c r="C161" s="298" t="s">
        <v>3618</v>
      </c>
      <c r="D161" s="13" t="s">
        <v>3619</v>
      </c>
      <c r="E161" s="53" t="s">
        <v>3420</v>
      </c>
      <c r="F161" s="31">
        <v>4600</v>
      </c>
      <c r="G161" s="32" t="s">
        <v>2378</v>
      </c>
      <c r="H161" s="479" t="s">
        <v>4256</v>
      </c>
      <c r="I161" s="32"/>
      <c r="J161" s="32"/>
      <c r="K161" s="32"/>
      <c r="L161" s="32"/>
      <c r="M161" s="32"/>
      <c r="N161" s="776" t="s">
        <v>3881</v>
      </c>
    </row>
    <row r="162" spans="1:14" s="373" customFormat="1" ht="18.75" x14ac:dyDescent="0.2">
      <c r="A162" s="32">
        <f t="shared" si="2"/>
        <v>157</v>
      </c>
      <c r="B162" s="838" t="s">
        <v>3615</v>
      </c>
      <c r="C162" s="855" t="s">
        <v>3620</v>
      </c>
      <c r="D162" s="363" t="s">
        <v>3621</v>
      </c>
      <c r="E162" s="849" t="s">
        <v>3420</v>
      </c>
      <c r="F162" s="418">
        <v>2900</v>
      </c>
      <c r="G162" s="297" t="s">
        <v>2378</v>
      </c>
      <c r="H162" s="853"/>
      <c r="I162" s="853" t="s">
        <v>4256</v>
      </c>
      <c r="J162" s="297"/>
      <c r="K162" s="297"/>
      <c r="L162" s="297"/>
      <c r="M162" s="297"/>
      <c r="N162" s="856" t="s">
        <v>3881</v>
      </c>
    </row>
    <row r="163" spans="1:14" s="373" customFormat="1" ht="18.75" x14ac:dyDescent="0.2">
      <c r="A163" s="32">
        <f t="shared" si="2"/>
        <v>158</v>
      </c>
      <c r="B163" s="55" t="s">
        <v>3615</v>
      </c>
      <c r="C163" s="298" t="s">
        <v>3622</v>
      </c>
      <c r="D163" s="13" t="s">
        <v>3623</v>
      </c>
      <c r="E163" s="53" t="s">
        <v>3420</v>
      </c>
      <c r="F163" s="31">
        <v>2900</v>
      </c>
      <c r="G163" s="32" t="s">
        <v>2378</v>
      </c>
      <c r="H163" s="479" t="s">
        <v>4256</v>
      </c>
      <c r="I163" s="32"/>
      <c r="J163" s="32"/>
      <c r="K163" s="32"/>
      <c r="L163" s="32"/>
      <c r="M163" s="32"/>
      <c r="N163" s="776" t="s">
        <v>3881</v>
      </c>
    </row>
    <row r="164" spans="1:14" s="373" customFormat="1" ht="18.75" x14ac:dyDescent="0.2">
      <c r="A164" s="32">
        <f t="shared" si="2"/>
        <v>159</v>
      </c>
      <c r="B164" s="55" t="s">
        <v>3615</v>
      </c>
      <c r="C164" s="298" t="s">
        <v>3624</v>
      </c>
      <c r="D164" s="13" t="s">
        <v>3625</v>
      </c>
      <c r="E164" s="53" t="s">
        <v>3420</v>
      </c>
      <c r="F164" s="31">
        <v>2900</v>
      </c>
      <c r="G164" s="32" t="s">
        <v>2378</v>
      </c>
      <c r="H164" s="479" t="s">
        <v>4256</v>
      </c>
      <c r="I164" s="32"/>
      <c r="J164" s="32"/>
      <c r="K164" s="32"/>
      <c r="L164" s="32"/>
      <c r="M164" s="32"/>
      <c r="N164" s="776" t="s">
        <v>3881</v>
      </c>
    </row>
    <row r="165" spans="1:14" s="373" customFormat="1" ht="18.75" x14ac:dyDescent="0.2">
      <c r="A165" s="32">
        <f t="shared" si="2"/>
        <v>160</v>
      </c>
      <c r="B165" s="55" t="s">
        <v>3615</v>
      </c>
      <c r="C165" s="298" t="s">
        <v>3626</v>
      </c>
      <c r="D165" s="13" t="s">
        <v>3627</v>
      </c>
      <c r="E165" s="53" t="s">
        <v>3420</v>
      </c>
      <c r="F165" s="31">
        <v>2900</v>
      </c>
      <c r="G165" s="32" t="s">
        <v>2378</v>
      </c>
      <c r="H165" s="479" t="s">
        <v>4256</v>
      </c>
      <c r="I165" s="32"/>
      <c r="J165" s="32"/>
      <c r="K165" s="32"/>
      <c r="L165" s="32"/>
      <c r="M165" s="32"/>
      <c r="N165" s="776" t="s">
        <v>3881</v>
      </c>
    </row>
    <row r="166" spans="1:14" s="373" customFormat="1" ht="18.75" x14ac:dyDescent="0.2">
      <c r="A166" s="32">
        <f t="shared" si="2"/>
        <v>161</v>
      </c>
      <c r="B166" s="838" t="s">
        <v>3615</v>
      </c>
      <c r="C166" s="855" t="s">
        <v>3628</v>
      </c>
      <c r="D166" s="363" t="s">
        <v>3629</v>
      </c>
      <c r="E166" s="849" t="s">
        <v>3420</v>
      </c>
      <c r="F166" s="418">
        <v>2900</v>
      </c>
      <c r="G166" s="297" t="s">
        <v>2378</v>
      </c>
      <c r="H166" s="853"/>
      <c r="I166" s="853" t="s">
        <v>4256</v>
      </c>
      <c r="J166" s="297"/>
      <c r="K166" s="297"/>
      <c r="L166" s="297"/>
      <c r="M166" s="297"/>
      <c r="N166" s="856" t="s">
        <v>3881</v>
      </c>
    </row>
    <row r="167" spans="1:14" s="370" customFormat="1" ht="37.5" x14ac:dyDescent="0.2">
      <c r="A167" s="32">
        <f t="shared" si="2"/>
        <v>162</v>
      </c>
      <c r="B167" s="55" t="s">
        <v>564</v>
      </c>
      <c r="C167" s="13" t="s">
        <v>565</v>
      </c>
      <c r="D167" s="13" t="s">
        <v>566</v>
      </c>
      <c r="E167" s="53" t="s">
        <v>567</v>
      </c>
      <c r="F167" s="31">
        <v>17000</v>
      </c>
      <c r="G167" s="32" t="s">
        <v>220</v>
      </c>
      <c r="H167" s="32" t="s">
        <v>4256</v>
      </c>
      <c r="I167" s="32"/>
      <c r="J167" s="32"/>
      <c r="K167" s="32"/>
      <c r="L167" s="32"/>
      <c r="M167" s="32"/>
      <c r="N167" s="56" t="s">
        <v>568</v>
      </c>
    </row>
    <row r="168" spans="1:14" s="370" customFormat="1" ht="37.5" x14ac:dyDescent="0.2">
      <c r="A168" s="32">
        <f t="shared" si="2"/>
        <v>163</v>
      </c>
      <c r="B168" s="55" t="s">
        <v>564</v>
      </c>
      <c r="C168" s="13" t="s">
        <v>569</v>
      </c>
      <c r="D168" s="13" t="s">
        <v>570</v>
      </c>
      <c r="E168" s="53" t="s">
        <v>567</v>
      </c>
      <c r="F168" s="31">
        <v>17000</v>
      </c>
      <c r="G168" s="32" t="s">
        <v>200</v>
      </c>
      <c r="H168" s="32" t="s">
        <v>4256</v>
      </c>
      <c r="I168" s="32"/>
      <c r="J168" s="32"/>
      <c r="K168" s="32"/>
      <c r="L168" s="32"/>
      <c r="M168" s="32"/>
      <c r="N168" s="56" t="s">
        <v>571</v>
      </c>
    </row>
    <row r="169" spans="1:14" s="370" customFormat="1" ht="18.75" x14ac:dyDescent="0.2">
      <c r="A169" s="32">
        <f t="shared" si="2"/>
        <v>164</v>
      </c>
      <c r="B169" s="55" t="s">
        <v>572</v>
      </c>
      <c r="C169" s="13" t="s">
        <v>573</v>
      </c>
      <c r="D169" s="13" t="s">
        <v>574</v>
      </c>
      <c r="E169" s="53" t="s">
        <v>567</v>
      </c>
      <c r="F169" s="31">
        <v>2600</v>
      </c>
      <c r="G169" s="32" t="s">
        <v>220</v>
      </c>
      <c r="H169" s="32" t="s">
        <v>4256</v>
      </c>
      <c r="I169" s="32"/>
      <c r="J169" s="32"/>
      <c r="K169" s="32"/>
      <c r="L169" s="32"/>
      <c r="M169" s="32"/>
      <c r="N169" s="56" t="s">
        <v>568</v>
      </c>
    </row>
    <row r="170" spans="1:14" s="370" customFormat="1" ht="18.75" x14ac:dyDescent="0.2">
      <c r="A170" s="32">
        <f t="shared" si="2"/>
        <v>165</v>
      </c>
      <c r="B170" s="55" t="s">
        <v>572</v>
      </c>
      <c r="C170" s="13" t="s">
        <v>575</v>
      </c>
      <c r="D170" s="13" t="s">
        <v>576</v>
      </c>
      <c r="E170" s="53" t="s">
        <v>567</v>
      </c>
      <c r="F170" s="31">
        <v>2600</v>
      </c>
      <c r="G170" s="32" t="s">
        <v>200</v>
      </c>
      <c r="H170" s="32" t="s">
        <v>4256</v>
      </c>
      <c r="I170" s="32"/>
      <c r="J170" s="32"/>
      <c r="K170" s="32"/>
      <c r="L170" s="32"/>
      <c r="M170" s="32"/>
      <c r="N170" s="56" t="s">
        <v>571</v>
      </c>
    </row>
    <row r="171" spans="1:14" s="370" customFormat="1" ht="18.75" x14ac:dyDescent="0.2">
      <c r="A171" s="32">
        <f t="shared" si="2"/>
        <v>166</v>
      </c>
      <c r="B171" s="55" t="s">
        <v>577</v>
      </c>
      <c r="C171" s="13" t="s">
        <v>578</v>
      </c>
      <c r="D171" s="13" t="s">
        <v>579</v>
      </c>
      <c r="E171" s="53" t="s">
        <v>567</v>
      </c>
      <c r="F171" s="31">
        <v>2500</v>
      </c>
      <c r="G171" s="32" t="s">
        <v>220</v>
      </c>
      <c r="H171" s="32" t="s">
        <v>4256</v>
      </c>
      <c r="I171" s="32"/>
      <c r="J171" s="32"/>
      <c r="K171" s="32"/>
      <c r="L171" s="32"/>
      <c r="M171" s="32"/>
      <c r="N171" s="56" t="s">
        <v>568</v>
      </c>
    </row>
    <row r="172" spans="1:14" s="370" customFormat="1" ht="18.75" x14ac:dyDescent="0.2">
      <c r="A172" s="32">
        <f t="shared" si="2"/>
        <v>167</v>
      </c>
      <c r="B172" s="55" t="s">
        <v>577</v>
      </c>
      <c r="C172" s="13" t="s">
        <v>580</v>
      </c>
      <c r="D172" s="13" t="s">
        <v>581</v>
      </c>
      <c r="E172" s="53" t="s">
        <v>567</v>
      </c>
      <c r="F172" s="31">
        <v>2500</v>
      </c>
      <c r="G172" s="32" t="s">
        <v>200</v>
      </c>
      <c r="H172" s="32" t="s">
        <v>4256</v>
      </c>
      <c r="I172" s="32"/>
      <c r="J172" s="32"/>
      <c r="K172" s="32"/>
      <c r="L172" s="32"/>
      <c r="M172" s="32"/>
      <c r="N172" s="56" t="s">
        <v>571</v>
      </c>
    </row>
    <row r="173" spans="1:14" s="373" customFormat="1" ht="18.75" x14ac:dyDescent="0.2">
      <c r="A173" s="32">
        <f t="shared" si="2"/>
        <v>168</v>
      </c>
      <c r="B173" s="55" t="s">
        <v>3668</v>
      </c>
      <c r="C173" s="13" t="s">
        <v>3669</v>
      </c>
      <c r="D173" s="13" t="s">
        <v>3670</v>
      </c>
      <c r="E173" s="53" t="s">
        <v>1731</v>
      </c>
      <c r="F173" s="31">
        <v>11700</v>
      </c>
      <c r="G173" s="32" t="s">
        <v>2378</v>
      </c>
      <c r="H173" s="32" t="s">
        <v>4256</v>
      </c>
      <c r="I173" s="32"/>
      <c r="J173" s="32"/>
      <c r="K173" s="32"/>
      <c r="L173" s="32"/>
      <c r="M173" s="32"/>
      <c r="N173" s="316" t="s">
        <v>3855</v>
      </c>
    </row>
    <row r="174" spans="1:14" s="373" customFormat="1" ht="18.75" x14ac:dyDescent="0.2">
      <c r="A174" s="32">
        <f t="shared" si="2"/>
        <v>169</v>
      </c>
      <c r="B174" s="55" t="s">
        <v>3668</v>
      </c>
      <c r="C174" s="13" t="s">
        <v>3671</v>
      </c>
      <c r="D174" s="13" t="s">
        <v>3672</v>
      </c>
      <c r="E174" s="53" t="s">
        <v>1731</v>
      </c>
      <c r="F174" s="31">
        <v>5900</v>
      </c>
      <c r="G174" s="32" t="s">
        <v>2378</v>
      </c>
      <c r="H174" s="32" t="s">
        <v>4256</v>
      </c>
      <c r="I174" s="32"/>
      <c r="J174" s="32"/>
      <c r="K174" s="32"/>
      <c r="L174" s="32"/>
      <c r="M174" s="32"/>
      <c r="N174" s="316" t="s">
        <v>3842</v>
      </c>
    </row>
    <row r="175" spans="1:14" s="373" customFormat="1" ht="18.75" x14ac:dyDescent="0.2">
      <c r="A175" s="32">
        <f t="shared" si="2"/>
        <v>170</v>
      </c>
      <c r="B175" s="55" t="s">
        <v>3668</v>
      </c>
      <c r="C175" s="13" t="s">
        <v>3673</v>
      </c>
      <c r="D175" s="13" t="s">
        <v>3674</v>
      </c>
      <c r="E175" s="53" t="s">
        <v>1731</v>
      </c>
      <c r="F175" s="31">
        <v>5900</v>
      </c>
      <c r="G175" s="32" t="s">
        <v>2378</v>
      </c>
      <c r="H175" s="32" t="s">
        <v>4256</v>
      </c>
      <c r="I175" s="32"/>
      <c r="J175" s="32"/>
      <c r="K175" s="32"/>
      <c r="L175" s="32"/>
      <c r="M175" s="32"/>
      <c r="N175" s="316" t="s">
        <v>3834</v>
      </c>
    </row>
    <row r="176" spans="1:14" s="370" customFormat="1" ht="37.5" x14ac:dyDescent="0.2">
      <c r="A176" s="32">
        <f t="shared" si="2"/>
        <v>171</v>
      </c>
      <c r="B176" s="52" t="s">
        <v>629</v>
      </c>
      <c r="C176" s="32" t="s">
        <v>630</v>
      </c>
      <c r="D176" s="32" t="s">
        <v>631</v>
      </c>
      <c r="E176" s="53">
        <v>23899</v>
      </c>
      <c r="F176" s="374">
        <v>12710</v>
      </c>
      <c r="G176" s="32" t="s">
        <v>632</v>
      </c>
      <c r="H176" s="32" t="s">
        <v>4256</v>
      </c>
      <c r="I176" s="32"/>
      <c r="J176" s="32"/>
      <c r="K176" s="32"/>
      <c r="L176" s="32"/>
      <c r="M176" s="32"/>
      <c r="N176" s="56" t="s">
        <v>3917</v>
      </c>
    </row>
    <row r="177" spans="1:14" s="370" customFormat="1" ht="37.5" x14ac:dyDescent="0.2">
      <c r="A177" s="32">
        <f t="shared" si="2"/>
        <v>172</v>
      </c>
      <c r="B177" s="52" t="s">
        <v>633</v>
      </c>
      <c r="C177" s="32" t="s">
        <v>634</v>
      </c>
      <c r="D177" s="32" t="s">
        <v>635</v>
      </c>
      <c r="E177" s="53">
        <v>23899</v>
      </c>
      <c r="F177" s="374">
        <v>3790</v>
      </c>
      <c r="G177" s="32" t="s">
        <v>632</v>
      </c>
      <c r="H177" s="32" t="s">
        <v>4256</v>
      </c>
      <c r="I177" s="32"/>
      <c r="J177" s="32"/>
      <c r="K177" s="32"/>
      <c r="L177" s="32"/>
      <c r="M177" s="32"/>
      <c r="N177" s="56" t="s">
        <v>3917</v>
      </c>
    </row>
    <row r="178" spans="1:14" s="370" customFormat="1" ht="37.5" x14ac:dyDescent="0.2">
      <c r="A178" s="32">
        <f t="shared" si="2"/>
        <v>173</v>
      </c>
      <c r="B178" s="52" t="s">
        <v>629</v>
      </c>
      <c r="C178" s="32" t="s">
        <v>636</v>
      </c>
      <c r="D178" s="32" t="s">
        <v>637</v>
      </c>
      <c r="E178" s="53">
        <v>23899</v>
      </c>
      <c r="F178" s="374">
        <v>12710</v>
      </c>
      <c r="G178" s="32" t="s">
        <v>632</v>
      </c>
      <c r="H178" s="32" t="s">
        <v>4256</v>
      </c>
      <c r="I178" s="32"/>
      <c r="J178" s="32"/>
      <c r="K178" s="32"/>
      <c r="L178" s="32"/>
      <c r="M178" s="32"/>
      <c r="N178" s="56" t="s">
        <v>291</v>
      </c>
    </row>
    <row r="179" spans="1:14" s="370" customFormat="1" ht="37.5" x14ac:dyDescent="0.2">
      <c r="A179" s="32">
        <f t="shared" si="2"/>
        <v>174</v>
      </c>
      <c r="B179" s="52" t="s">
        <v>633</v>
      </c>
      <c r="C179" s="32" t="s">
        <v>638</v>
      </c>
      <c r="D179" s="32" t="s">
        <v>639</v>
      </c>
      <c r="E179" s="53">
        <v>23899</v>
      </c>
      <c r="F179" s="374">
        <v>3790</v>
      </c>
      <c r="G179" s="32" t="s">
        <v>632</v>
      </c>
      <c r="H179" s="32" t="s">
        <v>4256</v>
      </c>
      <c r="I179" s="32"/>
      <c r="J179" s="32"/>
      <c r="K179" s="32"/>
      <c r="L179" s="32"/>
      <c r="M179" s="32"/>
      <c r="N179" s="56" t="s">
        <v>291</v>
      </c>
    </row>
    <row r="180" spans="1:14" s="357" customFormat="1" ht="33.75" customHeight="1" x14ac:dyDescent="0.2">
      <c r="A180" s="32">
        <f t="shared" si="2"/>
        <v>175</v>
      </c>
      <c r="B180" s="375" t="s">
        <v>629</v>
      </c>
      <c r="C180" s="277" t="s">
        <v>2345</v>
      </c>
      <c r="D180" s="277" t="s">
        <v>2346</v>
      </c>
      <c r="E180" s="376">
        <v>23899</v>
      </c>
      <c r="F180" s="377">
        <v>12710</v>
      </c>
      <c r="G180" s="277" t="s">
        <v>21</v>
      </c>
      <c r="H180" s="32" t="s">
        <v>4256</v>
      </c>
      <c r="I180" s="378"/>
      <c r="J180" s="378"/>
      <c r="K180" s="378"/>
      <c r="L180" s="378"/>
      <c r="M180" s="378"/>
      <c r="N180" s="379"/>
    </row>
    <row r="181" spans="1:14" s="357" customFormat="1" ht="33.75" customHeight="1" x14ac:dyDescent="0.2">
      <c r="A181" s="32">
        <f t="shared" si="2"/>
        <v>176</v>
      </c>
      <c r="B181" s="375" t="s">
        <v>633</v>
      </c>
      <c r="C181" s="277" t="s">
        <v>2347</v>
      </c>
      <c r="D181" s="277" t="s">
        <v>2348</v>
      </c>
      <c r="E181" s="376">
        <v>23899</v>
      </c>
      <c r="F181" s="377">
        <v>3790</v>
      </c>
      <c r="G181" s="277" t="s">
        <v>21</v>
      </c>
      <c r="H181" s="32" t="s">
        <v>4256</v>
      </c>
      <c r="I181" s="378"/>
      <c r="J181" s="378"/>
      <c r="K181" s="378"/>
      <c r="L181" s="378"/>
      <c r="M181" s="378"/>
      <c r="N181" s="379"/>
    </row>
    <row r="182" spans="1:14" s="370" customFormat="1" ht="37.5" x14ac:dyDescent="0.2">
      <c r="A182" s="32">
        <f t="shared" si="2"/>
        <v>177</v>
      </c>
      <c r="B182" s="52" t="s">
        <v>629</v>
      </c>
      <c r="C182" s="32" t="s">
        <v>640</v>
      </c>
      <c r="D182" s="32" t="s">
        <v>641</v>
      </c>
      <c r="E182" s="53">
        <v>23899</v>
      </c>
      <c r="F182" s="374">
        <v>12710</v>
      </c>
      <c r="G182" s="32" t="s">
        <v>642</v>
      </c>
      <c r="H182" s="32" t="s">
        <v>4256</v>
      </c>
      <c r="I182" s="32"/>
      <c r="J182" s="32"/>
      <c r="K182" s="32"/>
      <c r="L182" s="32"/>
      <c r="M182" s="32"/>
      <c r="N182" s="56" t="s">
        <v>334</v>
      </c>
    </row>
    <row r="183" spans="1:14" s="370" customFormat="1" ht="37.5" x14ac:dyDescent="0.2">
      <c r="A183" s="32">
        <f t="shared" si="2"/>
        <v>178</v>
      </c>
      <c r="B183" s="52" t="s">
        <v>633</v>
      </c>
      <c r="C183" s="32" t="s">
        <v>643</v>
      </c>
      <c r="D183" s="32" t="s">
        <v>644</v>
      </c>
      <c r="E183" s="53">
        <v>23899</v>
      </c>
      <c r="F183" s="374">
        <v>3790</v>
      </c>
      <c r="G183" s="32" t="s">
        <v>642</v>
      </c>
      <c r="H183" s="32" t="s">
        <v>4256</v>
      </c>
      <c r="I183" s="32"/>
      <c r="J183" s="32"/>
      <c r="K183" s="32"/>
      <c r="L183" s="32"/>
      <c r="M183" s="32"/>
      <c r="N183" s="56" t="s">
        <v>334</v>
      </c>
    </row>
    <row r="184" spans="1:14" s="372" customFormat="1" ht="37.5" x14ac:dyDescent="0.3">
      <c r="A184" s="32">
        <f t="shared" si="2"/>
        <v>179</v>
      </c>
      <c r="B184" s="337" t="s">
        <v>629</v>
      </c>
      <c r="C184" s="308" t="s">
        <v>645</v>
      </c>
      <c r="D184" s="308" t="s">
        <v>646</v>
      </c>
      <c r="E184" s="319">
        <v>23899</v>
      </c>
      <c r="F184" s="380">
        <v>12710</v>
      </c>
      <c r="G184" s="381" t="s">
        <v>37</v>
      </c>
      <c r="H184" s="32" t="s">
        <v>4256</v>
      </c>
      <c r="I184" s="332"/>
      <c r="J184" s="332"/>
      <c r="K184" s="332"/>
      <c r="L184" s="332"/>
      <c r="M184" s="332"/>
      <c r="N184" s="308" t="s">
        <v>279</v>
      </c>
    </row>
    <row r="185" spans="1:14" s="372" customFormat="1" ht="37.5" x14ac:dyDescent="0.3">
      <c r="A185" s="32">
        <f t="shared" si="2"/>
        <v>180</v>
      </c>
      <c r="B185" s="337" t="s">
        <v>633</v>
      </c>
      <c r="C185" s="308" t="s">
        <v>647</v>
      </c>
      <c r="D185" s="308" t="s">
        <v>648</v>
      </c>
      <c r="E185" s="319">
        <v>23899</v>
      </c>
      <c r="F185" s="380">
        <v>3790</v>
      </c>
      <c r="G185" s="381" t="s">
        <v>37</v>
      </c>
      <c r="H185" s="32" t="s">
        <v>4256</v>
      </c>
      <c r="I185" s="332"/>
      <c r="J185" s="332"/>
      <c r="K185" s="332"/>
      <c r="L185" s="332"/>
      <c r="M185" s="332"/>
      <c r="N185" s="308" t="s">
        <v>279</v>
      </c>
    </row>
    <row r="186" spans="1:14" s="372" customFormat="1" ht="37.5" x14ac:dyDescent="0.3">
      <c r="A186" s="32">
        <f t="shared" si="2"/>
        <v>181</v>
      </c>
      <c r="B186" s="337" t="s">
        <v>629</v>
      </c>
      <c r="C186" s="308" t="s">
        <v>649</v>
      </c>
      <c r="D186" s="308" t="s">
        <v>650</v>
      </c>
      <c r="E186" s="319">
        <v>23899</v>
      </c>
      <c r="F186" s="380">
        <v>12710</v>
      </c>
      <c r="G186" s="381" t="s">
        <v>37</v>
      </c>
      <c r="H186" s="371" t="s">
        <v>4256</v>
      </c>
      <c r="I186" s="308"/>
      <c r="J186" s="308"/>
      <c r="K186" s="308"/>
      <c r="L186" s="308"/>
      <c r="M186" s="308"/>
      <c r="N186" s="308" t="s">
        <v>4253</v>
      </c>
    </row>
    <row r="187" spans="1:14" s="372" customFormat="1" ht="37.5" x14ac:dyDescent="0.3">
      <c r="A187" s="32">
        <f t="shared" si="2"/>
        <v>182</v>
      </c>
      <c r="B187" s="337" t="s">
        <v>633</v>
      </c>
      <c r="C187" s="308" t="s">
        <v>651</v>
      </c>
      <c r="D187" s="308" t="s">
        <v>652</v>
      </c>
      <c r="E187" s="319">
        <v>23899</v>
      </c>
      <c r="F187" s="380">
        <v>3790</v>
      </c>
      <c r="G187" s="381" t="s">
        <v>37</v>
      </c>
      <c r="H187" s="371" t="s">
        <v>4256</v>
      </c>
      <c r="I187" s="308"/>
      <c r="J187" s="308"/>
      <c r="K187" s="308"/>
      <c r="L187" s="308"/>
      <c r="M187" s="308"/>
      <c r="N187" s="308" t="s">
        <v>4253</v>
      </c>
    </row>
    <row r="188" spans="1:14" s="370" customFormat="1" ht="37.5" x14ac:dyDescent="0.2">
      <c r="A188" s="32">
        <f t="shared" si="2"/>
        <v>183</v>
      </c>
      <c r="B188" s="52" t="s">
        <v>653</v>
      </c>
      <c r="C188" s="32" t="s">
        <v>654</v>
      </c>
      <c r="D188" s="32" t="s">
        <v>655</v>
      </c>
      <c r="E188" s="53">
        <v>23899</v>
      </c>
      <c r="F188" s="374">
        <v>1500</v>
      </c>
      <c r="G188" s="32" t="s">
        <v>632</v>
      </c>
      <c r="H188" s="32" t="s">
        <v>4256</v>
      </c>
      <c r="I188" s="32"/>
      <c r="J188" s="32"/>
      <c r="K188" s="32"/>
      <c r="L188" s="32"/>
      <c r="M188" s="32"/>
      <c r="N188" s="56" t="s">
        <v>3917</v>
      </c>
    </row>
    <row r="189" spans="1:14" s="370" customFormat="1" ht="37.5" x14ac:dyDescent="0.2">
      <c r="A189" s="32">
        <f t="shared" si="2"/>
        <v>184</v>
      </c>
      <c r="B189" s="52" t="s">
        <v>653</v>
      </c>
      <c r="C189" s="32" t="s">
        <v>656</v>
      </c>
      <c r="D189" s="32" t="s">
        <v>657</v>
      </c>
      <c r="E189" s="53">
        <v>23899</v>
      </c>
      <c r="F189" s="374">
        <v>1500</v>
      </c>
      <c r="G189" s="32" t="s">
        <v>632</v>
      </c>
      <c r="H189" s="32" t="s">
        <v>4256</v>
      </c>
      <c r="I189" s="32"/>
      <c r="J189" s="32"/>
      <c r="K189" s="32"/>
      <c r="L189" s="32"/>
      <c r="M189" s="32"/>
      <c r="N189" s="56" t="s">
        <v>484</v>
      </c>
    </row>
    <row r="190" spans="1:14" s="370" customFormat="1" ht="37.5" x14ac:dyDescent="0.2">
      <c r="A190" s="32">
        <f t="shared" si="2"/>
        <v>185</v>
      </c>
      <c r="B190" s="52" t="s">
        <v>653</v>
      </c>
      <c r="C190" s="32" t="s">
        <v>658</v>
      </c>
      <c r="D190" s="32" t="s">
        <v>659</v>
      </c>
      <c r="E190" s="53">
        <v>23899</v>
      </c>
      <c r="F190" s="374">
        <v>1500</v>
      </c>
      <c r="G190" s="32" t="s">
        <v>632</v>
      </c>
      <c r="H190" s="32" t="s">
        <v>4256</v>
      </c>
      <c r="I190" s="32"/>
      <c r="J190" s="32"/>
      <c r="K190" s="32"/>
      <c r="L190" s="32"/>
      <c r="M190" s="32"/>
      <c r="N190" s="56" t="s">
        <v>291</v>
      </c>
    </row>
    <row r="191" spans="1:14" s="370" customFormat="1" ht="37.5" x14ac:dyDescent="0.2">
      <c r="A191" s="32">
        <f t="shared" si="2"/>
        <v>186</v>
      </c>
      <c r="B191" s="52" t="s">
        <v>653</v>
      </c>
      <c r="C191" s="32" t="s">
        <v>660</v>
      </c>
      <c r="D191" s="32" t="s">
        <v>661</v>
      </c>
      <c r="E191" s="53">
        <v>23899</v>
      </c>
      <c r="F191" s="374">
        <v>1500</v>
      </c>
      <c r="G191" s="32" t="s">
        <v>632</v>
      </c>
      <c r="H191" s="32" t="s">
        <v>4256</v>
      </c>
      <c r="I191" s="32"/>
      <c r="J191" s="32"/>
      <c r="K191" s="32"/>
      <c r="L191" s="32"/>
      <c r="M191" s="32"/>
      <c r="N191" s="56" t="s">
        <v>360</v>
      </c>
    </row>
    <row r="192" spans="1:14" s="370" customFormat="1" ht="37.5" x14ac:dyDescent="0.2">
      <c r="A192" s="32">
        <f t="shared" si="2"/>
        <v>187</v>
      </c>
      <c r="B192" s="52" t="s">
        <v>653</v>
      </c>
      <c r="C192" s="32" t="s">
        <v>662</v>
      </c>
      <c r="D192" s="32" t="s">
        <v>663</v>
      </c>
      <c r="E192" s="53">
        <v>23899</v>
      </c>
      <c r="F192" s="374">
        <v>1500</v>
      </c>
      <c r="G192" s="32" t="s">
        <v>632</v>
      </c>
      <c r="H192" s="32" t="s">
        <v>4256</v>
      </c>
      <c r="I192" s="32"/>
      <c r="J192" s="32"/>
      <c r="K192" s="32"/>
      <c r="L192" s="32"/>
      <c r="M192" s="32"/>
      <c r="N192" s="56" t="s">
        <v>4322</v>
      </c>
    </row>
    <row r="193" spans="1:15" s="370" customFormat="1" ht="37.5" x14ac:dyDescent="0.2">
      <c r="A193" s="32">
        <f t="shared" si="2"/>
        <v>188</v>
      </c>
      <c r="B193" s="52" t="s">
        <v>653</v>
      </c>
      <c r="C193" s="32" t="s">
        <v>664</v>
      </c>
      <c r="D193" s="32" t="s">
        <v>665</v>
      </c>
      <c r="E193" s="53">
        <v>23899</v>
      </c>
      <c r="F193" s="374">
        <v>1500</v>
      </c>
      <c r="G193" s="32" t="s">
        <v>632</v>
      </c>
      <c r="H193" s="32" t="s">
        <v>4256</v>
      </c>
      <c r="I193" s="32"/>
      <c r="J193" s="32"/>
      <c r="K193" s="32"/>
      <c r="L193" s="32"/>
      <c r="M193" s="32"/>
      <c r="N193" s="56" t="s">
        <v>4313</v>
      </c>
    </row>
    <row r="194" spans="1:15" s="370" customFormat="1" ht="37.5" x14ac:dyDescent="0.2">
      <c r="A194" s="32">
        <f t="shared" si="2"/>
        <v>189</v>
      </c>
      <c r="B194" s="52" t="s">
        <v>653</v>
      </c>
      <c r="C194" s="32" t="s">
        <v>666</v>
      </c>
      <c r="D194" s="32" t="s">
        <v>667</v>
      </c>
      <c r="E194" s="53">
        <v>23899</v>
      </c>
      <c r="F194" s="374">
        <v>1500</v>
      </c>
      <c r="G194" s="32" t="s">
        <v>632</v>
      </c>
      <c r="H194" s="32" t="s">
        <v>4256</v>
      </c>
      <c r="I194" s="32"/>
      <c r="J194" s="32"/>
      <c r="K194" s="32"/>
      <c r="L194" s="32"/>
      <c r="M194" s="32"/>
      <c r="N194" s="56" t="s">
        <v>4318</v>
      </c>
    </row>
    <row r="195" spans="1:15" s="359" customFormat="1" ht="37.5" x14ac:dyDescent="0.3">
      <c r="A195" s="32">
        <f t="shared" si="2"/>
        <v>190</v>
      </c>
      <c r="B195" s="382" t="s">
        <v>653</v>
      </c>
      <c r="C195" s="277" t="s">
        <v>4355</v>
      </c>
      <c r="D195" s="358" t="s">
        <v>4356</v>
      </c>
      <c r="E195" s="376">
        <v>23899</v>
      </c>
      <c r="F195" s="383">
        <v>1500</v>
      </c>
      <c r="G195" s="384" t="s">
        <v>21</v>
      </c>
      <c r="H195" s="32" t="s">
        <v>4256</v>
      </c>
      <c r="I195" s="378"/>
      <c r="J195" s="378"/>
      <c r="K195" s="378"/>
      <c r="L195" s="378"/>
      <c r="M195" s="384"/>
      <c r="N195" s="385" t="s">
        <v>423</v>
      </c>
    </row>
    <row r="196" spans="1:15" s="370" customFormat="1" ht="37.5" x14ac:dyDescent="0.2">
      <c r="A196" s="32">
        <f t="shared" si="2"/>
        <v>191</v>
      </c>
      <c r="B196" s="52" t="s">
        <v>653</v>
      </c>
      <c r="C196" s="32" t="s">
        <v>668</v>
      </c>
      <c r="D196" s="32" t="s">
        <v>669</v>
      </c>
      <c r="E196" s="53">
        <v>23899</v>
      </c>
      <c r="F196" s="374">
        <v>1500</v>
      </c>
      <c r="G196" s="32" t="s">
        <v>632</v>
      </c>
      <c r="H196" s="32" t="s">
        <v>4256</v>
      </c>
      <c r="I196" s="32"/>
      <c r="J196" s="32"/>
      <c r="K196" s="32"/>
      <c r="L196" s="32"/>
      <c r="M196" s="32"/>
      <c r="N196" s="56" t="s">
        <v>523</v>
      </c>
    </row>
    <row r="197" spans="1:15" s="372" customFormat="1" ht="37.5" x14ac:dyDescent="0.3">
      <c r="A197" s="32">
        <f t="shared" si="2"/>
        <v>192</v>
      </c>
      <c r="B197" s="337" t="s">
        <v>653</v>
      </c>
      <c r="C197" s="308" t="s">
        <v>670</v>
      </c>
      <c r="D197" s="308" t="s">
        <v>671</v>
      </c>
      <c r="E197" s="319">
        <v>23899</v>
      </c>
      <c r="F197" s="380">
        <v>1500</v>
      </c>
      <c r="G197" s="381" t="s">
        <v>37</v>
      </c>
      <c r="H197" s="32" t="s">
        <v>4256</v>
      </c>
      <c r="I197" s="332"/>
      <c r="J197" s="332"/>
      <c r="K197" s="332"/>
      <c r="L197" s="332"/>
      <c r="M197" s="332"/>
      <c r="N197" s="308" t="s">
        <v>279</v>
      </c>
    </row>
    <row r="198" spans="1:15" s="372" customFormat="1" ht="37.5" x14ac:dyDescent="0.3">
      <c r="A198" s="32">
        <f t="shared" si="2"/>
        <v>193</v>
      </c>
      <c r="B198" s="337" t="s">
        <v>653</v>
      </c>
      <c r="C198" s="308" t="s">
        <v>672</v>
      </c>
      <c r="D198" s="308" t="s">
        <v>673</v>
      </c>
      <c r="E198" s="319">
        <v>23899</v>
      </c>
      <c r="F198" s="380">
        <v>1500</v>
      </c>
      <c r="G198" s="381" t="s">
        <v>37</v>
      </c>
      <c r="H198" s="371" t="s">
        <v>4256</v>
      </c>
      <c r="I198" s="308"/>
      <c r="J198" s="308"/>
      <c r="K198" s="308"/>
      <c r="L198" s="308"/>
      <c r="M198" s="308"/>
      <c r="N198" s="308" t="s">
        <v>4253</v>
      </c>
    </row>
    <row r="199" spans="1:15" s="766" customFormat="1" ht="37.5" x14ac:dyDescent="0.3">
      <c r="A199" s="32">
        <f t="shared" ref="A199:A262" si="3">ROW()-ROW($A$6)+1</f>
        <v>194</v>
      </c>
      <c r="B199" s="767" t="s">
        <v>653</v>
      </c>
      <c r="C199" s="768" t="s">
        <v>4977</v>
      </c>
      <c r="D199" s="84" t="s">
        <v>4978</v>
      </c>
      <c r="E199" s="85">
        <v>23899</v>
      </c>
      <c r="F199" s="86">
        <v>1500</v>
      </c>
      <c r="G199" s="769" t="s">
        <v>21</v>
      </c>
      <c r="H199" s="371" t="s">
        <v>4256</v>
      </c>
      <c r="I199" s="87"/>
      <c r="J199" s="87"/>
      <c r="K199" s="87"/>
      <c r="L199" s="87"/>
      <c r="M199" s="87"/>
      <c r="N199" s="770" t="s">
        <v>4332</v>
      </c>
      <c r="O199" s="765"/>
    </row>
    <row r="200" spans="1:15" s="370" customFormat="1" ht="37.5" x14ac:dyDescent="0.2">
      <c r="A200" s="32">
        <f t="shared" si="3"/>
        <v>195</v>
      </c>
      <c r="B200" s="52" t="s">
        <v>653</v>
      </c>
      <c r="C200" s="32" t="s">
        <v>674</v>
      </c>
      <c r="D200" s="32" t="s">
        <v>675</v>
      </c>
      <c r="E200" s="53">
        <v>23899</v>
      </c>
      <c r="F200" s="374">
        <v>1500</v>
      </c>
      <c r="G200" s="32" t="s">
        <v>632</v>
      </c>
      <c r="H200" s="32" t="s">
        <v>4256</v>
      </c>
      <c r="I200" s="32"/>
      <c r="J200" s="32"/>
      <c r="K200" s="32"/>
      <c r="L200" s="32"/>
      <c r="M200" s="32"/>
      <c r="N200" s="56" t="s">
        <v>4255</v>
      </c>
    </row>
    <row r="201" spans="1:15" s="370" customFormat="1" ht="37.5" x14ac:dyDescent="0.2">
      <c r="A201" s="32">
        <f t="shared" si="3"/>
        <v>196</v>
      </c>
      <c r="B201" s="52" t="s">
        <v>653</v>
      </c>
      <c r="C201" s="32" t="s">
        <v>676</v>
      </c>
      <c r="D201" s="32" t="s">
        <v>677</v>
      </c>
      <c r="E201" s="53">
        <v>23899</v>
      </c>
      <c r="F201" s="374">
        <v>1500</v>
      </c>
      <c r="G201" s="32" t="s">
        <v>642</v>
      </c>
      <c r="H201" s="32" t="s">
        <v>4256</v>
      </c>
      <c r="I201" s="32"/>
      <c r="J201" s="32"/>
      <c r="K201" s="32"/>
      <c r="L201" s="32"/>
      <c r="M201" s="32"/>
      <c r="N201" s="56" t="s">
        <v>334</v>
      </c>
    </row>
    <row r="202" spans="1:15" s="370" customFormat="1" ht="37.5" x14ac:dyDescent="0.2">
      <c r="A202" s="32">
        <f t="shared" si="3"/>
        <v>197</v>
      </c>
      <c r="B202" s="52" t="s">
        <v>678</v>
      </c>
      <c r="C202" s="32" t="s">
        <v>679</v>
      </c>
      <c r="D202" s="32" t="s">
        <v>680</v>
      </c>
      <c r="E202" s="53">
        <v>23899</v>
      </c>
      <c r="F202" s="374">
        <v>4000</v>
      </c>
      <c r="G202" s="32" t="s">
        <v>632</v>
      </c>
      <c r="H202" s="32" t="s">
        <v>4256</v>
      </c>
      <c r="I202" s="32"/>
      <c r="J202" s="32"/>
      <c r="K202" s="32"/>
      <c r="L202" s="32"/>
      <c r="M202" s="32"/>
      <c r="N202" s="56" t="s">
        <v>4952</v>
      </c>
    </row>
    <row r="203" spans="1:15" s="370" customFormat="1" ht="37.5" x14ac:dyDescent="0.2">
      <c r="A203" s="32">
        <f t="shared" si="3"/>
        <v>198</v>
      </c>
      <c r="B203" s="52" t="s">
        <v>678</v>
      </c>
      <c r="C203" s="32" t="s">
        <v>681</v>
      </c>
      <c r="D203" s="32" t="s">
        <v>682</v>
      </c>
      <c r="E203" s="53">
        <v>23899</v>
      </c>
      <c r="F203" s="374">
        <v>4000</v>
      </c>
      <c r="G203" s="32" t="s">
        <v>632</v>
      </c>
      <c r="H203" s="32" t="s">
        <v>4256</v>
      </c>
      <c r="I203" s="32"/>
      <c r="J203" s="32"/>
      <c r="K203" s="32"/>
      <c r="L203" s="32"/>
      <c r="M203" s="32"/>
      <c r="N203" s="56" t="s">
        <v>3917</v>
      </c>
    </row>
    <row r="204" spans="1:15" s="370" customFormat="1" ht="37.5" x14ac:dyDescent="0.2">
      <c r="A204" s="32">
        <f t="shared" si="3"/>
        <v>199</v>
      </c>
      <c r="B204" s="52" t="s">
        <v>678</v>
      </c>
      <c r="C204" s="32" t="s">
        <v>683</v>
      </c>
      <c r="D204" s="32" t="s">
        <v>684</v>
      </c>
      <c r="E204" s="53">
        <v>23899</v>
      </c>
      <c r="F204" s="374">
        <v>4000</v>
      </c>
      <c r="G204" s="32" t="s">
        <v>632</v>
      </c>
      <c r="H204" s="32" t="s">
        <v>4256</v>
      </c>
      <c r="I204" s="32"/>
      <c r="J204" s="32"/>
      <c r="K204" s="32"/>
      <c r="L204" s="32"/>
      <c r="M204" s="32"/>
      <c r="N204" s="56" t="s">
        <v>291</v>
      </c>
    </row>
    <row r="205" spans="1:15" s="370" customFormat="1" ht="37.5" x14ac:dyDescent="0.2">
      <c r="A205" s="32">
        <f t="shared" si="3"/>
        <v>200</v>
      </c>
      <c r="B205" s="52" t="s">
        <v>678</v>
      </c>
      <c r="C205" s="32" t="s">
        <v>685</v>
      </c>
      <c r="D205" s="32" t="s">
        <v>686</v>
      </c>
      <c r="E205" s="53">
        <v>23899</v>
      </c>
      <c r="F205" s="374">
        <v>4000</v>
      </c>
      <c r="G205" s="32" t="s">
        <v>632</v>
      </c>
      <c r="H205" s="32" t="s">
        <v>4256</v>
      </c>
      <c r="I205" s="32"/>
      <c r="J205" s="32"/>
      <c r="K205" s="32"/>
      <c r="L205" s="32"/>
      <c r="M205" s="32"/>
      <c r="N205" s="56" t="s">
        <v>4319</v>
      </c>
    </row>
    <row r="206" spans="1:15" s="372" customFormat="1" ht="37.5" x14ac:dyDescent="0.3">
      <c r="A206" s="32">
        <f t="shared" si="3"/>
        <v>201</v>
      </c>
      <c r="B206" s="337" t="s">
        <v>678</v>
      </c>
      <c r="C206" s="308" t="s">
        <v>687</v>
      </c>
      <c r="D206" s="308" t="s">
        <v>688</v>
      </c>
      <c r="E206" s="319">
        <v>23899</v>
      </c>
      <c r="F206" s="380">
        <v>4000</v>
      </c>
      <c r="G206" s="381" t="s">
        <v>37</v>
      </c>
      <c r="H206" s="32" t="s">
        <v>4256</v>
      </c>
      <c r="I206" s="332"/>
      <c r="J206" s="332"/>
      <c r="K206" s="332"/>
      <c r="L206" s="332"/>
      <c r="M206" s="332"/>
      <c r="N206" s="308" t="s">
        <v>279</v>
      </c>
    </row>
    <row r="207" spans="1:15" s="370" customFormat="1" ht="37.5" x14ac:dyDescent="0.2">
      <c r="A207" s="32">
        <f t="shared" si="3"/>
        <v>202</v>
      </c>
      <c r="B207" s="52" t="s">
        <v>678</v>
      </c>
      <c r="C207" s="32" t="s">
        <v>689</v>
      </c>
      <c r="D207" s="32" t="s">
        <v>690</v>
      </c>
      <c r="E207" s="53">
        <v>23899</v>
      </c>
      <c r="F207" s="374">
        <v>4000</v>
      </c>
      <c r="G207" s="32" t="s">
        <v>642</v>
      </c>
      <c r="H207" s="32" t="s">
        <v>4256</v>
      </c>
      <c r="I207" s="32"/>
      <c r="J207" s="32"/>
      <c r="K207" s="32"/>
      <c r="L207" s="32"/>
      <c r="M207" s="32"/>
      <c r="N207" s="56" t="s">
        <v>334</v>
      </c>
    </row>
    <row r="208" spans="1:15" s="370" customFormat="1" ht="37.5" x14ac:dyDescent="0.2">
      <c r="A208" s="32">
        <f t="shared" si="3"/>
        <v>203</v>
      </c>
      <c r="B208" s="52" t="s">
        <v>691</v>
      </c>
      <c r="C208" s="32" t="s">
        <v>692</v>
      </c>
      <c r="D208" s="32" t="s">
        <v>693</v>
      </c>
      <c r="E208" s="53">
        <v>23899</v>
      </c>
      <c r="F208" s="374">
        <v>20000</v>
      </c>
      <c r="G208" s="32" t="s">
        <v>632</v>
      </c>
      <c r="H208" s="32" t="s">
        <v>4256</v>
      </c>
      <c r="I208" s="32"/>
      <c r="J208" s="32"/>
      <c r="K208" s="32"/>
      <c r="L208" s="32"/>
      <c r="M208" s="32"/>
      <c r="N208" s="56" t="s">
        <v>571</v>
      </c>
    </row>
    <row r="209" spans="1:15" s="370" customFormat="1" ht="37.5" x14ac:dyDescent="0.2">
      <c r="A209" s="32">
        <f t="shared" si="3"/>
        <v>204</v>
      </c>
      <c r="B209" s="52" t="s">
        <v>691</v>
      </c>
      <c r="C209" s="32" t="s">
        <v>694</v>
      </c>
      <c r="D209" s="32" t="s">
        <v>695</v>
      </c>
      <c r="E209" s="53">
        <v>23899</v>
      </c>
      <c r="F209" s="374">
        <v>20000</v>
      </c>
      <c r="G209" s="32" t="s">
        <v>4949</v>
      </c>
      <c r="H209" s="32" t="s">
        <v>4256</v>
      </c>
      <c r="I209" s="32"/>
      <c r="J209" s="32"/>
      <c r="K209" s="32"/>
      <c r="L209" s="32"/>
      <c r="M209" s="32"/>
      <c r="N209" s="56" t="s">
        <v>4950</v>
      </c>
    </row>
    <row r="210" spans="1:15" s="370" customFormat="1" ht="56.25" x14ac:dyDescent="0.2">
      <c r="A210" s="32">
        <f t="shared" si="3"/>
        <v>205</v>
      </c>
      <c r="B210" s="52" t="s">
        <v>696</v>
      </c>
      <c r="C210" s="32" t="s">
        <v>697</v>
      </c>
      <c r="D210" s="32" t="s">
        <v>698</v>
      </c>
      <c r="E210" s="53">
        <v>23899</v>
      </c>
      <c r="F210" s="374">
        <v>7000</v>
      </c>
      <c r="G210" s="32" t="s">
        <v>632</v>
      </c>
      <c r="H210" s="32" t="s">
        <v>4256</v>
      </c>
      <c r="I210" s="32"/>
      <c r="J210" s="32"/>
      <c r="K210" s="32"/>
      <c r="L210" s="32"/>
      <c r="M210" s="32"/>
      <c r="N210" s="56" t="s">
        <v>4320</v>
      </c>
    </row>
    <row r="211" spans="1:15" s="359" customFormat="1" ht="37.5" x14ac:dyDescent="0.3">
      <c r="A211" s="32">
        <f t="shared" si="3"/>
        <v>206</v>
      </c>
      <c r="B211" s="382" t="s">
        <v>4357</v>
      </c>
      <c r="C211" s="386" t="s">
        <v>4358</v>
      </c>
      <c r="D211" s="358" t="s">
        <v>4359</v>
      </c>
      <c r="E211" s="376">
        <v>23899</v>
      </c>
      <c r="F211" s="383">
        <v>7000</v>
      </c>
      <c r="G211" s="384" t="s">
        <v>21</v>
      </c>
      <c r="H211" s="32" t="s">
        <v>4256</v>
      </c>
      <c r="I211" s="378"/>
      <c r="J211" s="378"/>
      <c r="K211" s="378"/>
      <c r="L211" s="378"/>
      <c r="M211" s="378"/>
      <c r="N211" s="379" t="s">
        <v>4332</v>
      </c>
      <c r="O211" s="359">
        <v>331</v>
      </c>
    </row>
    <row r="212" spans="1:15" s="372" customFormat="1" ht="56.25" x14ac:dyDescent="0.3">
      <c r="A212" s="32">
        <f t="shared" si="3"/>
        <v>207</v>
      </c>
      <c r="B212" s="337" t="s">
        <v>1398</v>
      </c>
      <c r="C212" s="308" t="s">
        <v>1399</v>
      </c>
      <c r="D212" s="308" t="s">
        <v>1400</v>
      </c>
      <c r="E212" s="319">
        <v>23914</v>
      </c>
      <c r="F212" s="380">
        <v>18210</v>
      </c>
      <c r="G212" s="308" t="s">
        <v>825</v>
      </c>
      <c r="H212" s="326" t="s">
        <v>4256</v>
      </c>
      <c r="I212" s="332"/>
      <c r="J212" s="332"/>
      <c r="K212" s="332"/>
      <c r="L212" s="332"/>
      <c r="M212" s="332"/>
      <c r="N212" s="355"/>
    </row>
    <row r="213" spans="1:15" s="372" customFormat="1" ht="37.5" x14ac:dyDescent="0.3">
      <c r="A213" s="32">
        <f t="shared" si="3"/>
        <v>208</v>
      </c>
      <c r="B213" s="337" t="s">
        <v>1401</v>
      </c>
      <c r="C213" s="308" t="s">
        <v>1402</v>
      </c>
      <c r="D213" s="308" t="s">
        <v>1403</v>
      </c>
      <c r="E213" s="319">
        <v>23914</v>
      </c>
      <c r="F213" s="380">
        <v>3790</v>
      </c>
      <c r="G213" s="308" t="s">
        <v>825</v>
      </c>
      <c r="H213" s="326" t="s">
        <v>4256</v>
      </c>
      <c r="I213" s="332"/>
      <c r="J213" s="332"/>
      <c r="K213" s="332"/>
      <c r="L213" s="332"/>
      <c r="M213" s="332"/>
      <c r="N213" s="355"/>
    </row>
    <row r="214" spans="1:15" s="372" customFormat="1" ht="56.25" x14ac:dyDescent="0.3">
      <c r="A214" s="32">
        <f t="shared" si="3"/>
        <v>209</v>
      </c>
      <c r="B214" s="337" t="s">
        <v>1398</v>
      </c>
      <c r="C214" s="308" t="s">
        <v>1404</v>
      </c>
      <c r="D214" s="308" t="s">
        <v>1405</v>
      </c>
      <c r="E214" s="319">
        <v>23914</v>
      </c>
      <c r="F214" s="380">
        <v>18210</v>
      </c>
      <c r="G214" s="308" t="s">
        <v>825</v>
      </c>
      <c r="H214" s="326" t="s">
        <v>4256</v>
      </c>
      <c r="I214" s="332"/>
      <c r="J214" s="332"/>
      <c r="K214" s="332"/>
      <c r="L214" s="332"/>
      <c r="M214" s="332"/>
      <c r="N214" s="355"/>
    </row>
    <row r="215" spans="1:15" s="372" customFormat="1" ht="37.5" x14ac:dyDescent="0.3">
      <c r="A215" s="32">
        <f t="shared" si="3"/>
        <v>210</v>
      </c>
      <c r="B215" s="337" t="s">
        <v>1401</v>
      </c>
      <c r="C215" s="308" t="s">
        <v>1406</v>
      </c>
      <c r="D215" s="308" t="s">
        <v>1407</v>
      </c>
      <c r="E215" s="319">
        <v>23914</v>
      </c>
      <c r="F215" s="380">
        <v>3790</v>
      </c>
      <c r="G215" s="308" t="s">
        <v>825</v>
      </c>
      <c r="H215" s="326" t="s">
        <v>4256</v>
      </c>
      <c r="I215" s="332"/>
      <c r="J215" s="332"/>
      <c r="K215" s="332"/>
      <c r="L215" s="332"/>
      <c r="M215" s="332"/>
      <c r="N215" s="355"/>
    </row>
    <row r="216" spans="1:15" s="372" customFormat="1" ht="56.25" x14ac:dyDescent="0.3">
      <c r="A216" s="32">
        <f t="shared" si="3"/>
        <v>211</v>
      </c>
      <c r="B216" s="337" t="s">
        <v>1398</v>
      </c>
      <c r="C216" s="308" t="s">
        <v>1408</v>
      </c>
      <c r="D216" s="308" t="s">
        <v>1409</v>
      </c>
      <c r="E216" s="319">
        <v>23914</v>
      </c>
      <c r="F216" s="380">
        <v>18210</v>
      </c>
      <c r="G216" s="308" t="s">
        <v>825</v>
      </c>
      <c r="H216" s="326" t="s">
        <v>4256</v>
      </c>
      <c r="I216" s="332"/>
      <c r="J216" s="332"/>
      <c r="K216" s="332"/>
      <c r="L216" s="332"/>
      <c r="M216" s="332"/>
      <c r="N216" s="355"/>
    </row>
    <row r="217" spans="1:15" s="372" customFormat="1" ht="37.5" x14ac:dyDescent="0.3">
      <c r="A217" s="32">
        <f t="shared" si="3"/>
        <v>212</v>
      </c>
      <c r="B217" s="337" t="s">
        <v>1401</v>
      </c>
      <c r="C217" s="308" t="s">
        <v>1410</v>
      </c>
      <c r="D217" s="308" t="s">
        <v>1411</v>
      </c>
      <c r="E217" s="319">
        <v>23914</v>
      </c>
      <c r="F217" s="380">
        <v>3790</v>
      </c>
      <c r="G217" s="308" t="s">
        <v>825</v>
      </c>
      <c r="H217" s="326" t="s">
        <v>4256</v>
      </c>
      <c r="I217" s="332"/>
      <c r="J217" s="332"/>
      <c r="K217" s="332"/>
      <c r="L217" s="332"/>
      <c r="M217" s="332"/>
      <c r="N217" s="355"/>
    </row>
    <row r="218" spans="1:15" s="372" customFormat="1" ht="56.25" x14ac:dyDescent="0.3">
      <c r="A218" s="32">
        <f t="shared" si="3"/>
        <v>213</v>
      </c>
      <c r="B218" s="337" t="s">
        <v>1398</v>
      </c>
      <c r="C218" s="308" t="s">
        <v>1412</v>
      </c>
      <c r="D218" s="308" t="s">
        <v>1413</v>
      </c>
      <c r="E218" s="319">
        <v>23914</v>
      </c>
      <c r="F218" s="380">
        <v>18210</v>
      </c>
      <c r="G218" s="308" t="s">
        <v>825</v>
      </c>
      <c r="H218" s="326" t="s">
        <v>4256</v>
      </c>
      <c r="I218" s="332"/>
      <c r="J218" s="332"/>
      <c r="K218" s="332"/>
      <c r="L218" s="332"/>
      <c r="M218" s="332"/>
      <c r="N218" s="355"/>
    </row>
    <row r="219" spans="1:15" s="372" customFormat="1" ht="37.5" x14ac:dyDescent="0.3">
      <c r="A219" s="32">
        <f t="shared" si="3"/>
        <v>214</v>
      </c>
      <c r="B219" s="337" t="s">
        <v>1401</v>
      </c>
      <c r="C219" s="308" t="s">
        <v>1414</v>
      </c>
      <c r="D219" s="308" t="s">
        <v>1415</v>
      </c>
      <c r="E219" s="319">
        <v>23914</v>
      </c>
      <c r="F219" s="380">
        <v>3790</v>
      </c>
      <c r="G219" s="308" t="s">
        <v>825</v>
      </c>
      <c r="H219" s="326" t="s">
        <v>4256</v>
      </c>
      <c r="I219" s="332"/>
      <c r="J219" s="332"/>
      <c r="K219" s="332"/>
      <c r="L219" s="332"/>
      <c r="M219" s="332"/>
      <c r="N219" s="355"/>
    </row>
    <row r="220" spans="1:15" s="372" customFormat="1" ht="56.25" x14ac:dyDescent="0.3">
      <c r="A220" s="32">
        <f t="shared" si="3"/>
        <v>215</v>
      </c>
      <c r="B220" s="337" t="s">
        <v>1398</v>
      </c>
      <c r="C220" s="308" t="s">
        <v>1416</v>
      </c>
      <c r="D220" s="308" t="s">
        <v>1417</v>
      </c>
      <c r="E220" s="319">
        <v>23914</v>
      </c>
      <c r="F220" s="380">
        <v>18210</v>
      </c>
      <c r="G220" s="308" t="s">
        <v>825</v>
      </c>
      <c r="H220" s="326" t="s">
        <v>4256</v>
      </c>
      <c r="I220" s="332"/>
      <c r="J220" s="332"/>
      <c r="K220" s="332"/>
      <c r="L220" s="332"/>
      <c r="M220" s="332"/>
      <c r="N220" s="355"/>
    </row>
    <row r="221" spans="1:15" s="372" customFormat="1" ht="37.5" x14ac:dyDescent="0.3">
      <c r="A221" s="32">
        <f t="shared" si="3"/>
        <v>216</v>
      </c>
      <c r="B221" s="337" t="s">
        <v>1401</v>
      </c>
      <c r="C221" s="308" t="s">
        <v>1418</v>
      </c>
      <c r="D221" s="308" t="s">
        <v>1419</v>
      </c>
      <c r="E221" s="319">
        <v>23914</v>
      </c>
      <c r="F221" s="380">
        <v>3790</v>
      </c>
      <c r="G221" s="308" t="s">
        <v>825</v>
      </c>
      <c r="H221" s="326" t="s">
        <v>4256</v>
      </c>
      <c r="I221" s="332"/>
      <c r="J221" s="332"/>
      <c r="K221" s="332"/>
      <c r="L221" s="332"/>
      <c r="M221" s="332"/>
      <c r="N221" s="355"/>
    </row>
    <row r="222" spans="1:15" s="372" customFormat="1" ht="56.25" x14ac:dyDescent="0.3">
      <c r="A222" s="32">
        <f t="shared" si="3"/>
        <v>217</v>
      </c>
      <c r="B222" s="337" t="s">
        <v>1398</v>
      </c>
      <c r="C222" s="308" t="s">
        <v>1420</v>
      </c>
      <c r="D222" s="308" t="s">
        <v>1421</v>
      </c>
      <c r="E222" s="319">
        <v>23914</v>
      </c>
      <c r="F222" s="380">
        <v>18210</v>
      </c>
      <c r="G222" s="308" t="s">
        <v>825</v>
      </c>
      <c r="H222" s="326" t="s">
        <v>4256</v>
      </c>
      <c r="I222" s="332"/>
      <c r="J222" s="332"/>
      <c r="K222" s="332"/>
      <c r="L222" s="332"/>
      <c r="M222" s="332"/>
      <c r="N222" s="355"/>
    </row>
    <row r="223" spans="1:15" s="372" customFormat="1" ht="37.5" x14ac:dyDescent="0.3">
      <c r="A223" s="32">
        <f t="shared" si="3"/>
        <v>218</v>
      </c>
      <c r="B223" s="337" t="s">
        <v>1401</v>
      </c>
      <c r="C223" s="308" t="s">
        <v>1422</v>
      </c>
      <c r="D223" s="308" t="s">
        <v>1423</v>
      </c>
      <c r="E223" s="319">
        <v>23914</v>
      </c>
      <c r="F223" s="380">
        <v>3790</v>
      </c>
      <c r="G223" s="308" t="s">
        <v>825</v>
      </c>
      <c r="H223" s="326" t="s">
        <v>4256</v>
      </c>
      <c r="I223" s="332"/>
      <c r="J223" s="332"/>
      <c r="K223" s="332"/>
      <c r="L223" s="332"/>
      <c r="M223" s="332"/>
      <c r="N223" s="355"/>
    </row>
    <row r="224" spans="1:15" s="372" customFormat="1" ht="56.25" x14ac:dyDescent="0.3">
      <c r="A224" s="32">
        <f t="shared" si="3"/>
        <v>219</v>
      </c>
      <c r="B224" s="337" t="s">
        <v>1398</v>
      </c>
      <c r="C224" s="308" t="s">
        <v>1424</v>
      </c>
      <c r="D224" s="308" t="s">
        <v>1425</v>
      </c>
      <c r="E224" s="319">
        <v>23914</v>
      </c>
      <c r="F224" s="380">
        <v>18210</v>
      </c>
      <c r="G224" s="308" t="s">
        <v>825</v>
      </c>
      <c r="H224" s="326" t="s">
        <v>4256</v>
      </c>
      <c r="I224" s="332"/>
      <c r="J224" s="332"/>
      <c r="K224" s="332"/>
      <c r="L224" s="332"/>
      <c r="M224" s="332"/>
      <c r="N224" s="355"/>
    </row>
    <row r="225" spans="1:15" s="372" customFormat="1" ht="37.5" x14ac:dyDescent="0.3">
      <c r="A225" s="32">
        <f t="shared" si="3"/>
        <v>220</v>
      </c>
      <c r="B225" s="337" t="s">
        <v>1401</v>
      </c>
      <c r="C225" s="308" t="s">
        <v>1426</v>
      </c>
      <c r="D225" s="308" t="s">
        <v>1427</v>
      </c>
      <c r="E225" s="319">
        <v>23914</v>
      </c>
      <c r="F225" s="380">
        <v>3790</v>
      </c>
      <c r="G225" s="308" t="s">
        <v>825</v>
      </c>
      <c r="H225" s="326" t="s">
        <v>4256</v>
      </c>
      <c r="I225" s="332"/>
      <c r="J225" s="332"/>
      <c r="K225" s="332"/>
      <c r="L225" s="332"/>
      <c r="M225" s="332"/>
      <c r="N225" s="355"/>
    </row>
    <row r="226" spans="1:15" s="372" customFormat="1" ht="56.25" x14ac:dyDescent="0.3">
      <c r="A226" s="32">
        <f t="shared" si="3"/>
        <v>221</v>
      </c>
      <c r="B226" s="337" t="s">
        <v>1398</v>
      </c>
      <c r="C226" s="308" t="s">
        <v>1428</v>
      </c>
      <c r="D226" s="308" t="s">
        <v>1429</v>
      </c>
      <c r="E226" s="319">
        <v>23914</v>
      </c>
      <c r="F226" s="380">
        <v>18210</v>
      </c>
      <c r="G226" s="308" t="s">
        <v>825</v>
      </c>
      <c r="H226" s="326" t="s">
        <v>4256</v>
      </c>
      <c r="I226" s="332"/>
      <c r="J226" s="332"/>
      <c r="K226" s="332"/>
      <c r="L226" s="332"/>
      <c r="M226" s="332"/>
      <c r="N226" s="355"/>
    </row>
    <row r="227" spans="1:15" s="372" customFormat="1" ht="37.5" x14ac:dyDescent="0.3">
      <c r="A227" s="32">
        <f t="shared" si="3"/>
        <v>222</v>
      </c>
      <c r="B227" s="337" t="s">
        <v>1401</v>
      </c>
      <c r="C227" s="308" t="s">
        <v>1430</v>
      </c>
      <c r="D227" s="308" t="s">
        <v>1431</v>
      </c>
      <c r="E227" s="319">
        <v>23914</v>
      </c>
      <c r="F227" s="380">
        <v>3790</v>
      </c>
      <c r="G227" s="308" t="s">
        <v>825</v>
      </c>
      <c r="H227" s="326" t="s">
        <v>4256</v>
      </c>
      <c r="I227" s="332"/>
      <c r="J227" s="332"/>
      <c r="K227" s="332"/>
      <c r="L227" s="332"/>
      <c r="M227" s="332"/>
      <c r="N227" s="355"/>
    </row>
    <row r="228" spans="1:15" s="372" customFormat="1" ht="56.25" x14ac:dyDescent="0.3">
      <c r="A228" s="32">
        <f t="shared" si="3"/>
        <v>223</v>
      </c>
      <c r="B228" s="337" t="s">
        <v>1398</v>
      </c>
      <c r="C228" s="308" t="s">
        <v>1432</v>
      </c>
      <c r="D228" s="308" t="s">
        <v>1433</v>
      </c>
      <c r="E228" s="319">
        <v>23914</v>
      </c>
      <c r="F228" s="380">
        <v>18210</v>
      </c>
      <c r="G228" s="308" t="s">
        <v>825</v>
      </c>
      <c r="H228" s="326" t="s">
        <v>4256</v>
      </c>
      <c r="I228" s="332"/>
      <c r="J228" s="332"/>
      <c r="K228" s="332"/>
      <c r="L228" s="332"/>
      <c r="M228" s="332"/>
      <c r="N228" s="355"/>
    </row>
    <row r="229" spans="1:15" s="372" customFormat="1" ht="37.5" x14ac:dyDescent="0.3">
      <c r="A229" s="32">
        <f t="shared" si="3"/>
        <v>224</v>
      </c>
      <c r="B229" s="337" t="s">
        <v>1401</v>
      </c>
      <c r="C229" s="308" t="s">
        <v>1434</v>
      </c>
      <c r="D229" s="308" t="s">
        <v>1435</v>
      </c>
      <c r="E229" s="319">
        <v>23914</v>
      </c>
      <c r="F229" s="380">
        <v>3790</v>
      </c>
      <c r="G229" s="308" t="s">
        <v>825</v>
      </c>
      <c r="H229" s="326" t="s">
        <v>4256</v>
      </c>
      <c r="I229" s="332"/>
      <c r="J229" s="332"/>
      <c r="K229" s="332"/>
      <c r="L229" s="332"/>
      <c r="M229" s="332"/>
      <c r="N229" s="355"/>
    </row>
    <row r="230" spans="1:15" s="372" customFormat="1" ht="37.5" x14ac:dyDescent="0.3">
      <c r="A230" s="32">
        <f t="shared" si="3"/>
        <v>225</v>
      </c>
      <c r="B230" s="337" t="s">
        <v>1436</v>
      </c>
      <c r="C230" s="308" t="s">
        <v>1437</v>
      </c>
      <c r="D230" s="308" t="s">
        <v>1438</v>
      </c>
      <c r="E230" s="319">
        <v>23914</v>
      </c>
      <c r="F230" s="380">
        <v>18210</v>
      </c>
      <c r="G230" s="308" t="s">
        <v>825</v>
      </c>
      <c r="H230" s="326" t="s">
        <v>4256</v>
      </c>
      <c r="I230" s="332"/>
      <c r="J230" s="332"/>
      <c r="K230" s="332"/>
      <c r="L230" s="332"/>
      <c r="M230" s="332"/>
      <c r="N230" s="355"/>
    </row>
    <row r="231" spans="1:15" s="372" customFormat="1" ht="18.75" x14ac:dyDescent="0.3">
      <c r="A231" s="32">
        <f t="shared" si="3"/>
        <v>226</v>
      </c>
      <c r="B231" s="337" t="s">
        <v>1439</v>
      </c>
      <c r="C231" s="308" t="s">
        <v>1440</v>
      </c>
      <c r="D231" s="308" t="s">
        <v>1441</v>
      </c>
      <c r="E231" s="319">
        <v>23914</v>
      </c>
      <c r="F231" s="380">
        <v>3790</v>
      </c>
      <c r="G231" s="308" t="s">
        <v>825</v>
      </c>
      <c r="H231" s="326" t="s">
        <v>4256</v>
      </c>
      <c r="I231" s="332"/>
      <c r="J231" s="332"/>
      <c r="K231" s="332"/>
      <c r="L231" s="332"/>
      <c r="M231" s="332"/>
      <c r="N231" s="355"/>
    </row>
    <row r="232" spans="1:15" s="372" customFormat="1" ht="37.5" x14ac:dyDescent="0.3">
      <c r="A232" s="32">
        <f t="shared" si="3"/>
        <v>227</v>
      </c>
      <c r="B232" s="337" t="s">
        <v>1442</v>
      </c>
      <c r="C232" s="308" t="s">
        <v>1443</v>
      </c>
      <c r="D232" s="308" t="s">
        <v>1444</v>
      </c>
      <c r="E232" s="319">
        <v>23914</v>
      </c>
      <c r="F232" s="380">
        <v>2500</v>
      </c>
      <c r="G232" s="308" t="s">
        <v>825</v>
      </c>
      <c r="H232" s="326" t="s">
        <v>4256</v>
      </c>
      <c r="I232" s="332"/>
      <c r="J232" s="332"/>
      <c r="K232" s="332"/>
      <c r="L232" s="332"/>
      <c r="M232" s="332"/>
      <c r="N232" s="355"/>
    </row>
    <row r="233" spans="1:15" s="372" customFormat="1" ht="37.5" x14ac:dyDescent="0.3">
      <c r="A233" s="32">
        <f t="shared" si="3"/>
        <v>228</v>
      </c>
      <c r="B233" s="337" t="s">
        <v>1442</v>
      </c>
      <c r="C233" s="308" t="s">
        <v>1445</v>
      </c>
      <c r="D233" s="308" t="s">
        <v>1446</v>
      </c>
      <c r="E233" s="319">
        <v>23914</v>
      </c>
      <c r="F233" s="380">
        <v>2500</v>
      </c>
      <c r="G233" s="308" t="s">
        <v>825</v>
      </c>
      <c r="H233" s="326" t="s">
        <v>4256</v>
      </c>
      <c r="I233" s="332"/>
      <c r="J233" s="332"/>
      <c r="K233" s="332"/>
      <c r="L233" s="332"/>
      <c r="M233" s="332"/>
      <c r="N233" s="355"/>
    </row>
    <row r="234" spans="1:15" s="372" customFormat="1" ht="37.5" x14ac:dyDescent="0.3">
      <c r="A234" s="32">
        <f t="shared" si="3"/>
        <v>229</v>
      </c>
      <c r="B234" s="337" t="s">
        <v>1442</v>
      </c>
      <c r="C234" s="307" t="s">
        <v>1447</v>
      </c>
      <c r="D234" s="308" t="s">
        <v>1448</v>
      </c>
      <c r="E234" s="319">
        <v>23914</v>
      </c>
      <c r="F234" s="380">
        <v>2500</v>
      </c>
      <c r="G234" s="308" t="s">
        <v>825</v>
      </c>
      <c r="H234" s="326" t="s">
        <v>4256</v>
      </c>
      <c r="I234" s="332"/>
      <c r="J234" s="332"/>
      <c r="K234" s="332"/>
      <c r="L234" s="332"/>
      <c r="M234" s="332"/>
      <c r="N234" s="355"/>
    </row>
    <row r="235" spans="1:15" s="372" customFormat="1" ht="37.5" x14ac:dyDescent="0.3">
      <c r="A235" s="32">
        <f t="shared" si="3"/>
        <v>230</v>
      </c>
      <c r="B235" s="337" t="s">
        <v>1442</v>
      </c>
      <c r="C235" s="308" t="s">
        <v>1449</v>
      </c>
      <c r="D235" s="308" t="s">
        <v>1450</v>
      </c>
      <c r="E235" s="319">
        <v>23914</v>
      </c>
      <c r="F235" s="380">
        <v>2500</v>
      </c>
      <c r="G235" s="308" t="s">
        <v>825</v>
      </c>
      <c r="H235" s="326" t="s">
        <v>4256</v>
      </c>
      <c r="I235" s="332"/>
      <c r="J235" s="332"/>
      <c r="K235" s="332"/>
      <c r="L235" s="332"/>
      <c r="M235" s="332"/>
      <c r="N235" s="355"/>
      <c r="O235" s="821" t="s">
        <v>5018</v>
      </c>
    </row>
    <row r="236" spans="1:15" s="372" customFormat="1" ht="37.5" x14ac:dyDescent="0.3">
      <c r="A236" s="32">
        <f t="shared" si="3"/>
        <v>231</v>
      </c>
      <c r="B236" s="337" t="s">
        <v>1442</v>
      </c>
      <c r="C236" s="308" t="s">
        <v>1451</v>
      </c>
      <c r="D236" s="308" t="s">
        <v>1452</v>
      </c>
      <c r="E236" s="319">
        <v>23914</v>
      </c>
      <c r="F236" s="380">
        <v>2500</v>
      </c>
      <c r="G236" s="308" t="s">
        <v>825</v>
      </c>
      <c r="H236" s="326" t="s">
        <v>4256</v>
      </c>
      <c r="I236" s="332"/>
      <c r="J236" s="332"/>
      <c r="K236" s="332"/>
      <c r="L236" s="332"/>
      <c r="M236" s="332"/>
      <c r="N236" s="355"/>
    </row>
    <row r="237" spans="1:15" s="372" customFormat="1" ht="37.5" x14ac:dyDescent="0.3">
      <c r="A237" s="32">
        <f t="shared" si="3"/>
        <v>232</v>
      </c>
      <c r="B237" s="337" t="s">
        <v>1442</v>
      </c>
      <c r="C237" s="308" t="s">
        <v>1453</v>
      </c>
      <c r="D237" s="308" t="s">
        <v>1454</v>
      </c>
      <c r="E237" s="319">
        <v>23914</v>
      </c>
      <c r="F237" s="380">
        <v>2500</v>
      </c>
      <c r="G237" s="308" t="s">
        <v>825</v>
      </c>
      <c r="H237" s="326" t="s">
        <v>4256</v>
      </c>
      <c r="I237" s="332"/>
      <c r="J237" s="332"/>
      <c r="K237" s="332"/>
      <c r="L237" s="332"/>
      <c r="M237" s="332"/>
      <c r="N237" s="355"/>
      <c r="O237" s="821" t="s">
        <v>5018</v>
      </c>
    </row>
    <row r="238" spans="1:15" s="372" customFormat="1" ht="37.5" x14ac:dyDescent="0.3">
      <c r="A238" s="32">
        <f t="shared" si="3"/>
        <v>233</v>
      </c>
      <c r="B238" s="337" t="s">
        <v>1442</v>
      </c>
      <c r="C238" s="308" t="s">
        <v>1455</v>
      </c>
      <c r="D238" s="308" t="s">
        <v>1456</v>
      </c>
      <c r="E238" s="319">
        <v>23914</v>
      </c>
      <c r="F238" s="380">
        <v>2500</v>
      </c>
      <c r="G238" s="308" t="s">
        <v>825</v>
      </c>
      <c r="H238" s="326" t="s">
        <v>4256</v>
      </c>
      <c r="I238" s="332"/>
      <c r="J238" s="332"/>
      <c r="K238" s="332"/>
      <c r="L238" s="332"/>
      <c r="M238" s="332"/>
      <c r="N238" s="355"/>
      <c r="O238" s="821" t="s">
        <v>5018</v>
      </c>
    </row>
    <row r="239" spans="1:15" s="372" customFormat="1" ht="37.5" x14ac:dyDescent="0.3">
      <c r="A239" s="32">
        <f t="shared" si="3"/>
        <v>234</v>
      </c>
      <c r="B239" s="337" t="s">
        <v>1442</v>
      </c>
      <c r="C239" s="308" t="s">
        <v>1457</v>
      </c>
      <c r="D239" s="308" t="s">
        <v>1458</v>
      </c>
      <c r="E239" s="319">
        <v>23914</v>
      </c>
      <c r="F239" s="380">
        <v>2500</v>
      </c>
      <c r="G239" s="308" t="s">
        <v>825</v>
      </c>
      <c r="H239" s="326" t="s">
        <v>4256</v>
      </c>
      <c r="I239" s="332"/>
      <c r="J239" s="332"/>
      <c r="K239" s="332"/>
      <c r="L239" s="332"/>
      <c r="M239" s="332"/>
      <c r="N239" s="355"/>
      <c r="O239" s="821" t="s">
        <v>5018</v>
      </c>
    </row>
    <row r="240" spans="1:15" s="372" customFormat="1" ht="37.5" x14ac:dyDescent="0.3">
      <c r="A240" s="32">
        <f t="shared" si="3"/>
        <v>235</v>
      </c>
      <c r="B240" s="337" t="s">
        <v>1442</v>
      </c>
      <c r="C240" s="308" t="s">
        <v>1459</v>
      </c>
      <c r="D240" s="308" t="s">
        <v>1460</v>
      </c>
      <c r="E240" s="319">
        <v>23914</v>
      </c>
      <c r="F240" s="380">
        <v>2500</v>
      </c>
      <c r="G240" s="308" t="s">
        <v>825</v>
      </c>
      <c r="H240" s="326" t="s">
        <v>4256</v>
      </c>
      <c r="I240" s="332"/>
      <c r="J240" s="332"/>
      <c r="K240" s="332"/>
      <c r="L240" s="332"/>
      <c r="M240" s="332"/>
      <c r="N240" s="355"/>
      <c r="O240" s="821" t="s">
        <v>5018</v>
      </c>
    </row>
    <row r="241" spans="1:15" s="372" customFormat="1" ht="37.5" x14ac:dyDescent="0.3">
      <c r="A241" s="32">
        <f t="shared" si="3"/>
        <v>236</v>
      </c>
      <c r="B241" s="337" t="s">
        <v>1442</v>
      </c>
      <c r="C241" s="308" t="s">
        <v>1461</v>
      </c>
      <c r="D241" s="308" t="s">
        <v>1462</v>
      </c>
      <c r="E241" s="319">
        <v>23914</v>
      </c>
      <c r="F241" s="380">
        <v>2500</v>
      </c>
      <c r="G241" s="308" t="s">
        <v>825</v>
      </c>
      <c r="H241" s="326" t="s">
        <v>4256</v>
      </c>
      <c r="I241" s="332"/>
      <c r="J241" s="332"/>
      <c r="K241" s="332"/>
      <c r="L241" s="332"/>
      <c r="M241" s="332"/>
      <c r="N241" s="387" t="s">
        <v>322</v>
      </c>
      <c r="O241" s="821" t="s">
        <v>5018</v>
      </c>
    </row>
    <row r="242" spans="1:15" s="370" customFormat="1" ht="18.75" x14ac:dyDescent="0.2">
      <c r="A242" s="32">
        <f t="shared" si="3"/>
        <v>237</v>
      </c>
      <c r="B242" s="234" t="s">
        <v>734</v>
      </c>
      <c r="C242" s="277" t="s">
        <v>735</v>
      </c>
      <c r="D242" s="251" t="s">
        <v>736</v>
      </c>
      <c r="E242" s="53">
        <v>24193</v>
      </c>
      <c r="F242" s="388">
        <v>3250</v>
      </c>
      <c r="G242" s="32" t="s">
        <v>737</v>
      </c>
      <c r="H242" s="326" t="s">
        <v>4256</v>
      </c>
      <c r="I242" s="32"/>
      <c r="J242" s="32"/>
      <c r="K242" s="32"/>
      <c r="L242" s="32"/>
      <c r="M242" s="32"/>
      <c r="N242" s="56" t="s">
        <v>4320</v>
      </c>
    </row>
    <row r="243" spans="1:15" s="370" customFormat="1" ht="18.75" x14ac:dyDescent="0.2">
      <c r="A243" s="32">
        <f t="shared" si="3"/>
        <v>238</v>
      </c>
      <c r="B243" s="234" t="s">
        <v>738</v>
      </c>
      <c r="C243" s="277" t="s">
        <v>739</v>
      </c>
      <c r="D243" s="251" t="s">
        <v>740</v>
      </c>
      <c r="E243" s="53">
        <v>24193</v>
      </c>
      <c r="F243" s="388">
        <v>3250</v>
      </c>
      <c r="G243" s="32" t="s">
        <v>737</v>
      </c>
      <c r="H243" s="32" t="s">
        <v>4256</v>
      </c>
      <c r="I243" s="32"/>
      <c r="J243" s="32"/>
      <c r="K243" s="32"/>
      <c r="L243" s="32"/>
      <c r="M243" s="32"/>
      <c r="N243" s="56" t="s">
        <v>4316</v>
      </c>
    </row>
    <row r="244" spans="1:15" s="370" customFormat="1" ht="18.75" x14ac:dyDescent="0.2">
      <c r="A244" s="32">
        <f t="shared" si="3"/>
        <v>239</v>
      </c>
      <c r="B244" s="234" t="s">
        <v>741</v>
      </c>
      <c r="C244" s="277" t="s">
        <v>742</v>
      </c>
      <c r="D244" s="251" t="s">
        <v>743</v>
      </c>
      <c r="E244" s="53">
        <v>24193</v>
      </c>
      <c r="F244" s="388">
        <v>2555</v>
      </c>
      <c r="G244" s="32" t="s">
        <v>737</v>
      </c>
      <c r="H244" s="32" t="s">
        <v>4256</v>
      </c>
      <c r="I244" s="32"/>
      <c r="J244" s="32"/>
      <c r="K244" s="32"/>
      <c r="L244" s="32"/>
      <c r="M244" s="32"/>
      <c r="N244" s="56" t="s">
        <v>493</v>
      </c>
    </row>
    <row r="245" spans="1:15" s="370" customFormat="1" ht="18.75" x14ac:dyDescent="0.2">
      <c r="A245" s="32">
        <f t="shared" si="3"/>
        <v>240</v>
      </c>
      <c r="B245" s="234" t="s">
        <v>744</v>
      </c>
      <c r="C245" s="277" t="s">
        <v>745</v>
      </c>
      <c r="D245" s="251" t="s">
        <v>746</v>
      </c>
      <c r="E245" s="53">
        <v>24193</v>
      </c>
      <c r="F245" s="388">
        <v>2555</v>
      </c>
      <c r="G245" s="32" t="s">
        <v>737</v>
      </c>
      <c r="H245" s="32" t="s">
        <v>4256</v>
      </c>
      <c r="I245" s="32"/>
      <c r="J245" s="32"/>
      <c r="K245" s="32"/>
      <c r="L245" s="32"/>
      <c r="M245" s="32"/>
      <c r="N245" s="56" t="s">
        <v>4299</v>
      </c>
    </row>
    <row r="246" spans="1:15" s="370" customFormat="1" ht="18.75" x14ac:dyDescent="0.2">
      <c r="A246" s="32">
        <f t="shared" si="3"/>
        <v>241</v>
      </c>
      <c r="B246" s="234" t="s">
        <v>747</v>
      </c>
      <c r="C246" s="277" t="s">
        <v>748</v>
      </c>
      <c r="D246" s="251" t="s">
        <v>749</v>
      </c>
      <c r="E246" s="53">
        <v>24193</v>
      </c>
      <c r="F246" s="388">
        <v>2555</v>
      </c>
      <c r="G246" s="32" t="s">
        <v>737</v>
      </c>
      <c r="H246" s="32" t="s">
        <v>4256</v>
      </c>
      <c r="I246" s="32"/>
      <c r="J246" s="32"/>
      <c r="K246" s="32"/>
      <c r="L246" s="32"/>
      <c r="M246" s="32"/>
      <c r="N246" s="56" t="s">
        <v>458</v>
      </c>
    </row>
    <row r="247" spans="1:15" s="370" customFormat="1" ht="18.75" x14ac:dyDescent="0.2">
      <c r="A247" s="32">
        <f t="shared" si="3"/>
        <v>242</v>
      </c>
      <c r="B247" s="234" t="s">
        <v>750</v>
      </c>
      <c r="C247" s="277" t="s">
        <v>751</v>
      </c>
      <c r="D247" s="251" t="s">
        <v>752</v>
      </c>
      <c r="E247" s="53">
        <v>24193</v>
      </c>
      <c r="F247" s="388">
        <v>11000</v>
      </c>
      <c r="G247" s="32" t="s">
        <v>737</v>
      </c>
      <c r="H247" s="32" t="s">
        <v>4256</v>
      </c>
      <c r="I247" s="32"/>
      <c r="J247" s="32"/>
      <c r="K247" s="32"/>
      <c r="L247" s="32"/>
      <c r="M247" s="32"/>
      <c r="N247" s="56" t="s">
        <v>4320</v>
      </c>
    </row>
    <row r="248" spans="1:15" s="370" customFormat="1" ht="18.75" x14ac:dyDescent="0.2">
      <c r="A248" s="32">
        <f t="shared" si="3"/>
        <v>243</v>
      </c>
      <c r="B248" s="234" t="s">
        <v>750</v>
      </c>
      <c r="C248" s="277" t="s">
        <v>753</v>
      </c>
      <c r="D248" s="251" t="s">
        <v>754</v>
      </c>
      <c r="E248" s="53">
        <v>24193</v>
      </c>
      <c r="F248" s="388">
        <v>11000</v>
      </c>
      <c r="G248" s="32" t="s">
        <v>737</v>
      </c>
      <c r="H248" s="32" t="s">
        <v>4256</v>
      </c>
      <c r="I248" s="32"/>
      <c r="J248" s="32"/>
      <c r="K248" s="32"/>
      <c r="L248" s="32"/>
      <c r="M248" s="32"/>
      <c r="N248" s="56" t="s">
        <v>4316</v>
      </c>
    </row>
    <row r="249" spans="1:15" s="370" customFormat="1" ht="18.75" x14ac:dyDescent="0.2">
      <c r="A249" s="32">
        <f t="shared" si="3"/>
        <v>244</v>
      </c>
      <c r="B249" s="234" t="s">
        <v>755</v>
      </c>
      <c r="C249" s="277" t="s">
        <v>756</v>
      </c>
      <c r="D249" s="251" t="s">
        <v>757</v>
      </c>
      <c r="E249" s="53">
        <v>24193</v>
      </c>
      <c r="F249" s="388">
        <v>5700</v>
      </c>
      <c r="G249" s="32" t="s">
        <v>737</v>
      </c>
      <c r="H249" s="32" t="s">
        <v>4256</v>
      </c>
      <c r="I249" s="32"/>
      <c r="J249" s="32"/>
      <c r="K249" s="32"/>
      <c r="L249" s="32"/>
      <c r="M249" s="32"/>
      <c r="N249" s="56" t="s">
        <v>493</v>
      </c>
    </row>
    <row r="250" spans="1:15" s="370" customFormat="1" ht="18.75" x14ac:dyDescent="0.2">
      <c r="A250" s="32">
        <f t="shared" si="3"/>
        <v>245</v>
      </c>
      <c r="B250" s="234" t="s">
        <v>758</v>
      </c>
      <c r="C250" s="277" t="s">
        <v>759</v>
      </c>
      <c r="D250" s="251" t="s">
        <v>760</v>
      </c>
      <c r="E250" s="53">
        <v>24193</v>
      </c>
      <c r="F250" s="388">
        <v>5700</v>
      </c>
      <c r="G250" s="32" t="s">
        <v>737</v>
      </c>
      <c r="H250" s="32" t="s">
        <v>4256</v>
      </c>
      <c r="I250" s="32"/>
      <c r="J250" s="32"/>
      <c r="K250" s="32"/>
      <c r="L250" s="32"/>
      <c r="M250" s="32"/>
      <c r="N250" s="56" t="s">
        <v>4299</v>
      </c>
    </row>
    <row r="251" spans="1:15" s="370" customFormat="1" ht="18.75" x14ac:dyDescent="0.2">
      <c r="A251" s="32">
        <f t="shared" si="3"/>
        <v>246</v>
      </c>
      <c r="B251" s="234" t="s">
        <v>758</v>
      </c>
      <c r="C251" s="277" t="s">
        <v>761</v>
      </c>
      <c r="D251" s="251" t="s">
        <v>762</v>
      </c>
      <c r="E251" s="53">
        <v>24193</v>
      </c>
      <c r="F251" s="388">
        <v>5700</v>
      </c>
      <c r="G251" s="32" t="s">
        <v>737</v>
      </c>
      <c r="H251" s="32" t="s">
        <v>4256</v>
      </c>
      <c r="I251" s="32"/>
      <c r="J251" s="32"/>
      <c r="K251" s="32"/>
      <c r="L251" s="32"/>
      <c r="M251" s="32"/>
      <c r="N251" s="56" t="s">
        <v>458</v>
      </c>
    </row>
    <row r="252" spans="1:15" s="370" customFormat="1" ht="18.75" x14ac:dyDescent="0.2">
      <c r="A252" s="32">
        <f t="shared" si="3"/>
        <v>247</v>
      </c>
      <c r="B252" s="234" t="s">
        <v>763</v>
      </c>
      <c r="C252" s="277" t="s">
        <v>764</v>
      </c>
      <c r="D252" s="251" t="s">
        <v>765</v>
      </c>
      <c r="E252" s="53">
        <v>24193</v>
      </c>
      <c r="F252" s="388">
        <v>2600</v>
      </c>
      <c r="G252" s="32" t="s">
        <v>737</v>
      </c>
      <c r="H252" s="32" t="s">
        <v>4256</v>
      </c>
      <c r="I252" s="32"/>
      <c r="J252" s="32"/>
      <c r="K252" s="32"/>
      <c r="L252" s="32"/>
      <c r="M252" s="32"/>
      <c r="N252" s="56" t="s">
        <v>4320</v>
      </c>
    </row>
    <row r="253" spans="1:15" s="370" customFormat="1" ht="18.75" x14ac:dyDescent="0.2">
      <c r="A253" s="32">
        <f t="shared" si="3"/>
        <v>248</v>
      </c>
      <c r="B253" s="234" t="s">
        <v>766</v>
      </c>
      <c r="C253" s="386" t="s">
        <v>767</v>
      </c>
      <c r="D253" s="251" t="s">
        <v>768</v>
      </c>
      <c r="E253" s="53">
        <v>24193</v>
      </c>
      <c r="F253" s="388">
        <v>8900</v>
      </c>
      <c r="G253" s="32" t="s">
        <v>737</v>
      </c>
      <c r="H253" s="32" t="s">
        <v>4256</v>
      </c>
      <c r="I253" s="32"/>
      <c r="J253" s="32"/>
      <c r="K253" s="32"/>
      <c r="L253" s="32"/>
      <c r="M253" s="32"/>
      <c r="N253" s="56" t="s">
        <v>275</v>
      </c>
    </row>
    <row r="254" spans="1:15" s="370" customFormat="1" ht="18.75" x14ac:dyDescent="0.2">
      <c r="A254" s="32">
        <f t="shared" si="3"/>
        <v>249</v>
      </c>
      <c r="B254" s="79" t="s">
        <v>769</v>
      </c>
      <c r="C254" s="277" t="s">
        <v>770</v>
      </c>
      <c r="D254" s="251" t="s">
        <v>771</v>
      </c>
      <c r="E254" s="53">
        <v>24193</v>
      </c>
      <c r="F254" s="388">
        <v>7500</v>
      </c>
      <c r="G254" s="32" t="s">
        <v>737</v>
      </c>
      <c r="H254" s="32" t="s">
        <v>4256</v>
      </c>
      <c r="I254" s="32"/>
      <c r="J254" s="32"/>
      <c r="K254" s="32"/>
      <c r="L254" s="32"/>
      <c r="M254" s="32"/>
      <c r="N254" s="56" t="s">
        <v>493</v>
      </c>
    </row>
    <row r="255" spans="1:15" s="370" customFormat="1" ht="18.75" x14ac:dyDescent="0.2">
      <c r="A255" s="32">
        <f t="shared" si="3"/>
        <v>250</v>
      </c>
      <c r="B255" s="79" t="s">
        <v>769</v>
      </c>
      <c r="C255" s="277" t="s">
        <v>772</v>
      </c>
      <c r="D255" s="251" t="s">
        <v>773</v>
      </c>
      <c r="E255" s="53">
        <v>24193</v>
      </c>
      <c r="F255" s="388">
        <v>7500</v>
      </c>
      <c r="G255" s="32" t="s">
        <v>737</v>
      </c>
      <c r="H255" s="32" t="s">
        <v>4256</v>
      </c>
      <c r="I255" s="32"/>
      <c r="J255" s="32"/>
      <c r="K255" s="32"/>
      <c r="L255" s="32"/>
      <c r="M255" s="32"/>
      <c r="N255" s="56" t="s">
        <v>4316</v>
      </c>
    </row>
    <row r="256" spans="1:15" s="370" customFormat="1" ht="18.75" x14ac:dyDescent="0.2">
      <c r="A256" s="32">
        <f t="shared" si="3"/>
        <v>251</v>
      </c>
      <c r="B256" s="79" t="s">
        <v>769</v>
      </c>
      <c r="C256" s="277" t="s">
        <v>774</v>
      </c>
      <c r="D256" s="251" t="s">
        <v>775</v>
      </c>
      <c r="E256" s="53">
        <v>24193</v>
      </c>
      <c r="F256" s="388">
        <v>7500</v>
      </c>
      <c r="G256" s="32" t="s">
        <v>737</v>
      </c>
      <c r="H256" s="32" t="s">
        <v>4256</v>
      </c>
      <c r="I256" s="32"/>
      <c r="J256" s="32"/>
      <c r="K256" s="32"/>
      <c r="L256" s="32"/>
      <c r="M256" s="32"/>
      <c r="N256" s="56" t="s">
        <v>458</v>
      </c>
    </row>
    <row r="257" spans="1:14" s="370" customFormat="1" ht="18.75" x14ac:dyDescent="0.2">
      <c r="A257" s="32">
        <f t="shared" si="3"/>
        <v>252</v>
      </c>
      <c r="B257" s="234" t="s">
        <v>776</v>
      </c>
      <c r="C257" s="386" t="s">
        <v>777</v>
      </c>
      <c r="D257" s="251" t="s">
        <v>778</v>
      </c>
      <c r="E257" s="53">
        <v>24193</v>
      </c>
      <c r="F257" s="388">
        <v>4500</v>
      </c>
      <c r="G257" s="32" t="s">
        <v>737</v>
      </c>
      <c r="H257" s="32" t="s">
        <v>4256</v>
      </c>
      <c r="I257" s="32"/>
      <c r="J257" s="32"/>
      <c r="K257" s="32"/>
      <c r="L257" s="32"/>
      <c r="M257" s="32"/>
      <c r="N257" s="56" t="s">
        <v>315</v>
      </c>
    </row>
    <row r="258" spans="1:14" s="370" customFormat="1" ht="18.75" x14ac:dyDescent="0.2">
      <c r="A258" s="32">
        <f t="shared" si="3"/>
        <v>253</v>
      </c>
      <c r="B258" s="234" t="s">
        <v>779</v>
      </c>
      <c r="C258" s="277" t="s">
        <v>780</v>
      </c>
      <c r="D258" s="251" t="s">
        <v>781</v>
      </c>
      <c r="E258" s="53">
        <v>24193</v>
      </c>
      <c r="F258" s="388">
        <v>5400</v>
      </c>
      <c r="G258" s="32" t="s">
        <v>737</v>
      </c>
      <c r="H258" s="32" t="s">
        <v>4256</v>
      </c>
      <c r="I258" s="32"/>
      <c r="J258" s="32"/>
      <c r="K258" s="32"/>
      <c r="L258" s="32"/>
      <c r="M258" s="32"/>
      <c r="N258" s="56" t="s">
        <v>315</v>
      </c>
    </row>
    <row r="259" spans="1:14" s="370" customFormat="1" ht="18.75" x14ac:dyDescent="0.2">
      <c r="A259" s="32">
        <f t="shared" si="3"/>
        <v>254</v>
      </c>
      <c r="B259" s="234" t="s">
        <v>782</v>
      </c>
      <c r="C259" s="277" t="s">
        <v>783</v>
      </c>
      <c r="D259" s="251" t="s">
        <v>784</v>
      </c>
      <c r="E259" s="53">
        <v>24193</v>
      </c>
      <c r="F259" s="388">
        <v>26750</v>
      </c>
      <c r="G259" s="32" t="s">
        <v>737</v>
      </c>
      <c r="H259" s="32" t="s">
        <v>4256</v>
      </c>
      <c r="I259" s="32"/>
      <c r="J259" s="32"/>
      <c r="K259" s="32"/>
      <c r="L259" s="32"/>
      <c r="M259" s="32"/>
      <c r="N259" s="56" t="s">
        <v>4320</v>
      </c>
    </row>
    <row r="260" spans="1:14" s="370" customFormat="1" ht="18.75" x14ac:dyDescent="0.2">
      <c r="A260" s="32">
        <f t="shared" si="3"/>
        <v>255</v>
      </c>
      <c r="B260" s="79" t="s">
        <v>785</v>
      </c>
      <c r="C260" s="277" t="s">
        <v>786</v>
      </c>
      <c r="D260" s="251" t="s">
        <v>787</v>
      </c>
      <c r="E260" s="53">
        <v>24193</v>
      </c>
      <c r="F260" s="388">
        <v>26750</v>
      </c>
      <c r="G260" s="32" t="s">
        <v>737</v>
      </c>
      <c r="H260" s="32" t="s">
        <v>4256</v>
      </c>
      <c r="I260" s="32"/>
      <c r="J260" s="32"/>
      <c r="K260" s="32"/>
      <c r="L260" s="32"/>
      <c r="M260" s="32"/>
      <c r="N260" s="56" t="s">
        <v>4316</v>
      </c>
    </row>
    <row r="261" spans="1:14" s="370" customFormat="1" ht="18.75" x14ac:dyDescent="0.2">
      <c r="A261" s="32">
        <f t="shared" si="3"/>
        <v>256</v>
      </c>
      <c r="B261" s="79" t="s">
        <v>785</v>
      </c>
      <c r="C261" s="277" t="s">
        <v>788</v>
      </c>
      <c r="D261" s="251" t="s">
        <v>789</v>
      </c>
      <c r="E261" s="53">
        <v>24193</v>
      </c>
      <c r="F261" s="388">
        <v>14445</v>
      </c>
      <c r="G261" s="32" t="s">
        <v>737</v>
      </c>
      <c r="H261" s="32" t="s">
        <v>4256</v>
      </c>
      <c r="I261" s="32"/>
      <c r="J261" s="32"/>
      <c r="K261" s="32"/>
      <c r="L261" s="32"/>
      <c r="M261" s="32"/>
      <c r="N261" s="56" t="s">
        <v>493</v>
      </c>
    </row>
    <row r="262" spans="1:14" s="370" customFormat="1" ht="18.75" x14ac:dyDescent="0.2">
      <c r="A262" s="32">
        <f t="shared" si="3"/>
        <v>257</v>
      </c>
      <c r="B262" s="234" t="s">
        <v>782</v>
      </c>
      <c r="C262" s="277" t="s">
        <v>790</v>
      </c>
      <c r="D262" s="251" t="s">
        <v>791</v>
      </c>
      <c r="E262" s="53">
        <v>24193</v>
      </c>
      <c r="F262" s="388">
        <v>14445</v>
      </c>
      <c r="G262" s="32" t="s">
        <v>737</v>
      </c>
      <c r="H262" s="32" t="s">
        <v>4256</v>
      </c>
      <c r="I262" s="32"/>
      <c r="J262" s="32"/>
      <c r="K262" s="32"/>
      <c r="L262" s="32"/>
      <c r="M262" s="32"/>
      <c r="N262" s="56" t="s">
        <v>4299</v>
      </c>
    </row>
    <row r="263" spans="1:14" s="370" customFormat="1" ht="18.75" x14ac:dyDescent="0.2">
      <c r="A263" s="32">
        <f t="shared" ref="A263:A295" si="4">ROW()-ROW($A$6)+1</f>
        <v>258</v>
      </c>
      <c r="B263" s="234" t="s">
        <v>782</v>
      </c>
      <c r="C263" s="277" t="s">
        <v>792</v>
      </c>
      <c r="D263" s="251" t="s">
        <v>793</v>
      </c>
      <c r="E263" s="53">
        <v>24193</v>
      </c>
      <c r="F263" s="388">
        <v>14445</v>
      </c>
      <c r="G263" s="32" t="s">
        <v>737</v>
      </c>
      <c r="H263" s="32" t="s">
        <v>4256</v>
      </c>
      <c r="I263" s="32"/>
      <c r="J263" s="32"/>
      <c r="K263" s="32"/>
      <c r="L263" s="32"/>
      <c r="M263" s="32"/>
      <c r="N263" s="56" t="s">
        <v>458</v>
      </c>
    </row>
    <row r="264" spans="1:14" s="370" customFormat="1" ht="18.75" x14ac:dyDescent="0.2">
      <c r="A264" s="32">
        <f t="shared" si="4"/>
        <v>259</v>
      </c>
      <c r="B264" s="389" t="s">
        <v>814</v>
      </c>
      <c r="C264" s="277" t="s">
        <v>4222</v>
      </c>
      <c r="D264" s="281" t="s">
        <v>815</v>
      </c>
      <c r="E264" s="390">
        <v>24368</v>
      </c>
      <c r="F264" s="391">
        <v>2300</v>
      </c>
      <c r="G264" s="378" t="s">
        <v>586</v>
      </c>
      <c r="H264" s="32" t="s">
        <v>4256</v>
      </c>
      <c r="I264" s="378"/>
      <c r="J264" s="378"/>
      <c r="K264" s="378"/>
      <c r="L264" s="378"/>
      <c r="M264" s="378"/>
      <c r="N264" s="293" t="s">
        <v>481</v>
      </c>
    </row>
    <row r="265" spans="1:14" s="370" customFormat="1" ht="18.75" x14ac:dyDescent="0.2">
      <c r="A265" s="32">
        <f t="shared" si="4"/>
        <v>260</v>
      </c>
      <c r="B265" s="389" t="s">
        <v>814</v>
      </c>
      <c r="C265" s="386" t="s">
        <v>816</v>
      </c>
      <c r="D265" s="281" t="s">
        <v>817</v>
      </c>
      <c r="E265" s="390">
        <v>24368</v>
      </c>
      <c r="F265" s="391">
        <v>2300</v>
      </c>
      <c r="G265" s="378" t="s">
        <v>586</v>
      </c>
      <c r="H265" s="32" t="s">
        <v>4256</v>
      </c>
      <c r="I265" s="378"/>
      <c r="J265" s="378"/>
      <c r="K265" s="378"/>
      <c r="L265" s="378"/>
      <c r="M265" s="378"/>
      <c r="N265" s="293" t="s">
        <v>4325</v>
      </c>
    </row>
    <row r="266" spans="1:14" s="370" customFormat="1" ht="18.75" x14ac:dyDescent="0.2">
      <c r="A266" s="32">
        <f t="shared" si="4"/>
        <v>261</v>
      </c>
      <c r="B266" s="389" t="s">
        <v>814</v>
      </c>
      <c r="C266" s="277" t="s">
        <v>4223</v>
      </c>
      <c r="D266" s="281" t="s">
        <v>818</v>
      </c>
      <c r="E266" s="390">
        <v>24368</v>
      </c>
      <c r="F266" s="391">
        <v>2300</v>
      </c>
      <c r="G266" s="378" t="s">
        <v>586</v>
      </c>
      <c r="H266" s="32" t="s">
        <v>4256</v>
      </c>
      <c r="I266" s="378"/>
      <c r="J266" s="378"/>
      <c r="K266" s="378"/>
      <c r="L266" s="378"/>
      <c r="M266" s="378"/>
      <c r="N266" s="293" t="s">
        <v>819</v>
      </c>
    </row>
    <row r="267" spans="1:14" s="370" customFormat="1" ht="18.75" x14ac:dyDescent="0.2">
      <c r="A267" s="32">
        <f t="shared" si="4"/>
        <v>262</v>
      </c>
      <c r="B267" s="389" t="s">
        <v>814</v>
      </c>
      <c r="C267" s="277" t="s">
        <v>4224</v>
      </c>
      <c r="D267" s="281" t="s">
        <v>820</v>
      </c>
      <c r="E267" s="390">
        <v>24368</v>
      </c>
      <c r="F267" s="391">
        <v>2300</v>
      </c>
      <c r="G267" s="378" t="s">
        <v>586</v>
      </c>
      <c r="H267" s="32" t="s">
        <v>4256</v>
      </c>
      <c r="I267" s="378"/>
      <c r="J267" s="378"/>
      <c r="K267" s="378"/>
      <c r="L267" s="378"/>
      <c r="M267" s="378"/>
      <c r="N267" s="293" t="s">
        <v>802</v>
      </c>
    </row>
    <row r="268" spans="1:14" s="370" customFormat="1" ht="18.75" x14ac:dyDescent="0.2">
      <c r="A268" s="32">
        <f t="shared" si="4"/>
        <v>263</v>
      </c>
      <c r="B268" s="389" t="s">
        <v>814</v>
      </c>
      <c r="C268" s="277" t="s">
        <v>4225</v>
      </c>
      <c r="D268" s="281" t="s">
        <v>821</v>
      </c>
      <c r="E268" s="390">
        <v>24368</v>
      </c>
      <c r="F268" s="391">
        <v>2300</v>
      </c>
      <c r="G268" s="378" t="s">
        <v>586</v>
      </c>
      <c r="H268" s="32" t="s">
        <v>4256</v>
      </c>
      <c r="I268" s="378"/>
      <c r="J268" s="378"/>
      <c r="K268" s="378"/>
      <c r="L268" s="378"/>
      <c r="M268" s="378"/>
      <c r="N268" s="293" t="s">
        <v>799</v>
      </c>
    </row>
    <row r="269" spans="1:14" s="370" customFormat="1" ht="37.5" x14ac:dyDescent="0.2">
      <c r="A269" s="32">
        <f t="shared" si="4"/>
        <v>264</v>
      </c>
      <c r="B269" s="392" t="s">
        <v>3821</v>
      </c>
      <c r="C269" s="393" t="s">
        <v>4187</v>
      </c>
      <c r="D269" s="393" t="s">
        <v>5</v>
      </c>
      <c r="E269" s="360">
        <v>24390</v>
      </c>
      <c r="F269" s="377">
        <v>7950</v>
      </c>
      <c r="G269" s="393" t="s">
        <v>241</v>
      </c>
      <c r="H269" s="32" t="s">
        <v>4256</v>
      </c>
      <c r="I269" s="361"/>
      <c r="J269" s="361"/>
      <c r="K269" s="361"/>
      <c r="L269" s="361"/>
      <c r="M269" s="361"/>
      <c r="N269" s="362" t="s">
        <v>4327</v>
      </c>
    </row>
    <row r="270" spans="1:14" s="370" customFormat="1" ht="37.5" x14ac:dyDescent="0.2">
      <c r="A270" s="32">
        <f t="shared" si="4"/>
        <v>265</v>
      </c>
      <c r="B270" s="392" t="s">
        <v>3822</v>
      </c>
      <c r="C270" s="393" t="s">
        <v>4188</v>
      </c>
      <c r="D270" s="393" t="s">
        <v>8</v>
      </c>
      <c r="E270" s="360">
        <v>24390</v>
      </c>
      <c r="F270" s="377">
        <v>10900</v>
      </c>
      <c r="G270" s="393" t="s">
        <v>241</v>
      </c>
      <c r="H270" s="32" t="s">
        <v>4256</v>
      </c>
      <c r="I270" s="361"/>
      <c r="J270" s="361"/>
      <c r="K270" s="361"/>
      <c r="L270" s="361"/>
      <c r="M270" s="361"/>
      <c r="N270" s="362" t="s">
        <v>315</v>
      </c>
    </row>
    <row r="271" spans="1:14" s="370" customFormat="1" ht="37.5" x14ac:dyDescent="0.2">
      <c r="A271" s="32">
        <f t="shared" si="4"/>
        <v>266</v>
      </c>
      <c r="B271" s="392" t="s">
        <v>7</v>
      </c>
      <c r="C271" s="393" t="s">
        <v>4189</v>
      </c>
      <c r="D271" s="393" t="s">
        <v>9</v>
      </c>
      <c r="E271" s="360">
        <v>24390</v>
      </c>
      <c r="F271" s="377">
        <v>10900</v>
      </c>
      <c r="G271" s="393" t="s">
        <v>241</v>
      </c>
      <c r="H271" s="32" t="s">
        <v>4256</v>
      </c>
      <c r="I271" s="361"/>
      <c r="J271" s="361"/>
      <c r="K271" s="361"/>
      <c r="L271" s="361"/>
      <c r="M271" s="361"/>
      <c r="N271" s="362" t="s">
        <v>223</v>
      </c>
    </row>
    <row r="272" spans="1:14" s="370" customFormat="1" ht="56.25" x14ac:dyDescent="0.2">
      <c r="A272" s="32">
        <f t="shared" si="4"/>
        <v>267</v>
      </c>
      <c r="B272" s="392" t="s">
        <v>3823</v>
      </c>
      <c r="C272" s="393" t="s">
        <v>4190</v>
      </c>
      <c r="D272" s="393" t="s">
        <v>10</v>
      </c>
      <c r="E272" s="360">
        <v>24390</v>
      </c>
      <c r="F272" s="377">
        <v>10900</v>
      </c>
      <c r="G272" s="393" t="s">
        <v>241</v>
      </c>
      <c r="H272" s="32" t="s">
        <v>4256</v>
      </c>
      <c r="I272" s="361"/>
      <c r="J272" s="361"/>
      <c r="K272" s="361"/>
      <c r="L272" s="361"/>
      <c r="M272" s="361"/>
      <c r="N272" s="362" t="s">
        <v>295</v>
      </c>
    </row>
    <row r="273" spans="1:14" s="370" customFormat="1" ht="37.5" x14ac:dyDescent="0.2">
      <c r="A273" s="32">
        <f t="shared" si="4"/>
        <v>268</v>
      </c>
      <c r="B273" s="392" t="s">
        <v>3826</v>
      </c>
      <c r="C273" s="393" t="s">
        <v>4194</v>
      </c>
      <c r="D273" s="393" t="s">
        <v>11</v>
      </c>
      <c r="E273" s="34">
        <v>24390</v>
      </c>
      <c r="F273" s="377">
        <v>23890</v>
      </c>
      <c r="G273" s="393" t="s">
        <v>241</v>
      </c>
      <c r="H273" s="32" t="s">
        <v>4256</v>
      </c>
      <c r="I273" s="32"/>
      <c r="J273" s="32"/>
      <c r="K273" s="32"/>
      <c r="L273" s="32"/>
      <c r="M273" s="32"/>
      <c r="N273" s="56" t="s">
        <v>223</v>
      </c>
    </row>
    <row r="274" spans="1:14" s="370" customFormat="1" ht="37.5" x14ac:dyDescent="0.2">
      <c r="A274" s="32">
        <f t="shared" si="4"/>
        <v>269</v>
      </c>
      <c r="B274" s="392" t="s">
        <v>3824</v>
      </c>
      <c r="C274" s="393" t="s">
        <v>4191</v>
      </c>
      <c r="D274" s="393" t="s">
        <v>12</v>
      </c>
      <c r="E274" s="360">
        <v>24390</v>
      </c>
      <c r="F274" s="377">
        <v>7950</v>
      </c>
      <c r="G274" s="393" t="s">
        <v>241</v>
      </c>
      <c r="H274" s="32" t="s">
        <v>4256</v>
      </c>
      <c r="I274" s="32"/>
      <c r="J274" s="32"/>
      <c r="K274" s="32"/>
      <c r="L274" s="32"/>
      <c r="M274" s="32"/>
      <c r="N274" s="56" t="s">
        <v>426</v>
      </c>
    </row>
    <row r="275" spans="1:14" s="370" customFormat="1" ht="37.5" x14ac:dyDescent="0.2">
      <c r="A275" s="32">
        <f t="shared" si="4"/>
        <v>270</v>
      </c>
      <c r="B275" s="392" t="s">
        <v>4252</v>
      </c>
      <c r="C275" s="393" t="s">
        <v>4195</v>
      </c>
      <c r="D275" s="393" t="s">
        <v>13</v>
      </c>
      <c r="E275" s="34">
        <v>24390</v>
      </c>
      <c r="F275" s="377">
        <v>23890</v>
      </c>
      <c r="G275" s="393" t="s">
        <v>241</v>
      </c>
      <c r="H275" s="32" t="s">
        <v>4256</v>
      </c>
      <c r="I275" s="361"/>
      <c r="J275" s="361"/>
      <c r="K275" s="361"/>
      <c r="L275" s="361"/>
      <c r="M275" s="361"/>
      <c r="N275" s="56" t="s">
        <v>426</v>
      </c>
    </row>
    <row r="276" spans="1:14" s="370" customFormat="1" ht="37.5" x14ac:dyDescent="0.2">
      <c r="A276" s="32">
        <f t="shared" si="4"/>
        <v>271</v>
      </c>
      <c r="B276" s="392" t="s">
        <v>3824</v>
      </c>
      <c r="C276" s="393" t="s">
        <v>4192</v>
      </c>
      <c r="D276" s="393" t="s">
        <v>14</v>
      </c>
      <c r="E276" s="360">
        <v>24390</v>
      </c>
      <c r="F276" s="377">
        <v>7950</v>
      </c>
      <c r="G276" s="393" t="s">
        <v>241</v>
      </c>
      <c r="H276" s="32" t="s">
        <v>4256</v>
      </c>
      <c r="I276" s="32"/>
      <c r="J276" s="32"/>
      <c r="K276" s="32"/>
      <c r="L276" s="32"/>
      <c r="M276" s="32"/>
      <c r="N276" s="362" t="s">
        <v>4324</v>
      </c>
    </row>
    <row r="277" spans="1:14" s="370" customFormat="1" ht="37.5" x14ac:dyDescent="0.2">
      <c r="A277" s="32">
        <f t="shared" si="4"/>
        <v>272</v>
      </c>
      <c r="B277" s="392" t="s">
        <v>3826</v>
      </c>
      <c r="C277" s="393" t="s">
        <v>4196</v>
      </c>
      <c r="D277" s="393" t="s">
        <v>15</v>
      </c>
      <c r="E277" s="34">
        <v>24390</v>
      </c>
      <c r="F277" s="377">
        <v>23890</v>
      </c>
      <c r="G277" s="393" t="s">
        <v>241</v>
      </c>
      <c r="H277" s="32" t="s">
        <v>4256</v>
      </c>
      <c r="I277" s="361"/>
      <c r="J277" s="361"/>
      <c r="K277" s="361"/>
      <c r="L277" s="361"/>
      <c r="M277" s="361"/>
      <c r="N277" s="362" t="s">
        <v>4324</v>
      </c>
    </row>
    <row r="278" spans="1:14" s="400" customFormat="1" ht="37.5" x14ac:dyDescent="0.3">
      <c r="A278" s="32">
        <f t="shared" si="4"/>
        <v>273</v>
      </c>
      <c r="B278" s="394" t="s">
        <v>16</v>
      </c>
      <c r="C278" s="395" t="s">
        <v>3820</v>
      </c>
      <c r="D278" s="277" t="s">
        <v>17</v>
      </c>
      <c r="E278" s="396">
        <v>243572</v>
      </c>
      <c r="F278" s="397">
        <v>9800</v>
      </c>
      <c r="G278" s="398" t="s">
        <v>18</v>
      </c>
      <c r="H278" s="32" t="s">
        <v>4256</v>
      </c>
      <c r="I278" s="399"/>
      <c r="J278" s="399"/>
      <c r="K278" s="399"/>
      <c r="L278" s="399"/>
      <c r="M278" s="399"/>
      <c r="N278" s="399"/>
    </row>
    <row r="279" spans="1:14" s="400" customFormat="1" ht="37.5" x14ac:dyDescent="0.3">
      <c r="A279" s="32">
        <f t="shared" si="4"/>
        <v>274</v>
      </c>
      <c r="B279" s="394" t="s">
        <v>16</v>
      </c>
      <c r="C279" s="395" t="s">
        <v>3819</v>
      </c>
      <c r="D279" s="277" t="s">
        <v>19</v>
      </c>
      <c r="E279" s="396">
        <v>243572</v>
      </c>
      <c r="F279" s="397">
        <v>9800</v>
      </c>
      <c r="G279" s="398" t="s">
        <v>18</v>
      </c>
      <c r="H279" s="32" t="s">
        <v>4256</v>
      </c>
      <c r="I279" s="399"/>
      <c r="J279" s="399"/>
      <c r="K279" s="399"/>
      <c r="L279" s="399"/>
      <c r="M279" s="399"/>
      <c r="N279" s="399"/>
    </row>
    <row r="280" spans="1:14" s="401" customFormat="1" ht="37.5" x14ac:dyDescent="0.2">
      <c r="A280" s="32">
        <f t="shared" si="4"/>
        <v>275</v>
      </c>
      <c r="B280" s="392" t="s">
        <v>3830</v>
      </c>
      <c r="C280" s="393" t="s">
        <v>4161</v>
      </c>
      <c r="D280" s="393" t="s">
        <v>20</v>
      </c>
      <c r="E280" s="34">
        <v>243572</v>
      </c>
      <c r="F280" s="31">
        <v>22500</v>
      </c>
      <c r="G280" s="32" t="s">
        <v>21</v>
      </c>
      <c r="H280" s="32" t="s">
        <v>4256</v>
      </c>
      <c r="I280" s="32"/>
      <c r="J280" s="32"/>
      <c r="K280" s="32"/>
      <c r="L280" s="32"/>
      <c r="M280" s="32"/>
      <c r="N280" s="56"/>
    </row>
    <row r="281" spans="1:14" s="373" customFormat="1" ht="18.75" x14ac:dyDescent="0.2">
      <c r="A281" s="32">
        <f t="shared" si="4"/>
        <v>276</v>
      </c>
      <c r="B281" s="402" t="s">
        <v>3761</v>
      </c>
      <c r="C281" s="403" t="s">
        <v>3762</v>
      </c>
      <c r="D281" s="280" t="s">
        <v>3763</v>
      </c>
      <c r="E281" s="404">
        <v>24368</v>
      </c>
      <c r="F281" s="405">
        <v>14500</v>
      </c>
      <c r="G281" s="406" t="s">
        <v>2378</v>
      </c>
      <c r="H281" s="32" t="s">
        <v>4256</v>
      </c>
      <c r="I281" s="406"/>
      <c r="J281" s="406"/>
      <c r="K281" s="406"/>
      <c r="L281" s="406"/>
      <c r="M281" s="406"/>
      <c r="N281" s="407"/>
    </row>
    <row r="282" spans="1:14" s="373" customFormat="1" ht="18.75" x14ac:dyDescent="0.2">
      <c r="A282" s="32">
        <f t="shared" si="4"/>
        <v>277</v>
      </c>
      <c r="B282" s="402" t="s">
        <v>3761</v>
      </c>
      <c r="C282" s="403" t="s">
        <v>3764</v>
      </c>
      <c r="D282" s="280" t="s">
        <v>3765</v>
      </c>
      <c r="E282" s="404">
        <v>24368</v>
      </c>
      <c r="F282" s="405">
        <v>14500</v>
      </c>
      <c r="G282" s="406" t="s">
        <v>2378</v>
      </c>
      <c r="H282" s="32" t="s">
        <v>4256</v>
      </c>
      <c r="I282" s="406"/>
      <c r="J282" s="406"/>
      <c r="K282" s="406"/>
      <c r="L282" s="406"/>
      <c r="M282" s="406"/>
      <c r="N282" s="407"/>
    </row>
    <row r="283" spans="1:14" s="373" customFormat="1" ht="18.75" x14ac:dyDescent="0.2">
      <c r="A283" s="32">
        <f t="shared" si="4"/>
        <v>278</v>
      </c>
      <c r="B283" s="402" t="s">
        <v>3761</v>
      </c>
      <c r="C283" s="403" t="s">
        <v>3766</v>
      </c>
      <c r="D283" s="280" t="s">
        <v>3767</v>
      </c>
      <c r="E283" s="404">
        <v>24368</v>
      </c>
      <c r="F283" s="405">
        <v>14500</v>
      </c>
      <c r="G283" s="406" t="s">
        <v>2378</v>
      </c>
      <c r="H283" s="32" t="s">
        <v>4256</v>
      </c>
      <c r="I283" s="406"/>
      <c r="J283" s="406"/>
      <c r="K283" s="406"/>
      <c r="L283" s="406"/>
      <c r="M283" s="406"/>
      <c r="N283" s="407"/>
    </row>
    <row r="284" spans="1:14" s="373" customFormat="1" ht="18.75" x14ac:dyDescent="0.2">
      <c r="A284" s="32">
        <f t="shared" si="4"/>
        <v>279</v>
      </c>
      <c r="B284" s="402" t="s">
        <v>3761</v>
      </c>
      <c r="C284" s="403" t="s">
        <v>3768</v>
      </c>
      <c r="D284" s="280" t="s">
        <v>3769</v>
      </c>
      <c r="E284" s="404">
        <v>24368</v>
      </c>
      <c r="F284" s="405">
        <v>14500</v>
      </c>
      <c r="G284" s="406" t="s">
        <v>2378</v>
      </c>
      <c r="H284" s="32" t="s">
        <v>4256</v>
      </c>
      <c r="I284" s="406"/>
      <c r="J284" s="406"/>
      <c r="K284" s="406"/>
      <c r="L284" s="406"/>
      <c r="M284" s="406"/>
      <c r="N284" s="407"/>
    </row>
    <row r="285" spans="1:14" s="373" customFormat="1" ht="37.5" x14ac:dyDescent="0.2">
      <c r="A285" s="32">
        <f t="shared" si="4"/>
        <v>280</v>
      </c>
      <c r="B285" s="394" t="s">
        <v>22</v>
      </c>
      <c r="C285" s="393" t="s">
        <v>3901</v>
      </c>
      <c r="D285" s="277" t="s">
        <v>23</v>
      </c>
      <c r="E285" s="34">
        <v>243572</v>
      </c>
      <c r="F285" s="31">
        <v>6900</v>
      </c>
      <c r="G285" s="408" t="s">
        <v>24</v>
      </c>
      <c r="H285" s="32" t="s">
        <v>4256</v>
      </c>
      <c r="I285" s="32"/>
      <c r="J285" s="32"/>
      <c r="K285" s="32"/>
      <c r="L285" s="32"/>
      <c r="M285" s="32"/>
      <c r="N285" s="285"/>
    </row>
    <row r="286" spans="1:14" s="373" customFormat="1" ht="37.5" x14ac:dyDescent="0.2">
      <c r="A286" s="32">
        <f t="shared" si="4"/>
        <v>281</v>
      </c>
      <c r="B286" s="394" t="s">
        <v>22</v>
      </c>
      <c r="C286" s="393" t="s">
        <v>3898</v>
      </c>
      <c r="D286" s="277" t="s">
        <v>25</v>
      </c>
      <c r="E286" s="34">
        <v>243572</v>
      </c>
      <c r="F286" s="31">
        <v>6900</v>
      </c>
      <c r="G286" s="408" t="s">
        <v>24</v>
      </c>
      <c r="H286" s="32" t="s">
        <v>4256</v>
      </c>
      <c r="I286" s="32"/>
      <c r="J286" s="32"/>
      <c r="K286" s="32"/>
      <c r="L286" s="32"/>
      <c r="M286" s="32"/>
      <c r="N286" s="285"/>
    </row>
    <row r="287" spans="1:14" s="373" customFormat="1" ht="37.5" x14ac:dyDescent="0.2">
      <c r="A287" s="32">
        <f t="shared" si="4"/>
        <v>282</v>
      </c>
      <c r="B287" s="394" t="s">
        <v>26</v>
      </c>
      <c r="C287" s="393" t="s">
        <v>3899</v>
      </c>
      <c r="D287" s="277" t="s">
        <v>27</v>
      </c>
      <c r="E287" s="34">
        <v>243572</v>
      </c>
      <c r="F287" s="31">
        <v>22800</v>
      </c>
      <c r="G287" s="408" t="s">
        <v>24</v>
      </c>
      <c r="H287" s="32" t="s">
        <v>4256</v>
      </c>
      <c r="I287" s="32"/>
      <c r="J287" s="32"/>
      <c r="K287" s="32"/>
      <c r="L287" s="32"/>
      <c r="M287" s="32"/>
      <c r="N287" s="285"/>
    </row>
    <row r="288" spans="1:14" s="373" customFormat="1" ht="37.5" x14ac:dyDescent="0.2">
      <c r="A288" s="32">
        <f t="shared" si="4"/>
        <v>283</v>
      </c>
      <c r="B288" s="409" t="s">
        <v>26</v>
      </c>
      <c r="C288" s="393" t="s">
        <v>3900</v>
      </c>
      <c r="D288" s="410" t="s">
        <v>28</v>
      </c>
      <c r="E288" s="360">
        <v>243572</v>
      </c>
      <c r="F288" s="411">
        <v>22800</v>
      </c>
      <c r="G288" s="412" t="s">
        <v>24</v>
      </c>
      <c r="H288" s="32" t="s">
        <v>4256</v>
      </c>
      <c r="I288" s="32"/>
      <c r="J288" s="32"/>
      <c r="K288" s="32"/>
      <c r="L288" s="32"/>
      <c r="M288" s="32"/>
      <c r="N288" s="285"/>
    </row>
    <row r="289" spans="1:15" s="373" customFormat="1" ht="37.5" x14ac:dyDescent="0.2">
      <c r="A289" s="32">
        <f t="shared" si="4"/>
        <v>284</v>
      </c>
      <c r="B289" s="409" t="s">
        <v>29</v>
      </c>
      <c r="C289" s="393" t="s">
        <v>3896</v>
      </c>
      <c r="D289" s="410" t="s">
        <v>30</v>
      </c>
      <c r="E289" s="34">
        <v>243572</v>
      </c>
      <c r="F289" s="377">
        <v>1190</v>
      </c>
      <c r="G289" s="408" t="s">
        <v>24</v>
      </c>
      <c r="H289" s="32" t="s">
        <v>4256</v>
      </c>
      <c r="I289" s="32"/>
      <c r="J289" s="32"/>
      <c r="K289" s="32"/>
      <c r="L289" s="32"/>
      <c r="M289" s="32"/>
      <c r="N289" s="285"/>
    </row>
    <row r="290" spans="1:15" s="373" customFormat="1" ht="37.5" x14ac:dyDescent="0.2">
      <c r="A290" s="32">
        <f t="shared" si="4"/>
        <v>285</v>
      </c>
      <c r="B290" s="409" t="s">
        <v>29</v>
      </c>
      <c r="C290" s="395" t="s">
        <v>3897</v>
      </c>
      <c r="D290" s="410" t="s">
        <v>31</v>
      </c>
      <c r="E290" s="34">
        <v>243572</v>
      </c>
      <c r="F290" s="377">
        <v>1190</v>
      </c>
      <c r="G290" s="408" t="s">
        <v>24</v>
      </c>
      <c r="H290" s="32" t="s">
        <v>4256</v>
      </c>
      <c r="I290" s="32"/>
      <c r="J290" s="32"/>
      <c r="K290" s="32"/>
      <c r="L290" s="32"/>
      <c r="M290" s="32"/>
      <c r="N290" s="285"/>
    </row>
    <row r="291" spans="1:15" s="373" customFormat="1" ht="37.5" x14ac:dyDescent="0.2">
      <c r="A291" s="32">
        <f t="shared" si="4"/>
        <v>286</v>
      </c>
      <c r="B291" s="409" t="s">
        <v>29</v>
      </c>
      <c r="C291" s="393" t="s">
        <v>3897</v>
      </c>
      <c r="D291" s="410" t="s">
        <v>32</v>
      </c>
      <c r="E291" s="34">
        <v>243572</v>
      </c>
      <c r="F291" s="377">
        <v>1190</v>
      </c>
      <c r="G291" s="408" t="s">
        <v>24</v>
      </c>
      <c r="H291" s="32" t="s">
        <v>4256</v>
      </c>
      <c r="I291" s="32"/>
      <c r="J291" s="32"/>
      <c r="K291" s="32"/>
      <c r="L291" s="32"/>
      <c r="M291" s="32"/>
      <c r="N291" s="285"/>
    </row>
    <row r="292" spans="1:15" s="373" customFormat="1" ht="37.5" x14ac:dyDescent="0.2">
      <c r="A292" s="32">
        <f t="shared" si="4"/>
        <v>287</v>
      </c>
      <c r="B292" s="409" t="s">
        <v>29</v>
      </c>
      <c r="C292" s="395" t="s">
        <v>4942</v>
      </c>
      <c r="D292" s="410" t="s">
        <v>33</v>
      </c>
      <c r="E292" s="34">
        <v>243572</v>
      </c>
      <c r="F292" s="413">
        <v>1190</v>
      </c>
      <c r="G292" s="412" t="s">
        <v>24</v>
      </c>
      <c r="H292" s="32" t="s">
        <v>4256</v>
      </c>
      <c r="I292" s="32"/>
      <c r="J292" s="32"/>
      <c r="K292" s="32"/>
      <c r="L292" s="32"/>
      <c r="M292" s="32"/>
      <c r="N292" s="285"/>
    </row>
    <row r="293" spans="1:15" s="401" customFormat="1" ht="37.5" x14ac:dyDescent="0.2">
      <c r="A293" s="32">
        <f t="shared" si="4"/>
        <v>288</v>
      </c>
      <c r="B293" s="392" t="s">
        <v>3825</v>
      </c>
      <c r="C293" s="393" t="s">
        <v>4193</v>
      </c>
      <c r="D293" s="393" t="s">
        <v>183</v>
      </c>
      <c r="E293" s="34">
        <v>24676</v>
      </c>
      <c r="F293" s="377">
        <v>12733</v>
      </c>
      <c r="G293" s="32" t="s">
        <v>21</v>
      </c>
      <c r="H293" s="32" t="s">
        <v>4256</v>
      </c>
      <c r="I293" s="32"/>
      <c r="J293" s="32"/>
      <c r="K293" s="32"/>
      <c r="L293" s="32"/>
      <c r="M293" s="32"/>
      <c r="N293" s="88" t="s">
        <v>5013</v>
      </c>
    </row>
    <row r="294" spans="1:15" s="373" customFormat="1" ht="37.5" x14ac:dyDescent="0.2">
      <c r="A294" s="32">
        <f t="shared" si="4"/>
        <v>289</v>
      </c>
      <c r="B294" s="52" t="s">
        <v>3750</v>
      </c>
      <c r="C294" s="32" t="s">
        <v>3751</v>
      </c>
      <c r="D294" s="32" t="s">
        <v>3752</v>
      </c>
      <c r="E294" s="53" t="s">
        <v>3753</v>
      </c>
      <c r="F294" s="374">
        <v>18000</v>
      </c>
      <c r="G294" s="32" t="s">
        <v>2378</v>
      </c>
      <c r="H294" s="479" t="s">
        <v>4256</v>
      </c>
      <c r="I294" s="32"/>
      <c r="J294" s="32"/>
      <c r="K294" s="32"/>
      <c r="L294" s="32"/>
      <c r="M294" s="32"/>
      <c r="N294" s="316"/>
      <c r="O294" s="373" t="s">
        <v>4524</v>
      </c>
    </row>
    <row r="295" spans="1:15" s="370" customFormat="1" ht="18.75" x14ac:dyDescent="0.2">
      <c r="A295" s="32">
        <f t="shared" si="4"/>
        <v>290</v>
      </c>
      <c r="B295" s="79" t="s">
        <v>794</v>
      </c>
      <c r="C295" s="277" t="s">
        <v>795</v>
      </c>
      <c r="D295" s="251" t="s">
        <v>4953</v>
      </c>
      <c r="E295" s="53">
        <v>24193</v>
      </c>
      <c r="F295" s="388">
        <v>249000</v>
      </c>
      <c r="G295" s="32" t="s">
        <v>737</v>
      </c>
      <c r="H295" s="32" t="s">
        <v>4256</v>
      </c>
      <c r="I295" s="32"/>
      <c r="J295" s="32"/>
      <c r="K295" s="32"/>
      <c r="L295" s="32"/>
      <c r="M295" s="32"/>
      <c r="N295" s="56" t="s">
        <v>151</v>
      </c>
    </row>
    <row r="296" spans="1:15" s="372" customFormat="1" ht="18.75" x14ac:dyDescent="0.3">
      <c r="A296" s="322"/>
      <c r="B296" s="341" t="s">
        <v>4979</v>
      </c>
      <c r="C296" s="307"/>
      <c r="D296" s="307"/>
      <c r="E296" s="307"/>
      <c r="F296" s="414">
        <f>SUBTOTAL(9,F6:F295)</f>
        <v>6001896.4800000004</v>
      </c>
      <c r="G296" s="307"/>
      <c r="H296" s="322"/>
      <c r="I296" s="322"/>
      <c r="J296" s="322"/>
      <c r="K296" s="322"/>
      <c r="L296" s="322"/>
      <c r="M296" s="322"/>
      <c r="N296" s="322"/>
    </row>
  </sheetData>
  <autoFilter ref="A4:N295" xr:uid="{00000000-0009-0000-0000-000012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P181"/>
  <sheetViews>
    <sheetView topLeftCell="A52" workbookViewId="0">
      <selection activeCell="I7" sqref="I7"/>
    </sheetView>
  </sheetViews>
  <sheetFormatPr defaultRowHeight="14.25" x14ac:dyDescent="0.2"/>
  <cols>
    <col min="1" max="1" width="7.28515625" style="370" customWidth="1"/>
    <col min="2" max="2" width="45.140625" style="415" bestFit="1" customWidth="1"/>
    <col min="3" max="3" width="16.7109375" style="415" customWidth="1"/>
    <col min="4" max="4" width="13.42578125" style="415" customWidth="1"/>
    <col min="5" max="5" width="14.7109375" style="415" customWidth="1"/>
    <col min="6" max="6" width="13.140625" style="415" customWidth="1"/>
    <col min="7" max="7" width="16.7109375" style="415" customWidth="1"/>
    <col min="8" max="13" width="3.5703125" style="415" customWidth="1"/>
    <col min="14" max="14" width="17.140625" style="415" customWidth="1"/>
    <col min="15" max="15" width="11" style="415" bestFit="1" customWidth="1"/>
    <col min="16" max="16384" width="9.140625" style="415"/>
  </cols>
  <sheetData>
    <row r="1" spans="1:15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5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5" s="10" customFormat="1" ht="18.75" x14ac:dyDescent="0.3">
      <c r="A3" s="871" t="s">
        <v>152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5" s="33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5" s="33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5" s="940" customFormat="1" ht="18.75" x14ac:dyDescent="0.3">
      <c r="A6" s="929">
        <f t="shared" ref="A6:A69" si="0">ROW()-ROW($A$6)+1</f>
        <v>1</v>
      </c>
      <c r="B6" s="930" t="s">
        <v>4009</v>
      </c>
      <c r="C6" s="931" t="s">
        <v>4010</v>
      </c>
      <c r="D6" s="931" t="s">
        <v>4011</v>
      </c>
      <c r="E6" s="932" t="s">
        <v>3991</v>
      </c>
      <c r="F6" s="302">
        <v>35000</v>
      </c>
      <c r="G6" s="933" t="s">
        <v>3892</v>
      </c>
      <c r="H6" s="931"/>
      <c r="I6" s="931"/>
      <c r="J6" s="934" t="s">
        <v>4256</v>
      </c>
      <c r="K6" s="935"/>
      <c r="L6" s="936"/>
      <c r="M6" s="937"/>
      <c r="N6" s="938"/>
      <c r="O6" s="939">
        <f>F6</f>
        <v>35000</v>
      </c>
    </row>
    <row r="7" spans="1:15" s="372" customFormat="1" ht="21" x14ac:dyDescent="0.35">
      <c r="A7" s="17">
        <f t="shared" si="0"/>
        <v>2</v>
      </c>
      <c r="B7" s="307" t="s">
        <v>1152</v>
      </c>
      <c r="C7" s="308" t="s">
        <v>1153</v>
      </c>
      <c r="D7" s="308" t="s">
        <v>1154</v>
      </c>
      <c r="E7" s="309">
        <v>21218</v>
      </c>
      <c r="F7" s="310">
        <v>2996</v>
      </c>
      <c r="G7" s="381" t="s">
        <v>949</v>
      </c>
      <c r="H7" s="371" t="s">
        <v>4256</v>
      </c>
      <c r="I7" s="311"/>
      <c r="J7" s="312"/>
      <c r="K7" s="312"/>
      <c r="L7" s="313"/>
      <c r="M7" s="314"/>
      <c r="N7" s="315"/>
      <c r="O7" s="745">
        <f>F7</f>
        <v>2996</v>
      </c>
    </row>
    <row r="8" spans="1:15" s="372" customFormat="1" ht="21" x14ac:dyDescent="0.35">
      <c r="A8" s="17">
        <f t="shared" si="0"/>
        <v>3</v>
      </c>
      <c r="B8" s="307" t="s">
        <v>1114</v>
      </c>
      <c r="C8" s="308" t="s">
        <v>1115</v>
      </c>
      <c r="D8" s="308" t="s">
        <v>3778</v>
      </c>
      <c r="E8" s="309">
        <v>21218</v>
      </c>
      <c r="F8" s="310">
        <v>4194.3999999999996</v>
      </c>
      <c r="G8" s="381" t="s">
        <v>949</v>
      </c>
      <c r="H8" s="371" t="s">
        <v>4256</v>
      </c>
      <c r="I8" s="311"/>
      <c r="J8" s="312"/>
      <c r="K8" s="312"/>
      <c r="L8" s="313"/>
      <c r="M8" s="314"/>
      <c r="N8" s="315"/>
      <c r="O8" s="745">
        <f>SUM(F8:F39)</f>
        <v>874555.2</v>
      </c>
    </row>
    <row r="9" spans="1:15" s="372" customFormat="1" ht="21" x14ac:dyDescent="0.35">
      <c r="A9" s="17">
        <f t="shared" si="0"/>
        <v>4</v>
      </c>
      <c r="B9" s="307" t="s">
        <v>1114</v>
      </c>
      <c r="C9" s="308" t="s">
        <v>1116</v>
      </c>
      <c r="D9" s="308" t="s">
        <v>3779</v>
      </c>
      <c r="E9" s="309">
        <v>21218</v>
      </c>
      <c r="F9" s="310">
        <v>4194.3999999999996</v>
      </c>
      <c r="G9" s="381" t="s">
        <v>949</v>
      </c>
      <c r="H9" s="371" t="s">
        <v>4256</v>
      </c>
      <c r="I9" s="311"/>
      <c r="J9" s="312"/>
      <c r="K9" s="312"/>
      <c r="L9" s="313"/>
      <c r="M9" s="314"/>
      <c r="N9" s="315"/>
    </row>
    <row r="10" spans="1:15" s="372" customFormat="1" ht="21" x14ac:dyDescent="0.35">
      <c r="A10" s="17">
        <f t="shared" si="0"/>
        <v>5</v>
      </c>
      <c r="B10" s="307" t="s">
        <v>1114</v>
      </c>
      <c r="C10" s="308" t="s">
        <v>1117</v>
      </c>
      <c r="D10" s="308" t="s">
        <v>3780</v>
      </c>
      <c r="E10" s="309">
        <v>21218</v>
      </c>
      <c r="F10" s="310">
        <v>4194.3999999999996</v>
      </c>
      <c r="G10" s="381" t="s">
        <v>949</v>
      </c>
      <c r="H10" s="371" t="s">
        <v>4256</v>
      </c>
      <c r="I10" s="311"/>
      <c r="J10" s="312"/>
      <c r="K10" s="312"/>
      <c r="L10" s="313"/>
      <c r="M10" s="314"/>
      <c r="N10" s="315"/>
    </row>
    <row r="11" spans="1:15" s="372" customFormat="1" ht="21" x14ac:dyDescent="0.35">
      <c r="A11" s="17">
        <f t="shared" si="0"/>
        <v>6</v>
      </c>
      <c r="B11" s="307" t="s">
        <v>1114</v>
      </c>
      <c r="C11" s="308" t="s">
        <v>1118</v>
      </c>
      <c r="D11" s="308" t="s">
        <v>3781</v>
      </c>
      <c r="E11" s="309">
        <v>21218</v>
      </c>
      <c r="F11" s="310">
        <v>4194.3999999999996</v>
      </c>
      <c r="G11" s="381" t="s">
        <v>949</v>
      </c>
      <c r="H11" s="371" t="s">
        <v>4256</v>
      </c>
      <c r="I11" s="311"/>
      <c r="J11" s="312"/>
      <c r="K11" s="312"/>
      <c r="L11" s="313"/>
      <c r="M11" s="314"/>
      <c r="N11" s="315"/>
    </row>
    <row r="12" spans="1:15" s="372" customFormat="1" ht="21" x14ac:dyDescent="0.35">
      <c r="A12" s="17">
        <f t="shared" si="0"/>
        <v>7</v>
      </c>
      <c r="B12" s="307" t="s">
        <v>1114</v>
      </c>
      <c r="C12" s="308" t="s">
        <v>1119</v>
      </c>
      <c r="D12" s="308" t="s">
        <v>3782</v>
      </c>
      <c r="E12" s="309">
        <v>21218</v>
      </c>
      <c r="F12" s="310">
        <v>4194.3999999999996</v>
      </c>
      <c r="G12" s="381" t="s">
        <v>949</v>
      </c>
      <c r="H12" s="371" t="s">
        <v>4256</v>
      </c>
      <c r="I12" s="311"/>
      <c r="J12" s="312"/>
      <c r="K12" s="312"/>
      <c r="L12" s="313"/>
      <c r="M12" s="314"/>
      <c r="N12" s="315"/>
    </row>
    <row r="13" spans="1:15" s="372" customFormat="1" ht="21" x14ac:dyDescent="0.35">
      <c r="A13" s="17">
        <f t="shared" si="0"/>
        <v>8</v>
      </c>
      <c r="B13" s="307" t="s">
        <v>1114</v>
      </c>
      <c r="C13" s="308" t="s">
        <v>1120</v>
      </c>
      <c r="D13" s="308" t="s">
        <v>3783</v>
      </c>
      <c r="E13" s="309">
        <v>21218</v>
      </c>
      <c r="F13" s="310">
        <v>4194.3999999999996</v>
      </c>
      <c r="G13" s="381" t="s">
        <v>949</v>
      </c>
      <c r="H13" s="371" t="s">
        <v>4256</v>
      </c>
      <c r="I13" s="311"/>
      <c r="J13" s="312"/>
      <c r="K13" s="312"/>
      <c r="L13" s="313"/>
      <c r="M13" s="314"/>
      <c r="N13" s="315"/>
    </row>
    <row r="14" spans="1:15" s="372" customFormat="1" ht="21" x14ac:dyDescent="0.35">
      <c r="A14" s="17">
        <f t="shared" si="0"/>
        <v>9</v>
      </c>
      <c r="B14" s="307" t="s">
        <v>1114</v>
      </c>
      <c r="C14" s="308" t="s">
        <v>1121</v>
      </c>
      <c r="D14" s="308" t="s">
        <v>3784</v>
      </c>
      <c r="E14" s="309">
        <v>21218</v>
      </c>
      <c r="F14" s="310">
        <v>4194.3999999999996</v>
      </c>
      <c r="G14" s="381" t="s">
        <v>949</v>
      </c>
      <c r="H14" s="371" t="s">
        <v>4256</v>
      </c>
      <c r="I14" s="311"/>
      <c r="J14" s="312"/>
      <c r="K14" s="312"/>
      <c r="L14" s="313"/>
      <c r="M14" s="314"/>
      <c r="N14" s="315"/>
    </row>
    <row r="15" spans="1:15" s="372" customFormat="1" ht="21" x14ac:dyDescent="0.35">
      <c r="A15" s="17">
        <f t="shared" si="0"/>
        <v>10</v>
      </c>
      <c r="B15" s="307" t="s">
        <v>1114</v>
      </c>
      <c r="C15" s="308" t="s">
        <v>1122</v>
      </c>
      <c r="D15" s="308" t="s">
        <v>3785</v>
      </c>
      <c r="E15" s="309">
        <v>21218</v>
      </c>
      <c r="F15" s="310">
        <v>4194.3999999999996</v>
      </c>
      <c r="G15" s="381" t="s">
        <v>949</v>
      </c>
      <c r="H15" s="371" t="s">
        <v>4256</v>
      </c>
      <c r="I15" s="311"/>
      <c r="J15" s="312"/>
      <c r="K15" s="312"/>
      <c r="L15" s="313"/>
      <c r="M15" s="314"/>
      <c r="N15" s="315"/>
    </row>
    <row r="16" spans="1:15" s="373" customFormat="1" ht="18.75" x14ac:dyDescent="0.2">
      <c r="A16" s="17">
        <f t="shared" si="0"/>
        <v>11</v>
      </c>
      <c r="B16" s="55" t="s">
        <v>3675</v>
      </c>
      <c r="C16" s="13" t="s">
        <v>3676</v>
      </c>
      <c r="D16" s="13" t="s">
        <v>3677</v>
      </c>
      <c r="E16" s="53" t="s">
        <v>1731</v>
      </c>
      <c r="F16" s="31">
        <v>86500</v>
      </c>
      <c r="G16" s="285" t="s">
        <v>2378</v>
      </c>
      <c r="H16" s="371" t="s">
        <v>4256</v>
      </c>
      <c r="I16" s="32"/>
      <c r="J16" s="32"/>
      <c r="K16" s="32"/>
      <c r="L16" s="32"/>
      <c r="M16" s="32"/>
      <c r="N16" s="316" t="s">
        <v>3832</v>
      </c>
    </row>
    <row r="17" spans="1:14" s="373" customFormat="1" ht="18.75" x14ac:dyDescent="0.2">
      <c r="A17" s="17">
        <f t="shared" si="0"/>
        <v>12</v>
      </c>
      <c r="B17" s="55" t="s">
        <v>3678</v>
      </c>
      <c r="C17" s="13" t="s">
        <v>3679</v>
      </c>
      <c r="D17" s="13" t="s">
        <v>3680</v>
      </c>
      <c r="E17" s="53" t="s">
        <v>1731</v>
      </c>
      <c r="F17" s="31">
        <v>28000</v>
      </c>
      <c r="G17" s="285" t="s">
        <v>2378</v>
      </c>
      <c r="H17" s="61"/>
      <c r="I17" s="480" t="s">
        <v>4256</v>
      </c>
      <c r="J17" s="32"/>
      <c r="K17" s="32"/>
      <c r="L17" s="32"/>
      <c r="M17" s="32"/>
      <c r="N17" s="316" t="s">
        <v>3883</v>
      </c>
    </row>
    <row r="18" spans="1:14" s="373" customFormat="1" ht="18.75" x14ac:dyDescent="0.2">
      <c r="A18" s="17">
        <f t="shared" si="0"/>
        <v>13</v>
      </c>
      <c r="B18" s="55" t="s">
        <v>3678</v>
      </c>
      <c r="C18" s="13" t="s">
        <v>3681</v>
      </c>
      <c r="D18" s="13" t="s">
        <v>3682</v>
      </c>
      <c r="E18" s="53" t="s">
        <v>1731</v>
      </c>
      <c r="F18" s="31">
        <v>28000</v>
      </c>
      <c r="G18" s="285" t="s">
        <v>2378</v>
      </c>
      <c r="H18" s="479" t="s">
        <v>4256</v>
      </c>
      <c r="I18" s="32"/>
      <c r="J18" s="32"/>
      <c r="K18" s="32"/>
      <c r="L18" s="32"/>
      <c r="M18" s="32"/>
      <c r="N18" s="316" t="s">
        <v>3884</v>
      </c>
    </row>
    <row r="19" spans="1:14" s="373" customFormat="1" ht="18.75" x14ac:dyDescent="0.2">
      <c r="A19" s="17">
        <f t="shared" si="0"/>
        <v>14</v>
      </c>
      <c r="B19" s="55" t="s">
        <v>3678</v>
      </c>
      <c r="C19" s="13" t="s">
        <v>3683</v>
      </c>
      <c r="D19" s="13" t="s">
        <v>3684</v>
      </c>
      <c r="E19" s="53" t="s">
        <v>1731</v>
      </c>
      <c r="F19" s="31">
        <v>28000</v>
      </c>
      <c r="G19" s="285" t="s">
        <v>2378</v>
      </c>
      <c r="H19" s="479" t="s">
        <v>4256</v>
      </c>
      <c r="I19" s="32"/>
      <c r="J19" s="32"/>
      <c r="K19" s="32"/>
      <c r="L19" s="32"/>
      <c r="M19" s="32"/>
      <c r="N19" s="316" t="s">
        <v>3835</v>
      </c>
    </row>
    <row r="20" spans="1:14" s="373" customFormat="1" ht="18.75" x14ac:dyDescent="0.2">
      <c r="A20" s="17">
        <f t="shared" si="0"/>
        <v>15</v>
      </c>
      <c r="B20" s="55" t="s">
        <v>3678</v>
      </c>
      <c r="C20" s="13" t="s">
        <v>3685</v>
      </c>
      <c r="D20" s="13" t="s">
        <v>3686</v>
      </c>
      <c r="E20" s="53" t="s">
        <v>1731</v>
      </c>
      <c r="F20" s="31">
        <v>28000</v>
      </c>
      <c r="G20" s="285" t="s">
        <v>2378</v>
      </c>
      <c r="H20" s="479" t="s">
        <v>4256</v>
      </c>
      <c r="I20" s="32"/>
      <c r="J20" s="32"/>
      <c r="K20" s="32"/>
      <c r="L20" s="32"/>
      <c r="M20" s="32"/>
      <c r="N20" s="316" t="s">
        <v>3850</v>
      </c>
    </row>
    <row r="21" spans="1:14" s="373" customFormat="1" ht="18.75" x14ac:dyDescent="0.2">
      <c r="A21" s="17">
        <f t="shared" si="0"/>
        <v>16</v>
      </c>
      <c r="B21" s="55" t="s">
        <v>3678</v>
      </c>
      <c r="C21" s="13" t="s">
        <v>3687</v>
      </c>
      <c r="D21" s="13" t="s">
        <v>3688</v>
      </c>
      <c r="E21" s="53" t="s">
        <v>1731</v>
      </c>
      <c r="F21" s="31">
        <v>28000</v>
      </c>
      <c r="G21" s="285" t="s">
        <v>2378</v>
      </c>
      <c r="H21" s="479" t="s">
        <v>4256</v>
      </c>
      <c r="I21" s="32"/>
      <c r="J21" s="32"/>
      <c r="K21" s="32"/>
      <c r="L21" s="32"/>
      <c r="M21" s="32"/>
      <c r="N21" s="316" t="s">
        <v>3885</v>
      </c>
    </row>
    <row r="22" spans="1:14" s="373" customFormat="1" ht="18.75" x14ac:dyDescent="0.2">
      <c r="A22" s="17">
        <f t="shared" si="0"/>
        <v>17</v>
      </c>
      <c r="B22" s="55" t="s">
        <v>3678</v>
      </c>
      <c r="C22" s="13" t="s">
        <v>3689</v>
      </c>
      <c r="D22" s="13" t="s">
        <v>3690</v>
      </c>
      <c r="E22" s="53" t="s">
        <v>1731</v>
      </c>
      <c r="F22" s="31">
        <v>28000</v>
      </c>
      <c r="G22" s="285" t="s">
        <v>2378</v>
      </c>
      <c r="H22" s="479" t="s">
        <v>4256</v>
      </c>
      <c r="I22" s="32"/>
      <c r="J22" s="32"/>
      <c r="K22" s="32"/>
      <c r="L22" s="32"/>
      <c r="M22" s="32"/>
      <c r="N22" s="316" t="s">
        <v>3886</v>
      </c>
    </row>
    <row r="23" spans="1:14" s="373" customFormat="1" ht="18.75" x14ac:dyDescent="0.2">
      <c r="A23" s="17">
        <f t="shared" si="0"/>
        <v>18</v>
      </c>
      <c r="B23" s="55" t="s">
        <v>3678</v>
      </c>
      <c r="C23" s="13" t="s">
        <v>3691</v>
      </c>
      <c r="D23" s="13" t="s">
        <v>3692</v>
      </c>
      <c r="E23" s="53" t="s">
        <v>1731</v>
      </c>
      <c r="F23" s="31">
        <v>28000</v>
      </c>
      <c r="G23" s="285" t="s">
        <v>2378</v>
      </c>
      <c r="H23" s="479" t="s">
        <v>4256</v>
      </c>
      <c r="I23" s="32"/>
      <c r="J23" s="32"/>
      <c r="K23" s="32"/>
      <c r="L23" s="32"/>
      <c r="M23" s="32"/>
      <c r="N23" s="316" t="s">
        <v>3887</v>
      </c>
    </row>
    <row r="24" spans="1:14" s="373" customFormat="1" ht="18.75" x14ac:dyDescent="0.2">
      <c r="A24" s="17">
        <f t="shared" si="0"/>
        <v>19</v>
      </c>
      <c r="B24" s="55" t="s">
        <v>3678</v>
      </c>
      <c r="C24" s="13" t="s">
        <v>3693</v>
      </c>
      <c r="D24" s="13" t="s">
        <v>3694</v>
      </c>
      <c r="E24" s="53" t="s">
        <v>1731</v>
      </c>
      <c r="F24" s="31">
        <v>28000</v>
      </c>
      <c r="G24" s="285" t="s">
        <v>2378</v>
      </c>
      <c r="H24" s="479" t="s">
        <v>4256</v>
      </c>
      <c r="I24" s="32"/>
      <c r="J24" s="32"/>
      <c r="K24" s="32"/>
      <c r="L24" s="32"/>
      <c r="M24" s="32"/>
      <c r="N24" s="316" t="s">
        <v>3888</v>
      </c>
    </row>
    <row r="25" spans="1:14" s="373" customFormat="1" ht="18.75" x14ac:dyDescent="0.2">
      <c r="A25" s="17">
        <f t="shared" si="0"/>
        <v>20</v>
      </c>
      <c r="B25" s="55" t="s">
        <v>3678</v>
      </c>
      <c r="C25" s="13" t="s">
        <v>3695</v>
      </c>
      <c r="D25" s="13" t="s">
        <v>3696</v>
      </c>
      <c r="E25" s="53" t="s">
        <v>1731</v>
      </c>
      <c r="F25" s="31">
        <v>28000</v>
      </c>
      <c r="G25" s="285" t="s">
        <v>2378</v>
      </c>
      <c r="H25" s="479" t="s">
        <v>4256</v>
      </c>
      <c r="I25" s="32"/>
      <c r="J25" s="32"/>
      <c r="K25" s="32"/>
      <c r="L25" s="32"/>
      <c r="M25" s="32"/>
      <c r="N25" s="316" t="s">
        <v>3885</v>
      </c>
    </row>
    <row r="26" spans="1:14" s="373" customFormat="1" ht="18.75" x14ac:dyDescent="0.2">
      <c r="A26" s="17">
        <f t="shared" si="0"/>
        <v>21</v>
      </c>
      <c r="B26" s="55" t="s">
        <v>3678</v>
      </c>
      <c r="C26" s="13" t="s">
        <v>3697</v>
      </c>
      <c r="D26" s="13" t="s">
        <v>3698</v>
      </c>
      <c r="E26" s="53" t="s">
        <v>1731</v>
      </c>
      <c r="F26" s="31">
        <v>28000</v>
      </c>
      <c r="G26" s="285" t="s">
        <v>2378</v>
      </c>
      <c r="H26" s="479" t="s">
        <v>4256</v>
      </c>
      <c r="I26" s="32"/>
      <c r="J26" s="32"/>
      <c r="K26" s="32"/>
      <c r="L26" s="32"/>
      <c r="M26" s="32"/>
      <c r="N26" s="316" t="s">
        <v>3861</v>
      </c>
    </row>
    <row r="27" spans="1:14" s="373" customFormat="1" ht="18.75" x14ac:dyDescent="0.2">
      <c r="A27" s="17">
        <f t="shared" si="0"/>
        <v>22</v>
      </c>
      <c r="B27" s="55" t="s">
        <v>3678</v>
      </c>
      <c r="C27" s="13" t="s">
        <v>3699</v>
      </c>
      <c r="D27" s="13" t="s">
        <v>3700</v>
      </c>
      <c r="E27" s="53" t="s">
        <v>1731</v>
      </c>
      <c r="F27" s="31">
        <v>28000</v>
      </c>
      <c r="G27" s="285" t="s">
        <v>2378</v>
      </c>
      <c r="H27" s="479" t="s">
        <v>4256</v>
      </c>
      <c r="I27" s="32"/>
      <c r="J27" s="32"/>
      <c r="K27" s="32"/>
      <c r="L27" s="32"/>
      <c r="M27" s="32"/>
      <c r="N27" s="316" t="s">
        <v>3861</v>
      </c>
    </row>
    <row r="28" spans="1:14" s="373" customFormat="1" ht="18.75" x14ac:dyDescent="0.2">
      <c r="A28" s="17">
        <f t="shared" si="0"/>
        <v>23</v>
      </c>
      <c r="B28" s="55" t="s">
        <v>3678</v>
      </c>
      <c r="C28" s="13" t="s">
        <v>3701</v>
      </c>
      <c r="D28" s="13" t="s">
        <v>3702</v>
      </c>
      <c r="E28" s="53" t="s">
        <v>1731</v>
      </c>
      <c r="F28" s="31">
        <v>28000</v>
      </c>
      <c r="G28" s="285" t="s">
        <v>2378</v>
      </c>
      <c r="H28" s="479" t="s">
        <v>4256</v>
      </c>
      <c r="I28" s="32"/>
      <c r="J28" s="32"/>
      <c r="K28" s="32"/>
      <c r="L28" s="32"/>
      <c r="M28" s="32"/>
      <c r="N28" s="316" t="s">
        <v>3832</v>
      </c>
    </row>
    <row r="29" spans="1:14" s="373" customFormat="1" ht="18.75" x14ac:dyDescent="0.2">
      <c r="A29" s="17">
        <f t="shared" si="0"/>
        <v>24</v>
      </c>
      <c r="B29" s="55" t="s">
        <v>3678</v>
      </c>
      <c r="C29" s="13" t="s">
        <v>3703</v>
      </c>
      <c r="D29" s="13" t="s">
        <v>3704</v>
      </c>
      <c r="E29" s="53" t="s">
        <v>1731</v>
      </c>
      <c r="F29" s="31">
        <v>28000</v>
      </c>
      <c r="G29" s="285" t="s">
        <v>2378</v>
      </c>
      <c r="H29" s="479" t="s">
        <v>4256</v>
      </c>
      <c r="I29" s="32"/>
      <c r="J29" s="32"/>
      <c r="K29" s="32"/>
      <c r="L29" s="32"/>
      <c r="M29" s="32"/>
      <c r="N29" s="316" t="s">
        <v>3889</v>
      </c>
    </row>
    <row r="30" spans="1:14" s="373" customFormat="1" ht="18.75" x14ac:dyDescent="0.2">
      <c r="A30" s="17">
        <f t="shared" si="0"/>
        <v>25</v>
      </c>
      <c r="B30" s="55" t="s">
        <v>3678</v>
      </c>
      <c r="C30" s="13" t="s">
        <v>3705</v>
      </c>
      <c r="D30" s="13" t="s">
        <v>3706</v>
      </c>
      <c r="E30" s="53" t="s">
        <v>1731</v>
      </c>
      <c r="F30" s="31">
        <v>28000</v>
      </c>
      <c r="G30" s="285" t="s">
        <v>2378</v>
      </c>
      <c r="H30" s="479" t="s">
        <v>4256</v>
      </c>
      <c r="I30" s="32"/>
      <c r="J30" s="32"/>
      <c r="K30" s="32"/>
      <c r="L30" s="32"/>
      <c r="M30" s="32"/>
      <c r="N30" s="316" t="s">
        <v>3889</v>
      </c>
    </row>
    <row r="31" spans="1:14" s="373" customFormat="1" ht="18.75" x14ac:dyDescent="0.2">
      <c r="A31" s="17">
        <f t="shared" si="0"/>
        <v>26</v>
      </c>
      <c r="B31" s="55" t="s">
        <v>3678</v>
      </c>
      <c r="C31" s="13" t="s">
        <v>3707</v>
      </c>
      <c r="D31" s="13" t="s">
        <v>3708</v>
      </c>
      <c r="E31" s="53" t="s">
        <v>1731</v>
      </c>
      <c r="F31" s="31">
        <v>28000</v>
      </c>
      <c r="G31" s="285" t="s">
        <v>2378</v>
      </c>
      <c r="H31" s="479" t="s">
        <v>4256</v>
      </c>
      <c r="I31" s="32"/>
      <c r="J31" s="32"/>
      <c r="K31" s="32"/>
      <c r="L31" s="32"/>
      <c r="M31" s="32"/>
      <c r="N31" s="316" t="s">
        <v>3890</v>
      </c>
    </row>
    <row r="32" spans="1:14" s="373" customFormat="1" ht="18.75" x14ac:dyDescent="0.2">
      <c r="A32" s="17">
        <f t="shared" si="0"/>
        <v>27</v>
      </c>
      <c r="B32" s="55" t="s">
        <v>3678</v>
      </c>
      <c r="C32" s="13" t="s">
        <v>3709</v>
      </c>
      <c r="D32" s="13" t="s">
        <v>3710</v>
      </c>
      <c r="E32" s="53" t="s">
        <v>1731</v>
      </c>
      <c r="F32" s="31">
        <v>28000</v>
      </c>
      <c r="G32" s="285" t="s">
        <v>2378</v>
      </c>
      <c r="H32" s="479" t="s">
        <v>4256</v>
      </c>
      <c r="I32" s="32"/>
      <c r="J32" s="32"/>
      <c r="K32" s="32"/>
      <c r="L32" s="32"/>
      <c r="M32" s="32"/>
      <c r="N32" s="316" t="s">
        <v>3831</v>
      </c>
    </row>
    <row r="33" spans="1:16" s="373" customFormat="1" ht="18.75" x14ac:dyDescent="0.2">
      <c r="A33" s="17">
        <f t="shared" si="0"/>
        <v>28</v>
      </c>
      <c r="B33" s="55" t="s">
        <v>3678</v>
      </c>
      <c r="C33" s="13" t="s">
        <v>3711</v>
      </c>
      <c r="D33" s="13" t="s">
        <v>3712</v>
      </c>
      <c r="E33" s="53" t="s">
        <v>1731</v>
      </c>
      <c r="F33" s="31">
        <v>28000</v>
      </c>
      <c r="G33" s="285" t="s">
        <v>2378</v>
      </c>
      <c r="H33" s="479" t="s">
        <v>4256</v>
      </c>
      <c r="I33" s="32"/>
      <c r="J33" s="32"/>
      <c r="K33" s="32"/>
      <c r="L33" s="32"/>
      <c r="M33" s="32"/>
      <c r="N33" s="316" t="s">
        <v>3831</v>
      </c>
    </row>
    <row r="34" spans="1:16" s="373" customFormat="1" ht="18.75" x14ac:dyDescent="0.2">
      <c r="A34" s="17">
        <f t="shared" si="0"/>
        <v>29</v>
      </c>
      <c r="B34" s="55" t="s">
        <v>3678</v>
      </c>
      <c r="C34" s="13" t="s">
        <v>3713</v>
      </c>
      <c r="D34" s="13" t="s">
        <v>3714</v>
      </c>
      <c r="E34" s="53" t="s">
        <v>1731</v>
      </c>
      <c r="F34" s="31">
        <v>28000</v>
      </c>
      <c r="G34" s="285" t="s">
        <v>2378</v>
      </c>
      <c r="H34" s="479" t="s">
        <v>4256</v>
      </c>
      <c r="I34" s="32"/>
      <c r="J34" s="32"/>
      <c r="K34" s="32"/>
      <c r="L34" s="32"/>
      <c r="M34" s="32"/>
      <c r="N34" s="316" t="s">
        <v>3889</v>
      </c>
    </row>
    <row r="35" spans="1:16" s="373" customFormat="1" ht="18.75" x14ac:dyDescent="0.2">
      <c r="A35" s="17">
        <f t="shared" si="0"/>
        <v>30</v>
      </c>
      <c r="B35" s="55" t="s">
        <v>3715</v>
      </c>
      <c r="C35" s="13" t="s">
        <v>3716</v>
      </c>
      <c r="D35" s="13" t="s">
        <v>3717</v>
      </c>
      <c r="E35" s="53" t="s">
        <v>1731</v>
      </c>
      <c r="F35" s="31">
        <v>51000</v>
      </c>
      <c r="G35" s="285" t="s">
        <v>2378</v>
      </c>
      <c r="H35" s="479" t="s">
        <v>4256</v>
      </c>
      <c r="I35" s="32"/>
      <c r="J35" s="32"/>
      <c r="K35" s="32"/>
      <c r="L35" s="32"/>
      <c r="M35" s="32"/>
      <c r="N35" s="316" t="s">
        <v>3855</v>
      </c>
    </row>
    <row r="36" spans="1:16" s="373" customFormat="1" ht="18.75" x14ac:dyDescent="0.2">
      <c r="A36" s="17">
        <f t="shared" si="0"/>
        <v>31</v>
      </c>
      <c r="B36" s="55" t="s">
        <v>3715</v>
      </c>
      <c r="C36" s="13" t="s">
        <v>3718</v>
      </c>
      <c r="D36" s="13" t="s">
        <v>3719</v>
      </c>
      <c r="E36" s="53" t="s">
        <v>1731</v>
      </c>
      <c r="F36" s="31">
        <v>51000</v>
      </c>
      <c r="G36" s="285" t="s">
        <v>2378</v>
      </c>
      <c r="H36" s="479" t="s">
        <v>4256</v>
      </c>
      <c r="I36" s="32"/>
      <c r="J36" s="32"/>
      <c r="K36" s="32"/>
      <c r="L36" s="32"/>
      <c r="M36" s="32"/>
      <c r="N36" s="316" t="s">
        <v>3855</v>
      </c>
    </row>
    <row r="37" spans="1:16" s="373" customFormat="1" ht="18.75" x14ac:dyDescent="0.2">
      <c r="A37" s="17">
        <f t="shared" si="0"/>
        <v>32</v>
      </c>
      <c r="B37" s="55" t="s">
        <v>3720</v>
      </c>
      <c r="C37" s="13" t="s">
        <v>3721</v>
      </c>
      <c r="D37" s="13" t="s">
        <v>3722</v>
      </c>
      <c r="E37" s="53" t="s">
        <v>1731</v>
      </c>
      <c r="F37" s="31">
        <v>49500</v>
      </c>
      <c r="G37" s="285" t="s">
        <v>2378</v>
      </c>
      <c r="H37" s="479" t="s">
        <v>4256</v>
      </c>
      <c r="I37" s="32"/>
      <c r="J37" s="32"/>
      <c r="K37" s="32"/>
      <c r="L37" s="32"/>
      <c r="M37" s="32"/>
      <c r="N37" s="316" t="s">
        <v>3834</v>
      </c>
    </row>
    <row r="38" spans="1:16" s="373" customFormat="1" ht="18.75" x14ac:dyDescent="0.2">
      <c r="A38" s="17">
        <f t="shared" si="0"/>
        <v>33</v>
      </c>
      <c r="B38" s="55" t="s">
        <v>3720</v>
      </c>
      <c r="C38" s="13" t="s">
        <v>3723</v>
      </c>
      <c r="D38" s="13" t="s">
        <v>3724</v>
      </c>
      <c r="E38" s="53" t="s">
        <v>1731</v>
      </c>
      <c r="F38" s="31">
        <v>49500</v>
      </c>
      <c r="G38" s="285" t="s">
        <v>2378</v>
      </c>
      <c r="H38" s="479" t="s">
        <v>4256</v>
      </c>
      <c r="I38" s="32"/>
      <c r="J38" s="32"/>
      <c r="K38" s="32"/>
      <c r="L38" s="32"/>
      <c r="M38" s="32"/>
      <c r="N38" s="316" t="s">
        <v>3842</v>
      </c>
    </row>
    <row r="39" spans="1:16" s="373" customFormat="1" ht="18.75" x14ac:dyDescent="0.2">
      <c r="A39" s="17">
        <f t="shared" si="0"/>
        <v>34</v>
      </c>
      <c r="B39" s="55" t="s">
        <v>3720</v>
      </c>
      <c r="C39" s="13" t="s">
        <v>3725</v>
      </c>
      <c r="D39" s="13" t="s">
        <v>3726</v>
      </c>
      <c r="E39" s="53" t="s">
        <v>1731</v>
      </c>
      <c r="F39" s="31">
        <v>49500</v>
      </c>
      <c r="G39" s="285" t="s">
        <v>2378</v>
      </c>
      <c r="H39" s="479" t="s">
        <v>4256</v>
      </c>
      <c r="I39" s="32"/>
      <c r="J39" s="32"/>
      <c r="K39" s="32"/>
      <c r="L39" s="32"/>
      <c r="M39" s="32"/>
      <c r="N39" s="316" t="s">
        <v>3855</v>
      </c>
    </row>
    <row r="40" spans="1:16" s="334" customFormat="1" ht="21.75" customHeight="1" x14ac:dyDescent="0.25">
      <c r="A40" s="17">
        <f t="shared" si="0"/>
        <v>35</v>
      </c>
      <c r="B40" s="55" t="s">
        <v>4012</v>
      </c>
      <c r="C40" s="13" t="s">
        <v>4013</v>
      </c>
      <c r="D40" s="13" t="s">
        <v>4014</v>
      </c>
      <c r="E40" s="220" t="s">
        <v>3991</v>
      </c>
      <c r="F40" s="221">
        <v>20000</v>
      </c>
      <c r="G40" s="723" t="s">
        <v>3892</v>
      </c>
      <c r="H40" s="13"/>
      <c r="I40" s="13"/>
      <c r="J40" s="32" t="s">
        <v>4256</v>
      </c>
      <c r="K40" s="82"/>
      <c r="L40" s="222"/>
      <c r="M40" s="223"/>
      <c r="N40" s="65"/>
      <c r="O40" s="758">
        <f>SUM(F40:F42)</f>
        <v>53910</v>
      </c>
    </row>
    <row r="41" spans="1:16" s="335" customFormat="1" ht="18.75" x14ac:dyDescent="0.3">
      <c r="A41" s="17">
        <f t="shared" si="0"/>
        <v>36</v>
      </c>
      <c r="B41" s="299" t="s">
        <v>4015</v>
      </c>
      <c r="C41" s="300" t="s">
        <v>4016</v>
      </c>
      <c r="D41" s="300" t="s">
        <v>4017</v>
      </c>
      <c r="E41" s="301" t="s">
        <v>3991</v>
      </c>
      <c r="F41" s="302">
        <v>20000</v>
      </c>
      <c r="G41" s="732" t="s">
        <v>3892</v>
      </c>
      <c r="H41" s="300"/>
      <c r="I41" s="300"/>
      <c r="J41" s="32" t="s">
        <v>4256</v>
      </c>
      <c r="K41" s="303"/>
      <c r="L41" s="304"/>
      <c r="M41" s="305"/>
      <c r="N41" s="306"/>
      <c r="P41" s="335" t="s">
        <v>4018</v>
      </c>
    </row>
    <row r="42" spans="1:16" s="401" customFormat="1" ht="37.5" x14ac:dyDescent="0.2">
      <c r="A42" s="58">
        <f t="shared" si="0"/>
        <v>37</v>
      </c>
      <c r="B42" s="392" t="s">
        <v>4162</v>
      </c>
      <c r="C42" s="393" t="s">
        <v>4168</v>
      </c>
      <c r="D42" s="393" t="s">
        <v>3812</v>
      </c>
      <c r="E42" s="50">
        <v>24676</v>
      </c>
      <c r="F42" s="377">
        <v>13910</v>
      </c>
      <c r="G42" s="285" t="s">
        <v>21</v>
      </c>
      <c r="H42" s="32" t="s">
        <v>4256</v>
      </c>
      <c r="I42" s="32"/>
      <c r="J42" s="32"/>
      <c r="K42" s="32"/>
      <c r="L42" s="32"/>
      <c r="M42" s="32"/>
      <c r="N42" s="820" t="s">
        <v>5013</v>
      </c>
      <c r="O42" s="401" t="s">
        <v>4360</v>
      </c>
    </row>
    <row r="43" spans="1:16" s="372" customFormat="1" ht="21" x14ac:dyDescent="0.35">
      <c r="A43" s="17">
        <f t="shared" si="0"/>
        <v>38</v>
      </c>
      <c r="B43" s="307" t="s">
        <v>1123</v>
      </c>
      <c r="C43" s="308" t="s">
        <v>1124</v>
      </c>
      <c r="D43" s="308" t="s">
        <v>1125</v>
      </c>
      <c r="E43" s="317" t="s">
        <v>1126</v>
      </c>
      <c r="F43" s="310">
        <v>1999.83</v>
      </c>
      <c r="G43" s="381" t="s">
        <v>949</v>
      </c>
      <c r="H43" s="371" t="s">
        <v>4256</v>
      </c>
      <c r="I43" s="311"/>
      <c r="J43" s="312"/>
      <c r="K43" s="312"/>
      <c r="L43" s="313"/>
      <c r="M43" s="314"/>
      <c r="N43" s="315"/>
      <c r="O43" s="745">
        <f>SUM(F43:F58)</f>
        <v>63107.58</v>
      </c>
    </row>
    <row r="44" spans="1:16" s="372" customFormat="1" ht="21" x14ac:dyDescent="0.35">
      <c r="A44" s="17">
        <f t="shared" si="0"/>
        <v>39</v>
      </c>
      <c r="B44" s="307" t="s">
        <v>1123</v>
      </c>
      <c r="C44" s="308" t="s">
        <v>1127</v>
      </c>
      <c r="D44" s="308" t="s">
        <v>1128</v>
      </c>
      <c r="E44" s="317" t="s">
        <v>1126</v>
      </c>
      <c r="F44" s="310">
        <v>1999.83</v>
      </c>
      <c r="G44" s="381" t="s">
        <v>949</v>
      </c>
      <c r="H44" s="371" t="s">
        <v>4256</v>
      </c>
      <c r="I44" s="311"/>
      <c r="J44" s="312"/>
      <c r="K44" s="312"/>
      <c r="L44" s="313"/>
      <c r="M44" s="314"/>
      <c r="N44" s="315"/>
    </row>
    <row r="45" spans="1:16" s="372" customFormat="1" ht="21" x14ac:dyDescent="0.35">
      <c r="A45" s="17">
        <f t="shared" si="0"/>
        <v>40</v>
      </c>
      <c r="B45" s="307" t="s">
        <v>1129</v>
      </c>
      <c r="C45" s="308" t="s">
        <v>1130</v>
      </c>
      <c r="D45" s="308" t="s">
        <v>1131</v>
      </c>
      <c r="E45" s="317" t="s">
        <v>1126</v>
      </c>
      <c r="F45" s="310">
        <v>800.36</v>
      </c>
      <c r="G45" s="381" t="s">
        <v>949</v>
      </c>
      <c r="H45" s="371" t="s">
        <v>4256</v>
      </c>
      <c r="I45" s="311"/>
      <c r="J45" s="312"/>
      <c r="K45" s="312"/>
      <c r="L45" s="313"/>
      <c r="M45" s="314"/>
      <c r="N45" s="315"/>
    </row>
    <row r="46" spans="1:16" s="372" customFormat="1" ht="21" x14ac:dyDescent="0.35">
      <c r="A46" s="17">
        <f t="shared" si="0"/>
        <v>41</v>
      </c>
      <c r="B46" s="307" t="s">
        <v>1129</v>
      </c>
      <c r="C46" s="308" t="s">
        <v>1132</v>
      </c>
      <c r="D46" s="308" t="s">
        <v>1133</v>
      </c>
      <c r="E46" s="317" t="s">
        <v>1126</v>
      </c>
      <c r="F46" s="310">
        <v>800.36</v>
      </c>
      <c r="G46" s="381" t="s">
        <v>949</v>
      </c>
      <c r="H46" s="371" t="s">
        <v>4256</v>
      </c>
      <c r="I46" s="311"/>
      <c r="J46" s="312"/>
      <c r="K46" s="312"/>
      <c r="L46" s="313"/>
      <c r="M46" s="314"/>
      <c r="N46" s="315"/>
    </row>
    <row r="47" spans="1:16" s="373" customFormat="1" ht="18.75" x14ac:dyDescent="0.2">
      <c r="A47" s="17">
        <f t="shared" si="0"/>
        <v>42</v>
      </c>
      <c r="B47" s="52" t="s">
        <v>2584</v>
      </c>
      <c r="C47" s="32" t="s">
        <v>2585</v>
      </c>
      <c r="D47" s="32" t="s">
        <v>2586</v>
      </c>
      <c r="E47" s="53" t="s">
        <v>2587</v>
      </c>
      <c r="F47" s="31">
        <v>3745</v>
      </c>
      <c r="G47" s="316" t="s">
        <v>2383</v>
      </c>
      <c r="H47" s="371" t="s">
        <v>4256</v>
      </c>
      <c r="I47" s="32"/>
      <c r="J47" s="32"/>
      <c r="K47" s="225"/>
      <c r="L47" s="226"/>
      <c r="M47" s="234"/>
      <c r="N47" s="285" t="s">
        <v>3832</v>
      </c>
    </row>
    <row r="48" spans="1:16" s="373" customFormat="1" ht="18.75" x14ac:dyDescent="0.2">
      <c r="A48" s="17">
        <f t="shared" si="0"/>
        <v>43</v>
      </c>
      <c r="B48" s="52" t="s">
        <v>2588</v>
      </c>
      <c r="C48" s="32" t="s">
        <v>2589</v>
      </c>
      <c r="D48" s="32" t="s">
        <v>2590</v>
      </c>
      <c r="E48" s="53" t="s">
        <v>2587</v>
      </c>
      <c r="F48" s="31">
        <v>963</v>
      </c>
      <c r="G48" s="316" t="s">
        <v>2383</v>
      </c>
      <c r="H48" s="371" t="s">
        <v>4256</v>
      </c>
      <c r="I48" s="32"/>
      <c r="J48" s="32"/>
      <c r="K48" s="225"/>
      <c r="L48" s="226"/>
      <c r="M48" s="234"/>
      <c r="N48" s="285" t="s">
        <v>3832</v>
      </c>
    </row>
    <row r="49" spans="1:15" s="373" customFormat="1" ht="18.75" x14ac:dyDescent="0.2">
      <c r="A49" s="17">
        <f t="shared" si="0"/>
        <v>44</v>
      </c>
      <c r="B49" s="52" t="s">
        <v>2859</v>
      </c>
      <c r="C49" s="32" t="s">
        <v>2860</v>
      </c>
      <c r="D49" s="32" t="s">
        <v>2861</v>
      </c>
      <c r="E49" s="53" t="s">
        <v>2862</v>
      </c>
      <c r="F49" s="54">
        <v>3424</v>
      </c>
      <c r="G49" s="285" t="s">
        <v>2863</v>
      </c>
      <c r="H49" s="371" t="s">
        <v>4256</v>
      </c>
      <c r="I49" s="32"/>
      <c r="J49" s="32"/>
      <c r="K49" s="32"/>
      <c r="L49" s="32"/>
      <c r="M49" s="32"/>
      <c r="N49" s="285" t="s">
        <v>3844</v>
      </c>
    </row>
    <row r="50" spans="1:15" s="373" customFormat="1" ht="18.75" x14ac:dyDescent="0.2">
      <c r="A50" s="17">
        <f t="shared" si="0"/>
        <v>45</v>
      </c>
      <c r="B50" s="52" t="s">
        <v>2864</v>
      </c>
      <c r="C50" s="32" t="s">
        <v>2865</v>
      </c>
      <c r="D50" s="32" t="s">
        <v>2866</v>
      </c>
      <c r="E50" s="53" t="s">
        <v>2862</v>
      </c>
      <c r="F50" s="54">
        <v>1958.1</v>
      </c>
      <c r="G50" s="285" t="s">
        <v>2863</v>
      </c>
      <c r="H50" s="371" t="s">
        <v>4256</v>
      </c>
      <c r="I50" s="32"/>
      <c r="J50" s="32"/>
      <c r="K50" s="32"/>
      <c r="L50" s="32"/>
      <c r="M50" s="32"/>
      <c r="N50" s="285" t="s">
        <v>3844</v>
      </c>
    </row>
    <row r="51" spans="1:15" s="373" customFormat="1" ht="18.75" x14ac:dyDescent="0.2">
      <c r="A51" s="17">
        <f t="shared" si="0"/>
        <v>46</v>
      </c>
      <c r="B51" s="52" t="s">
        <v>2864</v>
      </c>
      <c r="C51" s="32" t="s">
        <v>2867</v>
      </c>
      <c r="D51" s="32" t="s">
        <v>2868</v>
      </c>
      <c r="E51" s="53" t="s">
        <v>2862</v>
      </c>
      <c r="F51" s="54">
        <v>1958.1</v>
      </c>
      <c r="G51" s="285" t="s">
        <v>2863</v>
      </c>
      <c r="H51" s="371" t="s">
        <v>4256</v>
      </c>
      <c r="I51" s="32"/>
      <c r="J51" s="32"/>
      <c r="K51" s="32"/>
      <c r="L51" s="32"/>
      <c r="M51" s="32"/>
      <c r="N51" s="285" t="s">
        <v>3844</v>
      </c>
    </row>
    <row r="52" spans="1:15" s="373" customFormat="1" ht="18.75" x14ac:dyDescent="0.2">
      <c r="A52" s="17">
        <f t="shared" si="0"/>
        <v>47</v>
      </c>
      <c r="B52" s="55" t="s">
        <v>3554</v>
      </c>
      <c r="C52" s="298" t="s">
        <v>3555</v>
      </c>
      <c r="D52" s="13" t="s">
        <v>3556</v>
      </c>
      <c r="E52" s="53" t="s">
        <v>3420</v>
      </c>
      <c r="F52" s="31">
        <v>4700</v>
      </c>
      <c r="G52" s="285" t="s">
        <v>2378</v>
      </c>
      <c r="H52" s="371" t="s">
        <v>4256</v>
      </c>
      <c r="I52" s="32"/>
      <c r="J52" s="32"/>
      <c r="K52" s="32"/>
      <c r="L52" s="32"/>
      <c r="M52" s="32"/>
      <c r="N52" s="285" t="s">
        <v>3881</v>
      </c>
    </row>
    <row r="53" spans="1:15" s="373" customFormat="1" ht="18.75" x14ac:dyDescent="0.2">
      <c r="A53" s="17">
        <f t="shared" si="0"/>
        <v>48</v>
      </c>
      <c r="B53" s="55" t="s">
        <v>3554</v>
      </c>
      <c r="C53" s="298" t="s">
        <v>3557</v>
      </c>
      <c r="D53" s="13" t="s">
        <v>3558</v>
      </c>
      <c r="E53" s="53" t="s">
        <v>3420</v>
      </c>
      <c r="F53" s="31">
        <v>4700</v>
      </c>
      <c r="G53" s="285" t="s">
        <v>2378</v>
      </c>
      <c r="H53" s="371" t="s">
        <v>4256</v>
      </c>
      <c r="I53" s="32"/>
      <c r="J53" s="32"/>
      <c r="K53" s="32"/>
      <c r="L53" s="32"/>
      <c r="M53" s="32"/>
      <c r="N53" s="285" t="s">
        <v>3881</v>
      </c>
    </row>
    <row r="54" spans="1:15" s="401" customFormat="1" ht="21" x14ac:dyDescent="0.2">
      <c r="A54" s="17">
        <f t="shared" si="0"/>
        <v>49</v>
      </c>
      <c r="B54" s="423" t="s">
        <v>3818</v>
      </c>
      <c r="C54" s="393" t="s">
        <v>4186</v>
      </c>
      <c r="D54" s="393" t="s">
        <v>177</v>
      </c>
      <c r="E54" s="50">
        <v>24676</v>
      </c>
      <c r="F54" s="377">
        <v>13375</v>
      </c>
      <c r="G54" s="285" t="s">
        <v>21</v>
      </c>
      <c r="H54" s="32" t="s">
        <v>4256</v>
      </c>
      <c r="I54" s="32"/>
      <c r="J54" s="32"/>
      <c r="K54" s="32"/>
      <c r="L54" s="32"/>
      <c r="M54" s="32"/>
      <c r="N54" s="820" t="s">
        <v>5013</v>
      </c>
    </row>
    <row r="55" spans="1:15" s="401" customFormat="1" ht="21" x14ac:dyDescent="0.2">
      <c r="A55" s="17">
        <f t="shared" si="0"/>
        <v>50</v>
      </c>
      <c r="B55" s="423" t="s">
        <v>3810</v>
      </c>
      <c r="C55" s="393" t="s">
        <v>4164</v>
      </c>
      <c r="D55" s="393" t="s">
        <v>178</v>
      </c>
      <c r="E55" s="50">
        <v>24676</v>
      </c>
      <c r="F55" s="377">
        <v>5243</v>
      </c>
      <c r="G55" s="285" t="s">
        <v>21</v>
      </c>
      <c r="H55" s="32" t="s">
        <v>4256</v>
      </c>
      <c r="I55" s="32"/>
      <c r="J55" s="32"/>
      <c r="K55" s="32"/>
      <c r="L55" s="32"/>
      <c r="M55" s="32"/>
      <c r="N55" s="820" t="s">
        <v>5013</v>
      </c>
    </row>
    <row r="56" spans="1:15" s="401" customFormat="1" ht="21" x14ac:dyDescent="0.2">
      <c r="A56" s="17">
        <f t="shared" si="0"/>
        <v>51</v>
      </c>
      <c r="B56" s="423" t="s">
        <v>3810</v>
      </c>
      <c r="C56" s="393" t="s">
        <v>4165</v>
      </c>
      <c r="D56" s="393" t="s">
        <v>179</v>
      </c>
      <c r="E56" s="50">
        <v>24676</v>
      </c>
      <c r="F56" s="377">
        <v>5243</v>
      </c>
      <c r="G56" s="285" t="s">
        <v>21</v>
      </c>
      <c r="H56" s="32" t="s">
        <v>4256</v>
      </c>
      <c r="I56" s="32"/>
      <c r="J56" s="32"/>
      <c r="K56" s="32"/>
      <c r="L56" s="32"/>
      <c r="M56" s="32"/>
      <c r="N56" s="820" t="s">
        <v>5013</v>
      </c>
    </row>
    <row r="57" spans="1:15" s="401" customFormat="1" ht="21" x14ac:dyDescent="0.2">
      <c r="A57" s="17">
        <f t="shared" si="0"/>
        <v>52</v>
      </c>
      <c r="B57" s="423" t="s">
        <v>3810</v>
      </c>
      <c r="C57" s="393" t="s">
        <v>4166</v>
      </c>
      <c r="D57" s="393" t="s">
        <v>180</v>
      </c>
      <c r="E57" s="50">
        <v>24676</v>
      </c>
      <c r="F57" s="377">
        <v>5243</v>
      </c>
      <c r="G57" s="285" t="s">
        <v>21</v>
      </c>
      <c r="H57" s="32" t="s">
        <v>4256</v>
      </c>
      <c r="I57" s="32"/>
      <c r="J57" s="32"/>
      <c r="K57" s="32"/>
      <c r="L57" s="32"/>
      <c r="M57" s="32"/>
      <c r="N57" s="820" t="s">
        <v>5013</v>
      </c>
    </row>
    <row r="58" spans="1:15" s="401" customFormat="1" ht="21" x14ac:dyDescent="0.2">
      <c r="A58" s="17">
        <f t="shared" si="0"/>
        <v>53</v>
      </c>
      <c r="B58" s="423" t="s">
        <v>3811</v>
      </c>
      <c r="C58" s="393" t="s">
        <v>4167</v>
      </c>
      <c r="D58" s="393" t="s">
        <v>181</v>
      </c>
      <c r="E58" s="50">
        <v>24676</v>
      </c>
      <c r="F58" s="377">
        <v>6955</v>
      </c>
      <c r="G58" s="285" t="s">
        <v>21</v>
      </c>
      <c r="H58" s="32" t="s">
        <v>4256</v>
      </c>
      <c r="I58" s="32"/>
      <c r="J58" s="32"/>
      <c r="K58" s="32"/>
      <c r="L58" s="32"/>
      <c r="M58" s="32"/>
      <c r="N58" s="820" t="s">
        <v>5013</v>
      </c>
    </row>
    <row r="59" spans="1:15" s="336" customFormat="1" ht="18.75" x14ac:dyDescent="0.3">
      <c r="A59" s="17">
        <f t="shared" si="0"/>
        <v>54</v>
      </c>
      <c r="B59" s="299" t="s">
        <v>4004</v>
      </c>
      <c r="C59" s="300" t="s">
        <v>4005</v>
      </c>
      <c r="D59" s="300" t="s">
        <v>4006</v>
      </c>
      <c r="E59" s="301" t="s">
        <v>3991</v>
      </c>
      <c r="F59" s="302">
        <v>10000</v>
      </c>
      <c r="G59" s="732" t="s">
        <v>3892</v>
      </c>
      <c r="H59" s="300"/>
      <c r="I59" s="300"/>
      <c r="J59" s="32" t="s">
        <v>4256</v>
      </c>
      <c r="K59" s="303"/>
      <c r="L59" s="304"/>
      <c r="M59" s="305"/>
      <c r="N59" s="306"/>
      <c r="O59" s="754">
        <f>SUM(F59:F130)</f>
        <v>457861.1399999999</v>
      </c>
    </row>
    <row r="60" spans="1:15" s="336" customFormat="1" ht="18.75" x14ac:dyDescent="0.3">
      <c r="A60" s="17">
        <f t="shared" si="0"/>
        <v>55</v>
      </c>
      <c r="B60" s="299" t="s">
        <v>4004</v>
      </c>
      <c r="C60" s="300" t="s">
        <v>4007</v>
      </c>
      <c r="D60" s="300" t="s">
        <v>4008</v>
      </c>
      <c r="E60" s="301" t="s">
        <v>3991</v>
      </c>
      <c r="F60" s="302">
        <v>21000</v>
      </c>
      <c r="G60" s="732" t="s">
        <v>3892</v>
      </c>
      <c r="H60" s="300"/>
      <c r="I60" s="300"/>
      <c r="J60" s="32" t="s">
        <v>4256</v>
      </c>
      <c r="K60" s="303"/>
      <c r="L60" s="304"/>
      <c r="M60" s="305"/>
      <c r="N60" s="306"/>
    </row>
    <row r="61" spans="1:15" s="372" customFormat="1" ht="21" x14ac:dyDescent="0.35">
      <c r="A61" s="17">
        <f t="shared" si="0"/>
        <v>56</v>
      </c>
      <c r="B61" s="307" t="s">
        <v>1134</v>
      </c>
      <c r="C61" s="308" t="s">
        <v>1135</v>
      </c>
      <c r="D61" s="308" t="s">
        <v>1136</v>
      </c>
      <c r="E61" s="317" t="s">
        <v>1126</v>
      </c>
      <c r="F61" s="318">
        <v>27152.32</v>
      </c>
      <c r="G61" s="381" t="s">
        <v>264</v>
      </c>
      <c r="H61" s="371" t="s">
        <v>4256</v>
      </c>
      <c r="I61" s="311"/>
      <c r="J61" s="312"/>
      <c r="K61" s="312"/>
      <c r="L61" s="313"/>
      <c r="M61" s="314"/>
      <c r="N61" s="315"/>
    </row>
    <row r="62" spans="1:15" s="372" customFormat="1" ht="21" x14ac:dyDescent="0.35">
      <c r="A62" s="17">
        <f t="shared" si="0"/>
        <v>57</v>
      </c>
      <c r="B62" s="307" t="s">
        <v>1137</v>
      </c>
      <c r="C62" s="308" t="s">
        <v>1138</v>
      </c>
      <c r="D62" s="308" t="s">
        <v>1139</v>
      </c>
      <c r="E62" s="317" t="s">
        <v>1126</v>
      </c>
      <c r="F62" s="318">
        <v>27152.32</v>
      </c>
      <c r="G62" s="381" t="s">
        <v>264</v>
      </c>
      <c r="H62" s="371" t="s">
        <v>4256</v>
      </c>
      <c r="I62" s="311"/>
      <c r="J62" s="312"/>
      <c r="K62" s="312"/>
      <c r="L62" s="313"/>
      <c r="M62" s="314"/>
      <c r="N62" s="315"/>
    </row>
    <row r="63" spans="1:15" s="372" customFormat="1" ht="18.75" x14ac:dyDescent="0.3">
      <c r="A63" s="17">
        <f t="shared" si="0"/>
        <v>58</v>
      </c>
      <c r="B63" s="307" t="s">
        <v>1309</v>
      </c>
      <c r="C63" s="308" t="s">
        <v>1310</v>
      </c>
      <c r="D63" s="308" t="s">
        <v>1311</v>
      </c>
      <c r="E63" s="319" t="s">
        <v>1312</v>
      </c>
      <c r="F63" s="310">
        <v>3600</v>
      </c>
      <c r="G63" s="381" t="s">
        <v>825</v>
      </c>
      <c r="H63" s="320" t="s">
        <v>4256</v>
      </c>
      <c r="I63" s="321"/>
      <c r="J63" s="322"/>
      <c r="K63" s="322"/>
      <c r="L63" s="323"/>
      <c r="M63" s="324"/>
      <c r="N63" s="325"/>
    </row>
    <row r="64" spans="1:15" s="372" customFormat="1" ht="18.75" x14ac:dyDescent="0.3">
      <c r="A64" s="17">
        <f t="shared" si="0"/>
        <v>59</v>
      </c>
      <c r="B64" s="307" t="s">
        <v>1309</v>
      </c>
      <c r="C64" s="308" t="s">
        <v>1313</v>
      </c>
      <c r="D64" s="308" t="s">
        <v>1314</v>
      </c>
      <c r="E64" s="319" t="s">
        <v>1312</v>
      </c>
      <c r="F64" s="310">
        <v>3600</v>
      </c>
      <c r="G64" s="381" t="s">
        <v>825</v>
      </c>
      <c r="H64" s="320" t="s">
        <v>4256</v>
      </c>
      <c r="I64" s="321"/>
      <c r="J64" s="322"/>
      <c r="K64" s="322"/>
      <c r="L64" s="323"/>
      <c r="M64" s="324"/>
      <c r="N64" s="325"/>
    </row>
    <row r="65" spans="1:14" s="372" customFormat="1" ht="18.75" x14ac:dyDescent="0.3">
      <c r="A65" s="17">
        <f t="shared" si="0"/>
        <v>60</v>
      </c>
      <c r="B65" s="307" t="s">
        <v>1315</v>
      </c>
      <c r="C65" s="308" t="s">
        <v>1316</v>
      </c>
      <c r="D65" s="308" t="s">
        <v>1317</v>
      </c>
      <c r="E65" s="319" t="s">
        <v>1312</v>
      </c>
      <c r="F65" s="310">
        <v>1800</v>
      </c>
      <c r="G65" s="381" t="s">
        <v>825</v>
      </c>
      <c r="H65" s="320" t="s">
        <v>4256</v>
      </c>
      <c r="I65" s="321"/>
      <c r="J65" s="322"/>
      <c r="K65" s="322"/>
      <c r="L65" s="323"/>
      <c r="M65" s="324"/>
      <c r="N65" s="325"/>
    </row>
    <row r="66" spans="1:14" s="372" customFormat="1" ht="18.75" x14ac:dyDescent="0.3">
      <c r="A66" s="17">
        <f t="shared" si="0"/>
        <v>61</v>
      </c>
      <c r="B66" s="307" t="s">
        <v>1315</v>
      </c>
      <c r="C66" s="308" t="s">
        <v>1318</v>
      </c>
      <c r="D66" s="308" t="s">
        <v>1319</v>
      </c>
      <c r="E66" s="319" t="s">
        <v>1312</v>
      </c>
      <c r="F66" s="310">
        <v>1800</v>
      </c>
      <c r="G66" s="381" t="s">
        <v>825</v>
      </c>
      <c r="H66" s="320" t="s">
        <v>4256</v>
      </c>
      <c r="I66" s="321"/>
      <c r="J66" s="322"/>
      <c r="K66" s="322"/>
      <c r="L66" s="323"/>
      <c r="M66" s="324"/>
      <c r="N66" s="325"/>
    </row>
    <row r="67" spans="1:14" s="372" customFormat="1" ht="18.75" x14ac:dyDescent="0.3">
      <c r="A67" s="17">
        <f t="shared" si="0"/>
        <v>62</v>
      </c>
      <c r="B67" s="307" t="s">
        <v>1320</v>
      </c>
      <c r="C67" s="308" t="s">
        <v>1321</v>
      </c>
      <c r="D67" s="308" t="s">
        <v>1322</v>
      </c>
      <c r="E67" s="319" t="s">
        <v>1312</v>
      </c>
      <c r="F67" s="310">
        <v>3600</v>
      </c>
      <c r="G67" s="381" t="s">
        <v>825</v>
      </c>
      <c r="H67" s="326" t="s">
        <v>4256</v>
      </c>
      <c r="I67" s="321"/>
      <c r="J67" s="322"/>
      <c r="K67" s="322"/>
      <c r="L67" s="323"/>
      <c r="M67" s="324"/>
      <c r="N67" s="325"/>
    </row>
    <row r="68" spans="1:14" s="373" customFormat="1" ht="56.25" x14ac:dyDescent="0.2">
      <c r="A68" s="17">
        <f t="shared" si="0"/>
        <v>63</v>
      </c>
      <c r="B68" s="52" t="s">
        <v>2591</v>
      </c>
      <c r="C68" s="32" t="s">
        <v>2592</v>
      </c>
      <c r="D68" s="32" t="s">
        <v>2593</v>
      </c>
      <c r="E68" s="53" t="s">
        <v>2587</v>
      </c>
      <c r="F68" s="31">
        <v>4066</v>
      </c>
      <c r="G68" s="285" t="s">
        <v>2378</v>
      </c>
      <c r="H68" s="326" t="s">
        <v>4256</v>
      </c>
      <c r="I68" s="32"/>
      <c r="J68" s="32"/>
      <c r="K68" s="225"/>
      <c r="L68" s="226"/>
      <c r="M68" s="234"/>
      <c r="N68" s="285" t="s">
        <v>3832</v>
      </c>
    </row>
    <row r="69" spans="1:14" s="373" customFormat="1" ht="56.25" x14ac:dyDescent="0.2">
      <c r="A69" s="17">
        <f t="shared" si="0"/>
        <v>64</v>
      </c>
      <c r="B69" s="52" t="s">
        <v>2591</v>
      </c>
      <c r="C69" s="32" t="s">
        <v>2594</v>
      </c>
      <c r="D69" s="32" t="s">
        <v>2595</v>
      </c>
      <c r="E69" s="53" t="s">
        <v>2587</v>
      </c>
      <c r="F69" s="31">
        <v>4066</v>
      </c>
      <c r="G69" s="316" t="s">
        <v>2383</v>
      </c>
      <c r="H69" s="326" t="s">
        <v>4256</v>
      </c>
      <c r="I69" s="32"/>
      <c r="J69" s="32"/>
      <c r="K69" s="225"/>
      <c r="L69" s="226"/>
      <c r="M69" s="234"/>
      <c r="N69" s="285" t="s">
        <v>3832</v>
      </c>
    </row>
    <row r="70" spans="1:14" s="373" customFormat="1" ht="18.75" x14ac:dyDescent="0.2">
      <c r="A70" s="17">
        <f t="shared" ref="A70:A133" si="1">ROW()-ROW($A$6)+1</f>
        <v>65</v>
      </c>
      <c r="B70" s="52" t="s">
        <v>2596</v>
      </c>
      <c r="C70" s="32" t="s">
        <v>2597</v>
      </c>
      <c r="D70" s="32" t="s">
        <v>2598</v>
      </c>
      <c r="E70" s="53" t="s">
        <v>2587</v>
      </c>
      <c r="F70" s="31">
        <v>3990</v>
      </c>
      <c r="G70" s="316" t="s">
        <v>2383</v>
      </c>
      <c r="H70" s="326" t="s">
        <v>4256</v>
      </c>
      <c r="I70" s="32"/>
      <c r="J70" s="32"/>
      <c r="K70" s="225"/>
      <c r="L70" s="226"/>
      <c r="M70" s="234"/>
      <c r="N70" s="285" t="s">
        <v>3844</v>
      </c>
    </row>
    <row r="71" spans="1:14" s="373" customFormat="1" ht="18.75" x14ac:dyDescent="0.2">
      <c r="A71" s="17">
        <f t="shared" si="1"/>
        <v>66</v>
      </c>
      <c r="B71" s="52" t="s">
        <v>2596</v>
      </c>
      <c r="C71" s="32" t="s">
        <v>2599</v>
      </c>
      <c r="D71" s="32" t="s">
        <v>2600</v>
      </c>
      <c r="E71" s="53" t="s">
        <v>2587</v>
      </c>
      <c r="F71" s="31">
        <v>3990</v>
      </c>
      <c r="G71" s="316" t="s">
        <v>2383</v>
      </c>
      <c r="H71" s="326" t="s">
        <v>4256</v>
      </c>
      <c r="I71" s="32"/>
      <c r="J71" s="32"/>
      <c r="K71" s="225"/>
      <c r="L71" s="226"/>
      <c r="M71" s="234"/>
      <c r="N71" s="285" t="s">
        <v>3845</v>
      </c>
    </row>
    <row r="72" spans="1:14" s="373" customFormat="1" ht="18.75" x14ac:dyDescent="0.2">
      <c r="A72" s="17">
        <f t="shared" si="1"/>
        <v>67</v>
      </c>
      <c r="B72" s="52" t="s">
        <v>2596</v>
      </c>
      <c r="C72" s="32" t="s">
        <v>2601</v>
      </c>
      <c r="D72" s="32" t="s">
        <v>2602</v>
      </c>
      <c r="E72" s="53" t="s">
        <v>2587</v>
      </c>
      <c r="F72" s="31">
        <v>3990</v>
      </c>
      <c r="G72" s="316" t="s">
        <v>2383</v>
      </c>
      <c r="H72" s="326" t="s">
        <v>4256</v>
      </c>
      <c r="I72" s="32"/>
      <c r="J72" s="32"/>
      <c r="K72" s="225"/>
      <c r="L72" s="226"/>
      <c r="M72" s="234"/>
      <c r="N72" s="285" t="s">
        <v>3832</v>
      </c>
    </row>
    <row r="73" spans="1:14" s="373" customFormat="1" ht="18.75" x14ac:dyDescent="0.2">
      <c r="A73" s="17">
        <f t="shared" si="1"/>
        <v>68</v>
      </c>
      <c r="B73" s="52" t="s">
        <v>2596</v>
      </c>
      <c r="C73" s="32" t="s">
        <v>2603</v>
      </c>
      <c r="D73" s="32" t="s">
        <v>2604</v>
      </c>
      <c r="E73" s="53" t="s">
        <v>2587</v>
      </c>
      <c r="F73" s="31">
        <v>3990</v>
      </c>
      <c r="G73" s="316" t="s">
        <v>2383</v>
      </c>
      <c r="H73" s="326" t="s">
        <v>4256</v>
      </c>
      <c r="I73" s="32"/>
      <c r="J73" s="32"/>
      <c r="K73" s="225"/>
      <c r="L73" s="226"/>
      <c r="M73" s="234"/>
      <c r="N73" s="285" t="s">
        <v>3846</v>
      </c>
    </row>
    <row r="74" spans="1:14" s="373" customFormat="1" ht="18.75" x14ac:dyDescent="0.2">
      <c r="A74" s="17">
        <f t="shared" si="1"/>
        <v>69</v>
      </c>
      <c r="B74" s="52" t="s">
        <v>2596</v>
      </c>
      <c r="C74" s="32" t="s">
        <v>2605</v>
      </c>
      <c r="D74" s="32" t="s">
        <v>2606</v>
      </c>
      <c r="E74" s="53" t="s">
        <v>2587</v>
      </c>
      <c r="F74" s="31">
        <v>3990</v>
      </c>
      <c r="G74" s="316" t="s">
        <v>2383</v>
      </c>
      <c r="H74" s="326" t="s">
        <v>4256</v>
      </c>
      <c r="I74" s="32"/>
      <c r="J74" s="32"/>
      <c r="K74" s="225"/>
      <c r="L74" s="226"/>
      <c r="M74" s="234"/>
      <c r="N74" s="285" t="s">
        <v>3847</v>
      </c>
    </row>
    <row r="75" spans="1:14" s="373" customFormat="1" ht="18.75" x14ac:dyDescent="0.2">
      <c r="A75" s="17">
        <f t="shared" si="1"/>
        <v>70</v>
      </c>
      <c r="B75" s="52" t="s">
        <v>2596</v>
      </c>
      <c r="C75" s="32" t="s">
        <v>2607</v>
      </c>
      <c r="D75" s="32" t="s">
        <v>2608</v>
      </c>
      <c r="E75" s="53" t="s">
        <v>2587</v>
      </c>
      <c r="F75" s="31">
        <v>3990</v>
      </c>
      <c r="G75" s="316" t="s">
        <v>2383</v>
      </c>
      <c r="H75" s="326" t="s">
        <v>4256</v>
      </c>
      <c r="I75" s="32"/>
      <c r="J75" s="32"/>
      <c r="K75" s="225"/>
      <c r="L75" s="226"/>
      <c r="M75" s="234"/>
      <c r="N75" s="285" t="s">
        <v>3848</v>
      </c>
    </row>
    <row r="76" spans="1:14" s="373" customFormat="1" ht="18.75" x14ac:dyDescent="0.2">
      <c r="A76" s="17">
        <f t="shared" si="1"/>
        <v>71</v>
      </c>
      <c r="B76" s="52" t="s">
        <v>2596</v>
      </c>
      <c r="C76" s="32" t="s">
        <v>2609</v>
      </c>
      <c r="D76" s="32" t="s">
        <v>2610</v>
      </c>
      <c r="E76" s="53" t="s">
        <v>2587</v>
      </c>
      <c r="F76" s="31">
        <v>3990</v>
      </c>
      <c r="G76" s="316" t="s">
        <v>2383</v>
      </c>
      <c r="H76" s="326" t="s">
        <v>4256</v>
      </c>
      <c r="I76" s="32"/>
      <c r="J76" s="32"/>
      <c r="K76" s="225"/>
      <c r="L76" s="226"/>
      <c r="M76" s="234"/>
      <c r="N76" s="285" t="s">
        <v>3833</v>
      </c>
    </row>
    <row r="77" spans="1:14" s="373" customFormat="1" ht="18.75" x14ac:dyDescent="0.2">
      <c r="A77" s="17">
        <f t="shared" si="1"/>
        <v>72</v>
      </c>
      <c r="B77" s="52" t="s">
        <v>2596</v>
      </c>
      <c r="C77" s="32" t="s">
        <v>2611</v>
      </c>
      <c r="D77" s="32" t="s">
        <v>2612</v>
      </c>
      <c r="E77" s="53" t="s">
        <v>2587</v>
      </c>
      <c r="F77" s="31">
        <v>3990</v>
      </c>
      <c r="G77" s="316" t="s">
        <v>2383</v>
      </c>
      <c r="H77" s="326" t="s">
        <v>4256</v>
      </c>
      <c r="I77" s="32"/>
      <c r="J77" s="32"/>
      <c r="K77" s="225"/>
      <c r="L77" s="226"/>
      <c r="M77" s="234"/>
      <c r="N77" s="285" t="s">
        <v>3849</v>
      </c>
    </row>
    <row r="78" spans="1:14" s="373" customFormat="1" ht="18.75" x14ac:dyDescent="0.2">
      <c r="A78" s="17">
        <f t="shared" si="1"/>
        <v>73</v>
      </c>
      <c r="B78" s="52" t="s">
        <v>2596</v>
      </c>
      <c r="C78" s="32" t="s">
        <v>2613</v>
      </c>
      <c r="D78" s="32" t="s">
        <v>2614</v>
      </c>
      <c r="E78" s="53" t="s">
        <v>2587</v>
      </c>
      <c r="F78" s="31">
        <v>3990</v>
      </c>
      <c r="G78" s="316" t="s">
        <v>2383</v>
      </c>
      <c r="H78" s="326" t="s">
        <v>4256</v>
      </c>
      <c r="I78" s="32"/>
      <c r="J78" s="32"/>
      <c r="K78" s="225"/>
      <c r="L78" s="226"/>
      <c r="M78" s="234"/>
      <c r="N78" s="285" t="s">
        <v>3849</v>
      </c>
    </row>
    <row r="79" spans="1:14" s="373" customFormat="1" ht="18.75" x14ac:dyDescent="0.2">
      <c r="A79" s="17">
        <f t="shared" si="1"/>
        <v>74</v>
      </c>
      <c r="B79" s="52" t="s">
        <v>2596</v>
      </c>
      <c r="C79" s="32" t="s">
        <v>2615</v>
      </c>
      <c r="D79" s="32" t="s">
        <v>2616</v>
      </c>
      <c r="E79" s="53" t="s">
        <v>2587</v>
      </c>
      <c r="F79" s="31">
        <v>3990</v>
      </c>
      <c r="G79" s="316" t="s">
        <v>2383</v>
      </c>
      <c r="H79" s="326" t="s">
        <v>4256</v>
      </c>
      <c r="I79" s="32"/>
      <c r="J79" s="32"/>
      <c r="K79" s="225"/>
      <c r="L79" s="226"/>
      <c r="M79" s="234"/>
      <c r="N79" s="285" t="s">
        <v>3849</v>
      </c>
    </row>
    <row r="80" spans="1:14" s="373" customFormat="1" ht="18.75" x14ac:dyDescent="0.2">
      <c r="A80" s="17">
        <f t="shared" si="1"/>
        <v>75</v>
      </c>
      <c r="B80" s="52" t="s">
        <v>2596</v>
      </c>
      <c r="C80" s="32" t="s">
        <v>2617</v>
      </c>
      <c r="D80" s="32" t="s">
        <v>2618</v>
      </c>
      <c r="E80" s="53" t="s">
        <v>2587</v>
      </c>
      <c r="F80" s="31">
        <v>3990</v>
      </c>
      <c r="G80" s="316" t="s">
        <v>2383</v>
      </c>
      <c r="H80" s="326" t="s">
        <v>4256</v>
      </c>
      <c r="I80" s="32"/>
      <c r="J80" s="32"/>
      <c r="K80" s="225"/>
      <c r="L80" s="226"/>
      <c r="M80" s="234"/>
      <c r="N80" s="285" t="s">
        <v>3850</v>
      </c>
    </row>
    <row r="81" spans="1:14" s="373" customFormat="1" ht="18.75" x14ac:dyDescent="0.2">
      <c r="A81" s="17">
        <f t="shared" si="1"/>
        <v>76</v>
      </c>
      <c r="B81" s="52" t="s">
        <v>2596</v>
      </c>
      <c r="C81" s="32" t="s">
        <v>2619</v>
      </c>
      <c r="D81" s="32" t="s">
        <v>2620</v>
      </c>
      <c r="E81" s="53" t="s">
        <v>2587</v>
      </c>
      <c r="F81" s="31">
        <v>3990</v>
      </c>
      <c r="G81" s="316" t="s">
        <v>2383</v>
      </c>
      <c r="H81" s="326" t="s">
        <v>4256</v>
      </c>
      <c r="I81" s="32"/>
      <c r="J81" s="32"/>
      <c r="K81" s="225"/>
      <c r="L81" s="226"/>
      <c r="M81" s="234"/>
      <c r="N81" s="285" t="s">
        <v>3851</v>
      </c>
    </row>
    <row r="82" spans="1:14" s="373" customFormat="1" ht="18.75" x14ac:dyDescent="0.2">
      <c r="A82" s="17">
        <f t="shared" si="1"/>
        <v>77</v>
      </c>
      <c r="B82" s="52" t="s">
        <v>2596</v>
      </c>
      <c r="C82" s="32" t="s">
        <v>2621</v>
      </c>
      <c r="D82" s="32" t="s">
        <v>2622</v>
      </c>
      <c r="E82" s="53" t="s">
        <v>2587</v>
      </c>
      <c r="F82" s="31">
        <v>3990</v>
      </c>
      <c r="G82" s="316" t="s">
        <v>2383</v>
      </c>
      <c r="H82" s="326" t="s">
        <v>4256</v>
      </c>
      <c r="I82" s="32"/>
      <c r="J82" s="32"/>
      <c r="K82" s="225"/>
      <c r="L82" s="226"/>
      <c r="M82" s="234"/>
      <c r="N82" s="285" t="s">
        <v>3852</v>
      </c>
    </row>
    <row r="83" spans="1:14" s="373" customFormat="1" ht="18.75" x14ac:dyDescent="0.2">
      <c r="A83" s="17">
        <f t="shared" si="1"/>
        <v>78</v>
      </c>
      <c r="B83" s="52" t="s">
        <v>2596</v>
      </c>
      <c r="C83" s="32" t="s">
        <v>2623</v>
      </c>
      <c r="D83" s="32" t="s">
        <v>2624</v>
      </c>
      <c r="E83" s="53" t="s">
        <v>2587</v>
      </c>
      <c r="F83" s="31">
        <v>3984</v>
      </c>
      <c r="G83" s="316" t="s">
        <v>2383</v>
      </c>
      <c r="H83" s="326" t="s">
        <v>4256</v>
      </c>
      <c r="I83" s="32"/>
      <c r="J83" s="32"/>
      <c r="K83" s="225"/>
      <c r="L83" s="226"/>
      <c r="M83" s="234"/>
      <c r="N83" s="285" t="s">
        <v>3853</v>
      </c>
    </row>
    <row r="84" spans="1:14" s="373" customFormat="1" ht="18.75" x14ac:dyDescent="0.2">
      <c r="A84" s="17">
        <f t="shared" si="1"/>
        <v>79</v>
      </c>
      <c r="B84" s="52" t="s">
        <v>2869</v>
      </c>
      <c r="C84" s="32" t="s">
        <v>2870</v>
      </c>
      <c r="D84" s="32" t="s">
        <v>2871</v>
      </c>
      <c r="E84" s="53" t="s">
        <v>2862</v>
      </c>
      <c r="F84" s="54">
        <v>3745</v>
      </c>
      <c r="G84" s="285" t="s">
        <v>2863</v>
      </c>
      <c r="H84" s="326" t="s">
        <v>4256</v>
      </c>
      <c r="I84" s="32"/>
      <c r="J84" s="32"/>
      <c r="K84" s="32"/>
      <c r="L84" s="32"/>
      <c r="M84" s="32"/>
      <c r="N84" s="285" t="s">
        <v>3844</v>
      </c>
    </row>
    <row r="85" spans="1:14" s="373" customFormat="1" ht="18.75" x14ac:dyDescent="0.2">
      <c r="A85" s="17">
        <f t="shared" si="1"/>
        <v>80</v>
      </c>
      <c r="B85" s="52" t="s">
        <v>2872</v>
      </c>
      <c r="C85" s="32" t="s">
        <v>2873</v>
      </c>
      <c r="D85" s="32" t="s">
        <v>2874</v>
      </c>
      <c r="E85" s="53" t="s">
        <v>2862</v>
      </c>
      <c r="F85" s="54">
        <v>3745</v>
      </c>
      <c r="G85" s="285" t="s">
        <v>2863</v>
      </c>
      <c r="H85" s="326" t="s">
        <v>4256</v>
      </c>
      <c r="I85" s="32"/>
      <c r="J85" s="32"/>
      <c r="K85" s="32"/>
      <c r="L85" s="32"/>
      <c r="M85" s="32"/>
      <c r="N85" s="285" t="s">
        <v>3844</v>
      </c>
    </row>
    <row r="86" spans="1:14" s="373" customFormat="1" ht="37.5" x14ac:dyDescent="0.2">
      <c r="A86" s="17">
        <f t="shared" si="1"/>
        <v>81</v>
      </c>
      <c r="B86" s="52" t="s">
        <v>2875</v>
      </c>
      <c r="C86" s="32" t="s">
        <v>2876</v>
      </c>
      <c r="D86" s="32" t="s">
        <v>2877</v>
      </c>
      <c r="E86" s="53" t="s">
        <v>2862</v>
      </c>
      <c r="F86" s="54">
        <v>5082.5</v>
      </c>
      <c r="G86" s="285" t="s">
        <v>2863</v>
      </c>
      <c r="H86" s="326" t="s">
        <v>4256</v>
      </c>
      <c r="I86" s="32"/>
      <c r="J86" s="32"/>
      <c r="K86" s="32"/>
      <c r="L86" s="32"/>
      <c r="M86" s="32"/>
      <c r="N86" s="285" t="s">
        <v>3844</v>
      </c>
    </row>
    <row r="87" spans="1:14" s="373" customFormat="1" ht="18.75" x14ac:dyDescent="0.2">
      <c r="A87" s="17">
        <f t="shared" si="1"/>
        <v>82</v>
      </c>
      <c r="B87" s="55" t="s">
        <v>3474</v>
      </c>
      <c r="C87" s="298" t="s">
        <v>3475</v>
      </c>
      <c r="D87" s="13" t="s">
        <v>3476</v>
      </c>
      <c r="E87" s="53" t="s">
        <v>3420</v>
      </c>
      <c r="F87" s="31">
        <v>3265</v>
      </c>
      <c r="G87" s="285" t="s">
        <v>2378</v>
      </c>
      <c r="H87" s="326" t="s">
        <v>4256</v>
      </c>
      <c r="I87" s="32"/>
      <c r="J87" s="32"/>
      <c r="K87" s="32"/>
      <c r="L87" s="32"/>
      <c r="M87" s="32"/>
      <c r="N87" s="285" t="s">
        <v>3834</v>
      </c>
    </row>
    <row r="88" spans="1:14" s="373" customFormat="1" ht="18.75" x14ac:dyDescent="0.2">
      <c r="A88" s="17">
        <f t="shared" si="1"/>
        <v>83</v>
      </c>
      <c r="B88" s="55" t="s">
        <v>3474</v>
      </c>
      <c r="C88" s="298" t="s">
        <v>3477</v>
      </c>
      <c r="D88" s="13" t="s">
        <v>3478</v>
      </c>
      <c r="E88" s="53" t="s">
        <v>3420</v>
      </c>
      <c r="F88" s="31">
        <v>3265</v>
      </c>
      <c r="G88" s="285" t="s">
        <v>2378</v>
      </c>
      <c r="H88" s="326" t="s">
        <v>4256</v>
      </c>
      <c r="I88" s="32"/>
      <c r="J88" s="32"/>
      <c r="K88" s="32"/>
      <c r="L88" s="32"/>
      <c r="M88" s="32"/>
      <c r="N88" s="285" t="s">
        <v>3834</v>
      </c>
    </row>
    <row r="89" spans="1:14" s="373" customFormat="1" ht="18.75" x14ac:dyDescent="0.2">
      <c r="A89" s="17">
        <f t="shared" si="1"/>
        <v>84</v>
      </c>
      <c r="B89" s="55" t="s">
        <v>3474</v>
      </c>
      <c r="C89" s="298" t="s">
        <v>3481</v>
      </c>
      <c r="D89" s="13" t="s">
        <v>3482</v>
      </c>
      <c r="E89" s="53" t="s">
        <v>3420</v>
      </c>
      <c r="F89" s="31">
        <v>3265</v>
      </c>
      <c r="G89" s="285" t="s">
        <v>2378</v>
      </c>
      <c r="H89" s="326" t="s">
        <v>4256</v>
      </c>
      <c r="I89" s="32"/>
      <c r="J89" s="32"/>
      <c r="K89" s="32"/>
      <c r="L89" s="32"/>
      <c r="M89" s="32"/>
      <c r="N89" s="285" t="s">
        <v>3834</v>
      </c>
    </row>
    <row r="90" spans="1:14" s="373" customFormat="1" ht="18.75" x14ac:dyDescent="0.2">
      <c r="A90" s="17">
        <f t="shared" si="1"/>
        <v>85</v>
      </c>
      <c r="B90" s="55" t="s">
        <v>3474</v>
      </c>
      <c r="C90" s="298" t="s">
        <v>3483</v>
      </c>
      <c r="D90" s="13" t="s">
        <v>3484</v>
      </c>
      <c r="E90" s="53" t="s">
        <v>3420</v>
      </c>
      <c r="F90" s="31">
        <v>3265</v>
      </c>
      <c r="G90" s="285" t="s">
        <v>2378</v>
      </c>
      <c r="H90" s="326" t="s">
        <v>4256</v>
      </c>
      <c r="I90" s="32"/>
      <c r="J90" s="32"/>
      <c r="K90" s="32"/>
      <c r="L90" s="32"/>
      <c r="M90" s="32"/>
      <c r="N90" s="285" t="s">
        <v>3834</v>
      </c>
    </row>
    <row r="91" spans="1:14" s="373" customFormat="1" ht="18.75" x14ac:dyDescent="0.2">
      <c r="A91" s="17">
        <f t="shared" si="1"/>
        <v>86</v>
      </c>
      <c r="B91" s="55" t="s">
        <v>3474</v>
      </c>
      <c r="C91" s="298" t="s">
        <v>3485</v>
      </c>
      <c r="D91" s="13" t="s">
        <v>3486</v>
      </c>
      <c r="E91" s="53" t="s">
        <v>3420</v>
      </c>
      <c r="F91" s="31">
        <v>3265</v>
      </c>
      <c r="G91" s="285" t="s">
        <v>2378</v>
      </c>
      <c r="H91" s="326" t="s">
        <v>4256</v>
      </c>
      <c r="I91" s="32"/>
      <c r="J91" s="32"/>
      <c r="K91" s="32"/>
      <c r="L91" s="32"/>
      <c r="M91" s="32"/>
      <c r="N91" s="285" t="s">
        <v>3834</v>
      </c>
    </row>
    <row r="92" spans="1:14" s="373" customFormat="1" ht="18.75" x14ac:dyDescent="0.2">
      <c r="A92" s="17">
        <f t="shared" si="1"/>
        <v>87</v>
      </c>
      <c r="B92" s="55" t="s">
        <v>3474</v>
      </c>
      <c r="C92" s="298" t="s">
        <v>3487</v>
      </c>
      <c r="D92" s="13" t="s">
        <v>3488</v>
      </c>
      <c r="E92" s="53" t="s">
        <v>3420</v>
      </c>
      <c r="F92" s="31">
        <v>3265</v>
      </c>
      <c r="G92" s="285" t="s">
        <v>2378</v>
      </c>
      <c r="H92" s="326" t="s">
        <v>4256</v>
      </c>
      <c r="I92" s="32"/>
      <c r="J92" s="32"/>
      <c r="K92" s="32"/>
      <c r="L92" s="32"/>
      <c r="M92" s="32"/>
      <c r="N92" s="285" t="s">
        <v>3834</v>
      </c>
    </row>
    <row r="93" spans="1:14" s="373" customFormat="1" ht="18.75" x14ac:dyDescent="0.2">
      <c r="A93" s="17">
        <f t="shared" si="1"/>
        <v>88</v>
      </c>
      <c r="B93" s="55" t="s">
        <v>3474</v>
      </c>
      <c r="C93" s="298" t="s">
        <v>3503</v>
      </c>
      <c r="D93" s="13" t="s">
        <v>3504</v>
      </c>
      <c r="E93" s="53" t="s">
        <v>3420</v>
      </c>
      <c r="F93" s="31">
        <v>3265</v>
      </c>
      <c r="G93" s="285" t="s">
        <v>2378</v>
      </c>
      <c r="H93" s="326" t="s">
        <v>4256</v>
      </c>
      <c r="I93" s="32"/>
      <c r="J93" s="32"/>
      <c r="K93" s="32"/>
      <c r="L93" s="32"/>
      <c r="M93" s="32"/>
      <c r="N93" s="285" t="s">
        <v>3881</v>
      </c>
    </row>
    <row r="94" spans="1:14" s="373" customFormat="1" ht="18.75" x14ac:dyDescent="0.2">
      <c r="A94" s="17">
        <f t="shared" si="1"/>
        <v>89</v>
      </c>
      <c r="B94" s="55" t="s">
        <v>3474</v>
      </c>
      <c r="C94" s="298" t="s">
        <v>3505</v>
      </c>
      <c r="D94" s="13" t="s">
        <v>3506</v>
      </c>
      <c r="E94" s="53" t="s">
        <v>3420</v>
      </c>
      <c r="F94" s="31">
        <v>3265</v>
      </c>
      <c r="G94" s="285" t="s">
        <v>2378</v>
      </c>
      <c r="H94" s="326" t="s">
        <v>4256</v>
      </c>
      <c r="I94" s="32"/>
      <c r="J94" s="32"/>
      <c r="K94" s="32"/>
      <c r="L94" s="32"/>
      <c r="M94" s="32"/>
      <c r="N94" s="285" t="s">
        <v>3881</v>
      </c>
    </row>
    <row r="95" spans="1:14" s="373" customFormat="1" ht="18.75" x14ac:dyDescent="0.2">
      <c r="A95" s="17">
        <f t="shared" si="1"/>
        <v>90</v>
      </c>
      <c r="B95" s="55" t="s">
        <v>3474</v>
      </c>
      <c r="C95" s="298" t="s">
        <v>3507</v>
      </c>
      <c r="D95" s="13" t="s">
        <v>3508</v>
      </c>
      <c r="E95" s="53" t="s">
        <v>3420</v>
      </c>
      <c r="F95" s="31">
        <v>3265</v>
      </c>
      <c r="G95" s="285" t="s">
        <v>2378</v>
      </c>
      <c r="H95" s="326" t="s">
        <v>4256</v>
      </c>
      <c r="I95" s="32"/>
      <c r="J95" s="32"/>
      <c r="K95" s="32"/>
      <c r="L95" s="32"/>
      <c r="M95" s="32"/>
      <c r="N95" s="285" t="s">
        <v>3881</v>
      </c>
    </row>
    <row r="96" spans="1:14" s="373" customFormat="1" ht="18.75" x14ac:dyDescent="0.2">
      <c r="A96" s="17">
        <f t="shared" si="1"/>
        <v>91</v>
      </c>
      <c r="B96" s="55" t="s">
        <v>3474</v>
      </c>
      <c r="C96" s="298" t="s">
        <v>3512</v>
      </c>
      <c r="D96" s="13" t="s">
        <v>3513</v>
      </c>
      <c r="E96" s="53" t="s">
        <v>3420</v>
      </c>
      <c r="F96" s="31">
        <v>3265</v>
      </c>
      <c r="G96" s="285" t="s">
        <v>2378</v>
      </c>
      <c r="H96" s="326" t="s">
        <v>4256</v>
      </c>
      <c r="I96" s="32"/>
      <c r="J96" s="32"/>
      <c r="K96" s="32"/>
      <c r="L96" s="32"/>
      <c r="M96" s="32"/>
      <c r="N96" s="285" t="s">
        <v>3881</v>
      </c>
    </row>
    <row r="97" spans="1:14" s="373" customFormat="1" ht="18.75" x14ac:dyDescent="0.2">
      <c r="A97" s="17">
        <f t="shared" si="1"/>
        <v>92</v>
      </c>
      <c r="B97" s="55" t="s">
        <v>3514</v>
      </c>
      <c r="C97" s="298" t="s">
        <v>3515</v>
      </c>
      <c r="D97" s="13" t="s">
        <v>3516</v>
      </c>
      <c r="E97" s="53" t="s">
        <v>3420</v>
      </c>
      <c r="F97" s="31">
        <v>1865</v>
      </c>
      <c r="G97" s="285" t="s">
        <v>2378</v>
      </c>
      <c r="H97" s="326" t="s">
        <v>4256</v>
      </c>
      <c r="I97" s="32"/>
      <c r="J97" s="32"/>
      <c r="K97" s="32"/>
      <c r="L97" s="32"/>
      <c r="M97" s="32"/>
      <c r="N97" s="285" t="s">
        <v>3881</v>
      </c>
    </row>
    <row r="98" spans="1:14" s="373" customFormat="1" ht="18.75" x14ac:dyDescent="0.2">
      <c r="A98" s="17">
        <f t="shared" si="1"/>
        <v>93</v>
      </c>
      <c r="B98" s="55" t="s">
        <v>3514</v>
      </c>
      <c r="C98" s="298" t="s">
        <v>3517</v>
      </c>
      <c r="D98" s="13" t="s">
        <v>3518</v>
      </c>
      <c r="E98" s="53" t="s">
        <v>3420</v>
      </c>
      <c r="F98" s="31">
        <v>1865</v>
      </c>
      <c r="G98" s="285" t="s">
        <v>2378</v>
      </c>
      <c r="H98" s="326" t="s">
        <v>4256</v>
      </c>
      <c r="I98" s="32"/>
      <c r="J98" s="32"/>
      <c r="K98" s="32"/>
      <c r="L98" s="32"/>
      <c r="M98" s="32"/>
      <c r="N98" s="285" t="s">
        <v>3881</v>
      </c>
    </row>
    <row r="99" spans="1:14" s="373" customFormat="1" ht="18.75" x14ac:dyDescent="0.2">
      <c r="A99" s="17">
        <f t="shared" si="1"/>
        <v>94</v>
      </c>
      <c r="B99" s="55" t="s">
        <v>3514</v>
      </c>
      <c r="C99" s="298" t="s">
        <v>3519</v>
      </c>
      <c r="D99" s="13" t="s">
        <v>3520</v>
      </c>
      <c r="E99" s="53" t="s">
        <v>3420</v>
      </c>
      <c r="F99" s="31">
        <v>1865</v>
      </c>
      <c r="G99" s="285" t="s">
        <v>2378</v>
      </c>
      <c r="H99" s="326" t="s">
        <v>4256</v>
      </c>
      <c r="I99" s="32"/>
      <c r="J99" s="32"/>
      <c r="K99" s="32"/>
      <c r="L99" s="32"/>
      <c r="M99" s="32"/>
      <c r="N99" s="285" t="s">
        <v>3881</v>
      </c>
    </row>
    <row r="100" spans="1:14" s="373" customFormat="1" ht="18.75" x14ac:dyDescent="0.2">
      <c r="A100" s="17">
        <f t="shared" si="1"/>
        <v>95</v>
      </c>
      <c r="B100" s="55" t="s">
        <v>3514</v>
      </c>
      <c r="C100" s="298" t="s">
        <v>3521</v>
      </c>
      <c r="D100" s="13" t="s">
        <v>3522</v>
      </c>
      <c r="E100" s="53" t="s">
        <v>3420</v>
      </c>
      <c r="F100" s="31">
        <v>1865</v>
      </c>
      <c r="G100" s="285" t="s">
        <v>2378</v>
      </c>
      <c r="H100" s="326" t="s">
        <v>4256</v>
      </c>
      <c r="I100" s="32"/>
      <c r="J100" s="32"/>
      <c r="K100" s="32"/>
      <c r="L100" s="32"/>
      <c r="M100" s="32"/>
      <c r="N100" s="285" t="s">
        <v>3881</v>
      </c>
    </row>
    <row r="101" spans="1:14" s="373" customFormat="1" ht="18.75" x14ac:dyDescent="0.2">
      <c r="A101" s="17">
        <f t="shared" si="1"/>
        <v>96</v>
      </c>
      <c r="B101" s="55" t="s">
        <v>3514</v>
      </c>
      <c r="C101" s="298" t="s">
        <v>3523</v>
      </c>
      <c r="D101" s="13" t="s">
        <v>3524</v>
      </c>
      <c r="E101" s="53" t="s">
        <v>3420</v>
      </c>
      <c r="F101" s="31">
        <v>1865</v>
      </c>
      <c r="G101" s="285" t="s">
        <v>2378</v>
      </c>
      <c r="H101" s="326" t="s">
        <v>4256</v>
      </c>
      <c r="I101" s="32"/>
      <c r="J101" s="32"/>
      <c r="K101" s="32"/>
      <c r="L101" s="32"/>
      <c r="M101" s="32"/>
      <c r="N101" s="285" t="s">
        <v>3881</v>
      </c>
    </row>
    <row r="102" spans="1:14" s="373" customFormat="1" ht="18.75" x14ac:dyDescent="0.2">
      <c r="A102" s="17">
        <f t="shared" si="1"/>
        <v>97</v>
      </c>
      <c r="B102" s="55" t="s">
        <v>3514</v>
      </c>
      <c r="C102" s="298" t="s">
        <v>3525</v>
      </c>
      <c r="D102" s="13" t="s">
        <v>3526</v>
      </c>
      <c r="E102" s="53" t="s">
        <v>3420</v>
      </c>
      <c r="F102" s="31">
        <v>1865</v>
      </c>
      <c r="G102" s="285" t="s">
        <v>2378</v>
      </c>
      <c r="H102" s="326" t="s">
        <v>4256</v>
      </c>
      <c r="I102" s="32"/>
      <c r="J102" s="32"/>
      <c r="K102" s="32"/>
      <c r="L102" s="32"/>
      <c r="M102" s="32"/>
      <c r="N102" s="285" t="s">
        <v>3881</v>
      </c>
    </row>
    <row r="103" spans="1:14" s="373" customFormat="1" ht="18.75" x14ac:dyDescent="0.2">
      <c r="A103" s="17">
        <f t="shared" si="1"/>
        <v>98</v>
      </c>
      <c r="B103" s="55" t="s">
        <v>3514</v>
      </c>
      <c r="C103" s="298" t="s">
        <v>3527</v>
      </c>
      <c r="D103" s="13" t="s">
        <v>3528</v>
      </c>
      <c r="E103" s="53" t="s">
        <v>3420</v>
      </c>
      <c r="F103" s="31">
        <v>1865</v>
      </c>
      <c r="G103" s="285" t="s">
        <v>2378</v>
      </c>
      <c r="H103" s="326" t="s">
        <v>4256</v>
      </c>
      <c r="I103" s="32"/>
      <c r="J103" s="32"/>
      <c r="K103" s="32"/>
      <c r="L103" s="32"/>
      <c r="M103" s="32"/>
      <c r="N103" s="285" t="s">
        <v>3881</v>
      </c>
    </row>
    <row r="104" spans="1:14" s="373" customFormat="1" ht="18.75" x14ac:dyDescent="0.2">
      <c r="A104" s="17">
        <f t="shared" si="1"/>
        <v>99</v>
      </c>
      <c r="B104" s="55" t="s">
        <v>3514</v>
      </c>
      <c r="C104" s="298" t="s">
        <v>3529</v>
      </c>
      <c r="D104" s="13" t="s">
        <v>3530</v>
      </c>
      <c r="E104" s="53" t="s">
        <v>3420</v>
      </c>
      <c r="F104" s="31">
        <v>1865</v>
      </c>
      <c r="G104" s="285" t="s">
        <v>2378</v>
      </c>
      <c r="H104" s="326" t="s">
        <v>4256</v>
      </c>
      <c r="I104" s="32"/>
      <c r="J104" s="32"/>
      <c r="K104" s="32"/>
      <c r="L104" s="32"/>
      <c r="M104" s="32"/>
      <c r="N104" s="285" t="s">
        <v>3881</v>
      </c>
    </row>
    <row r="105" spans="1:14" s="373" customFormat="1" ht="18.75" x14ac:dyDescent="0.2">
      <c r="A105" s="17">
        <f t="shared" si="1"/>
        <v>100</v>
      </c>
      <c r="B105" s="55" t="s">
        <v>3514</v>
      </c>
      <c r="C105" s="298" t="s">
        <v>3531</v>
      </c>
      <c r="D105" s="13" t="s">
        <v>3532</v>
      </c>
      <c r="E105" s="53" t="s">
        <v>3420</v>
      </c>
      <c r="F105" s="31">
        <v>1865</v>
      </c>
      <c r="G105" s="285" t="s">
        <v>2378</v>
      </c>
      <c r="H105" s="326" t="s">
        <v>4256</v>
      </c>
      <c r="I105" s="32"/>
      <c r="J105" s="32"/>
      <c r="K105" s="32"/>
      <c r="L105" s="32"/>
      <c r="M105" s="32"/>
      <c r="N105" s="285" t="s">
        <v>3881</v>
      </c>
    </row>
    <row r="106" spans="1:14" s="373" customFormat="1" ht="18.75" x14ac:dyDescent="0.2">
      <c r="A106" s="17">
        <f t="shared" si="1"/>
        <v>101</v>
      </c>
      <c r="B106" s="55" t="s">
        <v>3514</v>
      </c>
      <c r="C106" s="298" t="s">
        <v>3533</v>
      </c>
      <c r="D106" s="13" t="s">
        <v>3534</v>
      </c>
      <c r="E106" s="53" t="s">
        <v>3420</v>
      </c>
      <c r="F106" s="31">
        <v>1865</v>
      </c>
      <c r="G106" s="285" t="s">
        <v>2378</v>
      </c>
      <c r="H106" s="326" t="s">
        <v>4256</v>
      </c>
      <c r="I106" s="32"/>
      <c r="J106" s="32"/>
      <c r="K106" s="32"/>
      <c r="L106" s="32"/>
      <c r="M106" s="32"/>
      <c r="N106" s="285" t="s">
        <v>3881</v>
      </c>
    </row>
    <row r="107" spans="1:14" s="373" customFormat="1" ht="18.75" x14ac:dyDescent="0.2">
      <c r="A107" s="17">
        <f t="shared" si="1"/>
        <v>102</v>
      </c>
      <c r="B107" s="55" t="s">
        <v>3514</v>
      </c>
      <c r="C107" s="298" t="s">
        <v>3535</v>
      </c>
      <c r="D107" s="13" t="s">
        <v>3536</v>
      </c>
      <c r="E107" s="53" t="s">
        <v>3420</v>
      </c>
      <c r="F107" s="31">
        <v>1865</v>
      </c>
      <c r="G107" s="285" t="s">
        <v>2378</v>
      </c>
      <c r="H107" s="326" t="s">
        <v>4256</v>
      </c>
      <c r="I107" s="32"/>
      <c r="J107" s="32"/>
      <c r="K107" s="32"/>
      <c r="L107" s="32"/>
      <c r="M107" s="32"/>
      <c r="N107" s="285" t="s">
        <v>3881</v>
      </c>
    </row>
    <row r="108" spans="1:14" s="373" customFormat="1" ht="18.75" x14ac:dyDescent="0.2">
      <c r="A108" s="17">
        <f t="shared" si="1"/>
        <v>103</v>
      </c>
      <c r="B108" s="55" t="s">
        <v>3514</v>
      </c>
      <c r="C108" s="298" t="s">
        <v>3537</v>
      </c>
      <c r="D108" s="13" t="s">
        <v>3538</v>
      </c>
      <c r="E108" s="53" t="s">
        <v>3420</v>
      </c>
      <c r="F108" s="31">
        <v>1865</v>
      </c>
      <c r="G108" s="285" t="s">
        <v>2378</v>
      </c>
      <c r="H108" s="326" t="s">
        <v>4256</v>
      </c>
      <c r="I108" s="32"/>
      <c r="J108" s="32"/>
      <c r="K108" s="32"/>
      <c r="L108" s="32"/>
      <c r="M108" s="32"/>
      <c r="N108" s="285" t="s">
        <v>3881</v>
      </c>
    </row>
    <row r="109" spans="1:14" s="373" customFormat="1" ht="18.75" x14ac:dyDescent="0.2">
      <c r="A109" s="17">
        <f t="shared" si="1"/>
        <v>104</v>
      </c>
      <c r="B109" s="55" t="s">
        <v>3514</v>
      </c>
      <c r="C109" s="298" t="s">
        <v>3539</v>
      </c>
      <c r="D109" s="13" t="s">
        <v>3540</v>
      </c>
      <c r="E109" s="53" t="s">
        <v>3420</v>
      </c>
      <c r="F109" s="31">
        <v>1865</v>
      </c>
      <c r="G109" s="285" t="s">
        <v>2378</v>
      </c>
      <c r="H109" s="326" t="s">
        <v>4256</v>
      </c>
      <c r="I109" s="32"/>
      <c r="J109" s="32"/>
      <c r="K109" s="32"/>
      <c r="L109" s="32"/>
      <c r="M109" s="32"/>
      <c r="N109" s="285" t="s">
        <v>3881</v>
      </c>
    </row>
    <row r="110" spans="1:14" s="373" customFormat="1" ht="18.75" x14ac:dyDescent="0.2">
      <c r="A110" s="17">
        <f t="shared" si="1"/>
        <v>105</v>
      </c>
      <c r="B110" s="55" t="s">
        <v>3514</v>
      </c>
      <c r="C110" s="298" t="s">
        <v>3541</v>
      </c>
      <c r="D110" s="13" t="s">
        <v>3542</v>
      </c>
      <c r="E110" s="53" t="s">
        <v>3420</v>
      </c>
      <c r="F110" s="31">
        <v>1865</v>
      </c>
      <c r="G110" s="285" t="s">
        <v>2378</v>
      </c>
      <c r="H110" s="326" t="s">
        <v>4256</v>
      </c>
      <c r="I110" s="32"/>
      <c r="J110" s="32"/>
      <c r="K110" s="32"/>
      <c r="L110" s="32"/>
      <c r="M110" s="32"/>
      <c r="N110" s="285" t="s">
        <v>3832</v>
      </c>
    </row>
    <row r="111" spans="1:14" s="373" customFormat="1" ht="18.75" x14ac:dyDescent="0.2">
      <c r="A111" s="17">
        <f t="shared" si="1"/>
        <v>106</v>
      </c>
      <c r="B111" s="55" t="s">
        <v>3514</v>
      </c>
      <c r="C111" s="298" t="s">
        <v>3543</v>
      </c>
      <c r="D111" s="13" t="s">
        <v>3544</v>
      </c>
      <c r="E111" s="53" t="s">
        <v>3420</v>
      </c>
      <c r="F111" s="31">
        <v>1865</v>
      </c>
      <c r="G111" s="285" t="s">
        <v>2378</v>
      </c>
      <c r="H111" s="326" t="s">
        <v>4256</v>
      </c>
      <c r="I111" s="32"/>
      <c r="J111" s="32"/>
      <c r="K111" s="32"/>
      <c r="L111" s="32"/>
      <c r="M111" s="32"/>
      <c r="N111" s="285" t="s">
        <v>3833</v>
      </c>
    </row>
    <row r="112" spans="1:14" s="373" customFormat="1" ht="18.75" x14ac:dyDescent="0.2">
      <c r="A112" s="17">
        <f t="shared" si="1"/>
        <v>107</v>
      </c>
      <c r="B112" s="55" t="s">
        <v>3514</v>
      </c>
      <c r="C112" s="298" t="s">
        <v>3545</v>
      </c>
      <c r="D112" s="13" t="s">
        <v>3546</v>
      </c>
      <c r="E112" s="53" t="s">
        <v>3420</v>
      </c>
      <c r="F112" s="31">
        <v>1865</v>
      </c>
      <c r="G112" s="285" t="s">
        <v>2378</v>
      </c>
      <c r="H112" s="326" t="s">
        <v>4256</v>
      </c>
      <c r="I112" s="32"/>
      <c r="J112" s="32"/>
      <c r="K112" s="32"/>
      <c r="L112" s="32"/>
      <c r="M112" s="32"/>
      <c r="N112" s="285" t="s">
        <v>3835</v>
      </c>
    </row>
    <row r="113" spans="1:14" s="372" customFormat="1" ht="18.75" x14ac:dyDescent="0.3">
      <c r="A113" s="17">
        <f t="shared" si="1"/>
        <v>108</v>
      </c>
      <c r="B113" s="337" t="s">
        <v>1474</v>
      </c>
      <c r="C113" s="277" t="s">
        <v>4213</v>
      </c>
      <c r="D113" s="308" t="s">
        <v>1475</v>
      </c>
      <c r="E113" s="319" t="s">
        <v>1476</v>
      </c>
      <c r="F113" s="380">
        <v>2200</v>
      </c>
      <c r="G113" s="381" t="s">
        <v>1477</v>
      </c>
      <c r="H113" s="326" t="s">
        <v>4256</v>
      </c>
      <c r="I113" s="332"/>
      <c r="J113" s="332"/>
      <c r="K113" s="332"/>
      <c r="L113" s="332"/>
      <c r="M113" s="332"/>
      <c r="N113" s="424"/>
    </row>
    <row r="114" spans="1:14" s="401" customFormat="1" ht="21" x14ac:dyDescent="0.2">
      <c r="A114" s="17">
        <f t="shared" si="1"/>
        <v>109</v>
      </c>
      <c r="B114" s="423" t="s">
        <v>3813</v>
      </c>
      <c r="C114" s="393" t="s">
        <v>4169</v>
      </c>
      <c r="D114" s="393" t="s">
        <v>160</v>
      </c>
      <c r="E114" s="50">
        <v>24676</v>
      </c>
      <c r="F114" s="377">
        <v>15944.11</v>
      </c>
      <c r="G114" s="285" t="s">
        <v>21</v>
      </c>
      <c r="H114" s="32" t="s">
        <v>4256</v>
      </c>
      <c r="I114" s="32"/>
      <c r="J114" s="32"/>
      <c r="K114" s="32"/>
      <c r="L114" s="32"/>
      <c r="M114" s="32"/>
      <c r="N114" s="88" t="s">
        <v>5013</v>
      </c>
    </row>
    <row r="115" spans="1:14" s="401" customFormat="1" ht="21" x14ac:dyDescent="0.2">
      <c r="A115" s="17">
        <f t="shared" si="1"/>
        <v>110</v>
      </c>
      <c r="B115" s="423" t="s">
        <v>3813</v>
      </c>
      <c r="C115" s="393" t="s">
        <v>4170</v>
      </c>
      <c r="D115" s="393" t="s">
        <v>161</v>
      </c>
      <c r="E115" s="50">
        <v>24676</v>
      </c>
      <c r="F115" s="377">
        <v>15944.11</v>
      </c>
      <c r="G115" s="285" t="s">
        <v>21</v>
      </c>
      <c r="H115" s="32" t="s">
        <v>4256</v>
      </c>
      <c r="I115" s="32"/>
      <c r="J115" s="32"/>
      <c r="K115" s="32"/>
      <c r="L115" s="32"/>
      <c r="M115" s="32"/>
      <c r="N115" s="88" t="s">
        <v>5013</v>
      </c>
    </row>
    <row r="116" spans="1:14" s="401" customFormat="1" ht="21" x14ac:dyDescent="0.2">
      <c r="A116" s="17">
        <f t="shared" si="1"/>
        <v>111</v>
      </c>
      <c r="B116" s="423" t="s">
        <v>3813</v>
      </c>
      <c r="C116" s="393" t="s">
        <v>4171</v>
      </c>
      <c r="D116" s="393" t="s">
        <v>162</v>
      </c>
      <c r="E116" s="50">
        <v>24676</v>
      </c>
      <c r="F116" s="377">
        <v>15944.11</v>
      </c>
      <c r="G116" s="285" t="s">
        <v>21</v>
      </c>
      <c r="H116" s="32" t="s">
        <v>4256</v>
      </c>
      <c r="I116" s="32"/>
      <c r="J116" s="32"/>
      <c r="K116" s="32"/>
      <c r="L116" s="32"/>
      <c r="M116" s="32"/>
      <c r="N116" s="88" t="s">
        <v>5013</v>
      </c>
    </row>
    <row r="117" spans="1:14" s="401" customFormat="1" ht="21" x14ac:dyDescent="0.2">
      <c r="A117" s="17">
        <f t="shared" si="1"/>
        <v>112</v>
      </c>
      <c r="B117" s="423" t="s">
        <v>3813</v>
      </c>
      <c r="C117" s="393" t="s">
        <v>4172</v>
      </c>
      <c r="D117" s="393" t="s">
        <v>163</v>
      </c>
      <c r="E117" s="50">
        <v>24676</v>
      </c>
      <c r="F117" s="377">
        <v>15944.11</v>
      </c>
      <c r="G117" s="285" t="s">
        <v>21</v>
      </c>
      <c r="H117" s="32" t="s">
        <v>4256</v>
      </c>
      <c r="I117" s="32"/>
      <c r="J117" s="32"/>
      <c r="K117" s="32"/>
      <c r="L117" s="32"/>
      <c r="M117" s="32"/>
      <c r="N117" s="88" t="s">
        <v>5013</v>
      </c>
    </row>
    <row r="118" spans="1:14" s="401" customFormat="1" ht="21" x14ac:dyDescent="0.2">
      <c r="A118" s="17">
        <f t="shared" si="1"/>
        <v>113</v>
      </c>
      <c r="B118" s="423" t="s">
        <v>3814</v>
      </c>
      <c r="C118" s="393" t="s">
        <v>4173</v>
      </c>
      <c r="D118" s="393" t="s">
        <v>164</v>
      </c>
      <c r="E118" s="50">
        <v>24676</v>
      </c>
      <c r="F118" s="377">
        <v>21722.12</v>
      </c>
      <c r="G118" s="285" t="s">
        <v>21</v>
      </c>
      <c r="H118" s="32" t="s">
        <v>4256</v>
      </c>
      <c r="I118" s="32"/>
      <c r="J118" s="32"/>
      <c r="K118" s="32"/>
      <c r="L118" s="32"/>
      <c r="M118" s="32"/>
      <c r="N118" s="88" t="s">
        <v>5013</v>
      </c>
    </row>
    <row r="119" spans="1:14" s="401" customFormat="1" ht="21" x14ac:dyDescent="0.2">
      <c r="A119" s="17">
        <f t="shared" si="1"/>
        <v>114</v>
      </c>
      <c r="B119" s="423" t="s">
        <v>3814</v>
      </c>
      <c r="C119" s="393" t="s">
        <v>4174</v>
      </c>
      <c r="D119" s="393" t="s">
        <v>165</v>
      </c>
      <c r="E119" s="50">
        <v>24676</v>
      </c>
      <c r="F119" s="377">
        <v>21722.12</v>
      </c>
      <c r="G119" s="285" t="s">
        <v>21</v>
      </c>
      <c r="H119" s="32" t="s">
        <v>4256</v>
      </c>
      <c r="I119" s="32"/>
      <c r="J119" s="32"/>
      <c r="K119" s="32"/>
      <c r="L119" s="32"/>
      <c r="M119" s="32"/>
      <c r="N119" s="88" t="s">
        <v>5013</v>
      </c>
    </row>
    <row r="120" spans="1:14" s="401" customFormat="1" ht="21" x14ac:dyDescent="0.2">
      <c r="A120" s="17">
        <f t="shared" si="1"/>
        <v>115</v>
      </c>
      <c r="B120" s="423" t="s">
        <v>3815</v>
      </c>
      <c r="C120" s="393" t="s">
        <v>4175</v>
      </c>
      <c r="D120" s="393" t="s">
        <v>166</v>
      </c>
      <c r="E120" s="50">
        <v>24676</v>
      </c>
      <c r="F120" s="377">
        <v>17549.12</v>
      </c>
      <c r="G120" s="285" t="s">
        <v>21</v>
      </c>
      <c r="H120" s="32" t="s">
        <v>4256</v>
      </c>
      <c r="I120" s="32"/>
      <c r="J120" s="32"/>
      <c r="K120" s="32"/>
      <c r="L120" s="32"/>
      <c r="M120" s="32"/>
      <c r="N120" s="88" t="s">
        <v>5013</v>
      </c>
    </row>
    <row r="121" spans="1:14" s="401" customFormat="1" ht="21" x14ac:dyDescent="0.2">
      <c r="A121" s="17">
        <f t="shared" si="1"/>
        <v>116</v>
      </c>
      <c r="B121" s="423" t="s">
        <v>3815</v>
      </c>
      <c r="C121" s="393" t="s">
        <v>4176</v>
      </c>
      <c r="D121" s="393" t="s">
        <v>167</v>
      </c>
      <c r="E121" s="50">
        <v>24676</v>
      </c>
      <c r="F121" s="377">
        <v>17549.12</v>
      </c>
      <c r="G121" s="285" t="s">
        <v>21</v>
      </c>
      <c r="H121" s="32" t="s">
        <v>4256</v>
      </c>
      <c r="I121" s="32"/>
      <c r="J121" s="32"/>
      <c r="K121" s="32"/>
      <c r="L121" s="32"/>
      <c r="M121" s="32"/>
      <c r="N121" s="88" t="s">
        <v>5013</v>
      </c>
    </row>
    <row r="122" spans="1:14" s="401" customFormat="1" ht="21" x14ac:dyDescent="0.2">
      <c r="A122" s="17">
        <f t="shared" si="1"/>
        <v>117</v>
      </c>
      <c r="B122" s="423" t="s">
        <v>3817</v>
      </c>
      <c r="C122" s="393" t="s">
        <v>4178</v>
      </c>
      <c r="D122" s="393" t="s">
        <v>168</v>
      </c>
      <c r="E122" s="50">
        <v>24676</v>
      </c>
      <c r="F122" s="377">
        <v>8668.1200000000008</v>
      </c>
      <c r="G122" s="285" t="s">
        <v>21</v>
      </c>
      <c r="H122" s="32" t="s">
        <v>4256</v>
      </c>
      <c r="I122" s="32"/>
      <c r="J122" s="32"/>
      <c r="K122" s="32"/>
      <c r="L122" s="32"/>
      <c r="M122" s="32"/>
      <c r="N122" s="88" t="s">
        <v>5013</v>
      </c>
    </row>
    <row r="123" spans="1:14" s="401" customFormat="1" ht="21" x14ac:dyDescent="0.2">
      <c r="A123" s="17">
        <f t="shared" si="1"/>
        <v>118</v>
      </c>
      <c r="B123" s="423" t="s">
        <v>3817</v>
      </c>
      <c r="C123" s="393" t="s">
        <v>4179</v>
      </c>
      <c r="D123" s="393" t="s">
        <v>169</v>
      </c>
      <c r="E123" s="50">
        <v>24676</v>
      </c>
      <c r="F123" s="377">
        <v>8668.1200000000008</v>
      </c>
      <c r="G123" s="285" t="s">
        <v>21</v>
      </c>
      <c r="H123" s="32" t="s">
        <v>4256</v>
      </c>
      <c r="I123" s="32"/>
      <c r="J123" s="32"/>
      <c r="K123" s="32"/>
      <c r="L123" s="32"/>
      <c r="M123" s="32"/>
      <c r="N123" s="88" t="s">
        <v>5013</v>
      </c>
    </row>
    <row r="124" spans="1:14" s="401" customFormat="1" ht="21" x14ac:dyDescent="0.2">
      <c r="A124" s="17">
        <f t="shared" si="1"/>
        <v>119</v>
      </c>
      <c r="B124" s="423" t="s">
        <v>3817</v>
      </c>
      <c r="C124" s="393" t="s">
        <v>4180</v>
      </c>
      <c r="D124" s="393" t="s">
        <v>170</v>
      </c>
      <c r="E124" s="50">
        <v>24676</v>
      </c>
      <c r="F124" s="377">
        <v>8668.1200000000008</v>
      </c>
      <c r="G124" s="285" t="s">
        <v>21</v>
      </c>
      <c r="H124" s="32" t="s">
        <v>4256</v>
      </c>
      <c r="I124" s="32"/>
      <c r="J124" s="32"/>
      <c r="K124" s="32"/>
      <c r="L124" s="32"/>
      <c r="M124" s="32"/>
      <c r="N124" s="88" t="s">
        <v>5013</v>
      </c>
    </row>
    <row r="125" spans="1:14" s="401" customFormat="1" ht="21" x14ac:dyDescent="0.2">
      <c r="A125" s="17">
        <f t="shared" si="1"/>
        <v>120</v>
      </c>
      <c r="B125" s="423" t="s">
        <v>3817</v>
      </c>
      <c r="C125" s="393" t="s">
        <v>4181</v>
      </c>
      <c r="D125" s="393" t="s">
        <v>171</v>
      </c>
      <c r="E125" s="50">
        <v>24676</v>
      </c>
      <c r="F125" s="377">
        <v>8668.1200000000008</v>
      </c>
      <c r="G125" s="285" t="s">
        <v>21</v>
      </c>
      <c r="H125" s="32" t="s">
        <v>4256</v>
      </c>
      <c r="I125" s="32"/>
      <c r="J125" s="32"/>
      <c r="K125" s="32"/>
      <c r="L125" s="32"/>
      <c r="M125" s="32"/>
      <c r="N125" s="88" t="s">
        <v>5013</v>
      </c>
    </row>
    <row r="126" spans="1:14" s="401" customFormat="1" ht="21" x14ac:dyDescent="0.2">
      <c r="A126" s="17">
        <f t="shared" si="1"/>
        <v>121</v>
      </c>
      <c r="B126" s="423" t="s">
        <v>3817</v>
      </c>
      <c r="C126" s="393" t="s">
        <v>4182</v>
      </c>
      <c r="D126" s="393" t="s">
        <v>172</v>
      </c>
      <c r="E126" s="50">
        <v>24676</v>
      </c>
      <c r="F126" s="377">
        <v>8668.1200000000008</v>
      </c>
      <c r="G126" s="285" t="s">
        <v>21</v>
      </c>
      <c r="H126" s="32" t="s">
        <v>4256</v>
      </c>
      <c r="I126" s="32"/>
      <c r="J126" s="32"/>
      <c r="K126" s="32"/>
      <c r="L126" s="32"/>
      <c r="M126" s="32"/>
      <c r="N126" s="88" t="s">
        <v>5013</v>
      </c>
    </row>
    <row r="127" spans="1:14" s="401" customFormat="1" ht="21" x14ac:dyDescent="0.2">
      <c r="A127" s="17">
        <f t="shared" si="1"/>
        <v>122</v>
      </c>
      <c r="B127" s="423" t="s">
        <v>3817</v>
      </c>
      <c r="C127" s="393" t="s">
        <v>4183</v>
      </c>
      <c r="D127" s="393" t="s">
        <v>173</v>
      </c>
      <c r="E127" s="50">
        <v>24676</v>
      </c>
      <c r="F127" s="377">
        <v>8668.1200000000008</v>
      </c>
      <c r="G127" s="285" t="s">
        <v>21</v>
      </c>
      <c r="H127" s="32" t="s">
        <v>4256</v>
      </c>
      <c r="I127" s="32"/>
      <c r="J127" s="32"/>
      <c r="K127" s="32"/>
      <c r="L127" s="32"/>
      <c r="M127" s="32"/>
      <c r="N127" s="88" t="s">
        <v>5013</v>
      </c>
    </row>
    <row r="128" spans="1:14" s="401" customFormat="1" ht="21" x14ac:dyDescent="0.2">
      <c r="A128" s="17">
        <f t="shared" si="1"/>
        <v>123</v>
      </c>
      <c r="B128" s="423" t="s">
        <v>3817</v>
      </c>
      <c r="C128" s="393" t="s">
        <v>4184</v>
      </c>
      <c r="D128" s="393" t="s">
        <v>174</v>
      </c>
      <c r="E128" s="50">
        <v>24676</v>
      </c>
      <c r="F128" s="377">
        <v>8668.1200000000008</v>
      </c>
      <c r="G128" s="285" t="s">
        <v>21</v>
      </c>
      <c r="H128" s="32" t="s">
        <v>4256</v>
      </c>
      <c r="I128" s="32"/>
      <c r="J128" s="32"/>
      <c r="K128" s="32"/>
      <c r="L128" s="32"/>
      <c r="M128" s="32"/>
      <c r="N128" s="88" t="s">
        <v>5013</v>
      </c>
    </row>
    <row r="129" spans="1:15" s="401" customFormat="1" ht="21" x14ac:dyDescent="0.2">
      <c r="A129" s="17">
        <f t="shared" si="1"/>
        <v>124</v>
      </c>
      <c r="B129" s="423" t="s">
        <v>3817</v>
      </c>
      <c r="C129" s="393" t="s">
        <v>4185</v>
      </c>
      <c r="D129" s="393" t="s">
        <v>175</v>
      </c>
      <c r="E129" s="50">
        <v>24676</v>
      </c>
      <c r="F129" s="377">
        <v>8668.1200000000008</v>
      </c>
      <c r="G129" s="285" t="s">
        <v>21</v>
      </c>
      <c r="H129" s="32" t="s">
        <v>4256</v>
      </c>
      <c r="I129" s="32"/>
      <c r="J129" s="32"/>
      <c r="K129" s="32"/>
      <c r="L129" s="32"/>
      <c r="M129" s="32"/>
      <c r="N129" s="88" t="s">
        <v>5013</v>
      </c>
    </row>
    <row r="130" spans="1:15" s="401" customFormat="1" ht="21" x14ac:dyDescent="0.2">
      <c r="A130" s="17">
        <f t="shared" si="1"/>
        <v>125</v>
      </c>
      <c r="B130" s="423" t="s">
        <v>3816</v>
      </c>
      <c r="C130" s="393" t="s">
        <v>4177</v>
      </c>
      <c r="D130" s="393" t="s">
        <v>176</v>
      </c>
      <c r="E130" s="50">
        <v>24676</v>
      </c>
      <c r="F130" s="377">
        <v>5244.12</v>
      </c>
      <c r="G130" s="285" t="s">
        <v>21</v>
      </c>
      <c r="H130" s="32" t="s">
        <v>4256</v>
      </c>
      <c r="I130" s="32"/>
      <c r="J130" s="32"/>
      <c r="K130" s="32"/>
      <c r="L130" s="32"/>
      <c r="M130" s="32"/>
      <c r="N130" s="88" t="s">
        <v>5013</v>
      </c>
    </row>
    <row r="131" spans="1:15" s="336" customFormat="1" ht="18.75" x14ac:dyDescent="0.3">
      <c r="A131" s="17">
        <f t="shared" si="1"/>
        <v>126</v>
      </c>
      <c r="B131" s="299" t="s">
        <v>4019</v>
      </c>
      <c r="C131" s="300" t="s">
        <v>4020</v>
      </c>
      <c r="D131" s="300" t="s">
        <v>4021</v>
      </c>
      <c r="E131" s="301" t="s">
        <v>3991</v>
      </c>
      <c r="F131" s="302">
        <v>23000</v>
      </c>
      <c r="G131" s="732" t="s">
        <v>3892</v>
      </c>
      <c r="H131" s="300"/>
      <c r="I131" s="300"/>
      <c r="J131" s="32" t="s">
        <v>4256</v>
      </c>
      <c r="K131" s="303"/>
      <c r="L131" s="304"/>
      <c r="M131" s="305"/>
      <c r="N131" s="306"/>
      <c r="O131" s="754">
        <f>SUM(F131:F171)</f>
        <v>586398.51</v>
      </c>
    </row>
    <row r="132" spans="1:15" s="336" customFormat="1" ht="18.75" x14ac:dyDescent="0.3">
      <c r="A132" s="17">
        <f t="shared" si="1"/>
        <v>127</v>
      </c>
      <c r="B132" s="299" t="s">
        <v>4022</v>
      </c>
      <c r="C132" s="300" t="s">
        <v>4023</v>
      </c>
      <c r="D132" s="300" t="s">
        <v>4024</v>
      </c>
      <c r="E132" s="301" t="s">
        <v>3991</v>
      </c>
      <c r="F132" s="302">
        <v>23000</v>
      </c>
      <c r="G132" s="732" t="s">
        <v>3892</v>
      </c>
      <c r="H132" s="300"/>
      <c r="I132" s="300"/>
      <c r="J132" s="32" t="s">
        <v>4256</v>
      </c>
      <c r="K132" s="303"/>
      <c r="L132" s="304"/>
      <c r="M132" s="305"/>
      <c r="N132" s="306"/>
    </row>
    <row r="133" spans="1:15" s="336" customFormat="1" ht="18.75" x14ac:dyDescent="0.3">
      <c r="A133" s="17">
        <f t="shared" si="1"/>
        <v>128</v>
      </c>
      <c r="B133" s="299" t="s">
        <v>4022</v>
      </c>
      <c r="C133" s="300" t="s">
        <v>4025</v>
      </c>
      <c r="D133" s="300" t="s">
        <v>4026</v>
      </c>
      <c r="E133" s="301" t="s">
        <v>3991</v>
      </c>
      <c r="F133" s="302">
        <v>23000</v>
      </c>
      <c r="G133" s="732" t="s">
        <v>3892</v>
      </c>
      <c r="H133" s="300"/>
      <c r="I133" s="300"/>
      <c r="J133" s="32" t="s">
        <v>4256</v>
      </c>
      <c r="K133" s="303"/>
      <c r="L133" s="304"/>
      <c r="M133" s="305"/>
      <c r="N133" s="306"/>
    </row>
    <row r="134" spans="1:15" s="336" customFormat="1" ht="18.75" x14ac:dyDescent="0.3">
      <c r="A134" s="17">
        <f t="shared" ref="A134:A180" si="2">ROW()-ROW($A$6)+1</f>
        <v>129</v>
      </c>
      <c r="B134" s="299" t="s">
        <v>4022</v>
      </c>
      <c r="C134" s="300" t="s">
        <v>4027</v>
      </c>
      <c r="D134" s="300" t="s">
        <v>4028</v>
      </c>
      <c r="E134" s="301" t="s">
        <v>3991</v>
      </c>
      <c r="F134" s="302">
        <v>23000</v>
      </c>
      <c r="G134" s="732" t="s">
        <v>3892</v>
      </c>
      <c r="H134" s="300"/>
      <c r="I134" s="300"/>
      <c r="J134" s="32" t="s">
        <v>4256</v>
      </c>
      <c r="K134" s="303"/>
      <c r="L134" s="304"/>
      <c r="M134" s="305"/>
      <c r="N134" s="306"/>
    </row>
    <row r="135" spans="1:15" s="372" customFormat="1" ht="21" x14ac:dyDescent="0.35">
      <c r="A135" s="17">
        <f t="shared" si="2"/>
        <v>130</v>
      </c>
      <c r="B135" s="307" t="s">
        <v>1140</v>
      </c>
      <c r="C135" s="308" t="s">
        <v>1141</v>
      </c>
      <c r="D135" s="308" t="s">
        <v>1142</v>
      </c>
      <c r="E135" s="317" t="s">
        <v>1126</v>
      </c>
      <c r="F135" s="310">
        <v>5000.1099999999997</v>
      </c>
      <c r="G135" s="381" t="s">
        <v>949</v>
      </c>
      <c r="H135" s="371" t="s">
        <v>4256</v>
      </c>
      <c r="I135" s="311"/>
      <c r="J135" s="312"/>
      <c r="K135" s="312"/>
      <c r="L135" s="313"/>
      <c r="M135" s="314"/>
      <c r="N135" s="315"/>
    </row>
    <row r="136" spans="1:15" s="372" customFormat="1" ht="21" x14ac:dyDescent="0.35">
      <c r="A136" s="17">
        <f t="shared" si="2"/>
        <v>131</v>
      </c>
      <c r="B136" s="328" t="s">
        <v>1143</v>
      </c>
      <c r="C136" s="308" t="s">
        <v>1144</v>
      </c>
      <c r="D136" s="308" t="s">
        <v>1145</v>
      </c>
      <c r="E136" s="317" t="s">
        <v>1126</v>
      </c>
      <c r="F136" s="310">
        <v>12000.05</v>
      </c>
      <c r="G136" s="381" t="s">
        <v>949</v>
      </c>
      <c r="H136" s="371" t="s">
        <v>4256</v>
      </c>
      <c r="I136" s="311"/>
      <c r="J136" s="312"/>
      <c r="K136" s="312"/>
      <c r="L136" s="313"/>
      <c r="M136" s="314"/>
      <c r="N136" s="315"/>
    </row>
    <row r="137" spans="1:15" s="372" customFormat="1" ht="21" x14ac:dyDescent="0.35">
      <c r="A137" s="17">
        <f t="shared" si="2"/>
        <v>132</v>
      </c>
      <c r="B137" s="328" t="s">
        <v>1146</v>
      </c>
      <c r="C137" s="308" t="s">
        <v>1147</v>
      </c>
      <c r="D137" s="308" t="s">
        <v>1148</v>
      </c>
      <c r="E137" s="317" t="s">
        <v>1126</v>
      </c>
      <c r="F137" s="310">
        <v>21500.58</v>
      </c>
      <c r="G137" s="381" t="s">
        <v>949</v>
      </c>
      <c r="H137" s="371" t="s">
        <v>4256</v>
      </c>
      <c r="I137" s="311"/>
      <c r="J137" s="312"/>
      <c r="K137" s="312"/>
      <c r="L137" s="313"/>
      <c r="M137" s="314"/>
      <c r="N137" s="315"/>
    </row>
    <row r="138" spans="1:15" s="372" customFormat="1" ht="21" x14ac:dyDescent="0.35">
      <c r="A138" s="17">
        <f t="shared" si="2"/>
        <v>133</v>
      </c>
      <c r="B138" s="307" t="s">
        <v>1149</v>
      </c>
      <c r="C138" s="308" t="s">
        <v>1150</v>
      </c>
      <c r="D138" s="308" t="s">
        <v>1151</v>
      </c>
      <c r="E138" s="317" t="s">
        <v>1126</v>
      </c>
      <c r="F138" s="310">
        <v>3499.97</v>
      </c>
      <c r="G138" s="381" t="s">
        <v>949</v>
      </c>
      <c r="H138" s="371" t="s">
        <v>4256</v>
      </c>
      <c r="I138" s="311"/>
      <c r="J138" s="312"/>
      <c r="K138" s="312"/>
      <c r="L138" s="313"/>
      <c r="M138" s="314"/>
      <c r="N138" s="315"/>
    </row>
    <row r="139" spans="1:15" s="372" customFormat="1" ht="18.75" x14ac:dyDescent="0.3">
      <c r="A139" s="17">
        <f t="shared" si="2"/>
        <v>134</v>
      </c>
      <c r="B139" s="307" t="s">
        <v>1303</v>
      </c>
      <c r="C139" s="308" t="s">
        <v>1304</v>
      </c>
      <c r="D139" s="308" t="s">
        <v>1305</v>
      </c>
      <c r="E139" s="319">
        <v>21772</v>
      </c>
      <c r="F139" s="310">
        <v>12500</v>
      </c>
      <c r="G139" s="381" t="s">
        <v>825</v>
      </c>
      <c r="H139" s="320" t="s">
        <v>4256</v>
      </c>
      <c r="I139" s="321"/>
      <c r="J139" s="322"/>
      <c r="K139" s="322"/>
      <c r="L139" s="323"/>
      <c r="M139" s="324"/>
      <c r="N139" s="325"/>
    </row>
    <row r="140" spans="1:15" s="372" customFormat="1" ht="18.75" x14ac:dyDescent="0.3">
      <c r="A140" s="17">
        <f t="shared" si="2"/>
        <v>135</v>
      </c>
      <c r="B140" s="307" t="s">
        <v>1306</v>
      </c>
      <c r="C140" s="308" t="s">
        <v>1307</v>
      </c>
      <c r="D140" s="308" t="s">
        <v>1308</v>
      </c>
      <c r="E140" s="319">
        <v>21772</v>
      </c>
      <c r="F140" s="310">
        <v>2000</v>
      </c>
      <c r="G140" s="381" t="s">
        <v>825</v>
      </c>
      <c r="H140" s="320" t="s">
        <v>4256</v>
      </c>
      <c r="I140" s="321"/>
      <c r="J140" s="322"/>
      <c r="K140" s="322"/>
      <c r="L140" s="323"/>
      <c r="M140" s="324"/>
      <c r="N140" s="325"/>
    </row>
    <row r="141" spans="1:15" s="373" customFormat="1" ht="18.75" x14ac:dyDescent="0.2">
      <c r="A141" s="17">
        <f t="shared" si="2"/>
        <v>136</v>
      </c>
      <c r="B141" s="52" t="s">
        <v>2543</v>
      </c>
      <c r="C141" s="32" t="s">
        <v>2544</v>
      </c>
      <c r="D141" s="32" t="s">
        <v>2545</v>
      </c>
      <c r="E141" s="329" t="s">
        <v>2546</v>
      </c>
      <c r="F141" s="31">
        <v>920</v>
      </c>
      <c r="G141" s="316" t="s">
        <v>2383</v>
      </c>
      <c r="H141" s="320" t="s">
        <v>4256</v>
      </c>
      <c r="I141" s="32"/>
      <c r="J141" s="32"/>
      <c r="K141" s="225"/>
      <c r="L141" s="226"/>
      <c r="M141" s="234"/>
      <c r="N141" s="316"/>
    </row>
    <row r="142" spans="1:15" s="373" customFormat="1" ht="18.75" x14ac:dyDescent="0.2">
      <c r="A142" s="17">
        <f t="shared" si="2"/>
        <v>137</v>
      </c>
      <c r="B142" s="52" t="s">
        <v>2543</v>
      </c>
      <c r="C142" s="32" t="s">
        <v>2547</v>
      </c>
      <c r="D142" s="32" t="s">
        <v>2548</v>
      </c>
      <c r="E142" s="329" t="s">
        <v>2546</v>
      </c>
      <c r="F142" s="31">
        <v>920</v>
      </c>
      <c r="G142" s="316" t="s">
        <v>2383</v>
      </c>
      <c r="H142" s="320" t="s">
        <v>4256</v>
      </c>
      <c r="I142" s="32"/>
      <c r="J142" s="32"/>
      <c r="K142" s="225"/>
      <c r="L142" s="226"/>
      <c r="M142" s="234"/>
      <c r="N142" s="316"/>
    </row>
    <row r="143" spans="1:15" s="373" customFormat="1" ht="18.75" x14ac:dyDescent="0.2">
      <c r="A143" s="17">
        <f t="shared" si="2"/>
        <v>138</v>
      </c>
      <c r="B143" s="52" t="s">
        <v>2543</v>
      </c>
      <c r="C143" s="32" t="s">
        <v>2549</v>
      </c>
      <c r="D143" s="32" t="s">
        <v>2550</v>
      </c>
      <c r="E143" s="329" t="s">
        <v>2546</v>
      </c>
      <c r="F143" s="31">
        <v>920</v>
      </c>
      <c r="G143" s="316" t="s">
        <v>2383</v>
      </c>
      <c r="H143" s="320" t="s">
        <v>4256</v>
      </c>
      <c r="I143" s="32"/>
      <c r="J143" s="32"/>
      <c r="K143" s="225"/>
      <c r="L143" s="226"/>
      <c r="M143" s="234"/>
      <c r="N143" s="316"/>
    </row>
    <row r="144" spans="1:15" s="373" customFormat="1" ht="18.75" x14ac:dyDescent="0.2">
      <c r="A144" s="17">
        <f t="shared" si="2"/>
        <v>139</v>
      </c>
      <c r="B144" s="52" t="s">
        <v>2543</v>
      </c>
      <c r="C144" s="32" t="s">
        <v>2551</v>
      </c>
      <c r="D144" s="32" t="s">
        <v>2552</v>
      </c>
      <c r="E144" s="329" t="s">
        <v>2546</v>
      </c>
      <c r="F144" s="31">
        <v>920</v>
      </c>
      <c r="G144" s="316" t="s">
        <v>2383</v>
      </c>
      <c r="H144" s="320" t="s">
        <v>4256</v>
      </c>
      <c r="I144" s="32"/>
      <c r="J144" s="32"/>
      <c r="K144" s="225"/>
      <c r="L144" s="226"/>
      <c r="M144" s="234"/>
      <c r="N144" s="316"/>
    </row>
    <row r="145" spans="1:14" s="373" customFormat="1" ht="18.75" x14ac:dyDescent="0.2">
      <c r="A145" s="17">
        <f t="shared" si="2"/>
        <v>140</v>
      </c>
      <c r="B145" s="52" t="s">
        <v>2625</v>
      </c>
      <c r="C145" s="32" t="s">
        <v>2626</v>
      </c>
      <c r="D145" s="32" t="s">
        <v>2627</v>
      </c>
      <c r="E145" s="53" t="s">
        <v>2587</v>
      </c>
      <c r="F145" s="31">
        <v>4708</v>
      </c>
      <c r="G145" s="316" t="s">
        <v>2383</v>
      </c>
      <c r="H145" s="320" t="s">
        <v>4256</v>
      </c>
      <c r="I145" s="32"/>
      <c r="J145" s="32"/>
      <c r="K145" s="225"/>
      <c r="L145" s="226"/>
      <c r="M145" s="234"/>
      <c r="N145" s="285" t="s">
        <v>3832</v>
      </c>
    </row>
    <row r="146" spans="1:14" s="373" customFormat="1" ht="18.75" x14ac:dyDescent="0.2">
      <c r="A146" s="17">
        <f t="shared" si="2"/>
        <v>141</v>
      </c>
      <c r="B146" s="52" t="s">
        <v>2628</v>
      </c>
      <c r="C146" s="32" t="s">
        <v>2629</v>
      </c>
      <c r="D146" s="32" t="s">
        <v>2630</v>
      </c>
      <c r="E146" s="53" t="s">
        <v>2587</v>
      </c>
      <c r="F146" s="31">
        <v>11984</v>
      </c>
      <c r="G146" s="316" t="s">
        <v>2383</v>
      </c>
      <c r="H146" s="320" t="s">
        <v>4256</v>
      </c>
      <c r="I146" s="32"/>
      <c r="J146" s="32"/>
      <c r="K146" s="225"/>
      <c r="L146" s="226"/>
      <c r="M146" s="234"/>
      <c r="N146" s="285" t="s">
        <v>3832</v>
      </c>
    </row>
    <row r="147" spans="1:14" s="373" customFormat="1" ht="37.5" x14ac:dyDescent="0.2">
      <c r="A147" s="17">
        <f t="shared" si="2"/>
        <v>142</v>
      </c>
      <c r="B147" s="330" t="s">
        <v>2631</v>
      </c>
      <c r="C147" s="32" t="s">
        <v>2632</v>
      </c>
      <c r="D147" s="32" t="s">
        <v>2633</v>
      </c>
      <c r="E147" s="53" t="s">
        <v>2587</v>
      </c>
      <c r="F147" s="31">
        <v>22684</v>
      </c>
      <c r="G147" s="316" t="s">
        <v>2383</v>
      </c>
      <c r="H147" s="326" t="s">
        <v>4256</v>
      </c>
      <c r="I147" s="32"/>
      <c r="J147" s="32"/>
      <c r="K147" s="225"/>
      <c r="L147" s="226"/>
      <c r="M147" s="234"/>
      <c r="N147" s="285" t="s">
        <v>3832</v>
      </c>
    </row>
    <row r="148" spans="1:14" s="373" customFormat="1" ht="18.75" x14ac:dyDescent="0.2">
      <c r="A148" s="17">
        <f t="shared" si="2"/>
        <v>143</v>
      </c>
      <c r="B148" s="52" t="s">
        <v>2634</v>
      </c>
      <c r="C148" s="32" t="s">
        <v>2635</v>
      </c>
      <c r="D148" s="32" t="s">
        <v>2636</v>
      </c>
      <c r="E148" s="53" t="s">
        <v>2587</v>
      </c>
      <c r="F148" s="31">
        <v>3424</v>
      </c>
      <c r="G148" s="316" t="s">
        <v>2383</v>
      </c>
      <c r="H148" s="320" t="s">
        <v>4256</v>
      </c>
      <c r="I148" s="32"/>
      <c r="J148" s="32"/>
      <c r="K148" s="225"/>
      <c r="L148" s="226"/>
      <c r="M148" s="234"/>
      <c r="N148" s="285" t="s">
        <v>3832</v>
      </c>
    </row>
    <row r="149" spans="1:14" s="401" customFormat="1" ht="21" x14ac:dyDescent="0.2">
      <c r="A149" s="17">
        <f t="shared" si="2"/>
        <v>144</v>
      </c>
      <c r="B149" s="79" t="s">
        <v>1541</v>
      </c>
      <c r="C149" s="32" t="s">
        <v>1542</v>
      </c>
      <c r="D149" s="32" t="s">
        <v>1543</v>
      </c>
      <c r="E149" s="53" t="s">
        <v>1496</v>
      </c>
      <c r="F149" s="54">
        <v>42800</v>
      </c>
      <c r="G149" s="285" t="s">
        <v>21</v>
      </c>
      <c r="H149" s="32" t="s">
        <v>4256</v>
      </c>
      <c r="I149" s="32"/>
      <c r="J149" s="32"/>
      <c r="K149" s="32"/>
      <c r="L149" s="32"/>
      <c r="M149" s="32"/>
      <c r="N149" s="331" t="s">
        <v>4226</v>
      </c>
    </row>
    <row r="150" spans="1:14" s="373" customFormat="1" ht="18.75" x14ac:dyDescent="0.2">
      <c r="A150" s="17">
        <f t="shared" si="2"/>
        <v>145</v>
      </c>
      <c r="B150" s="52" t="s">
        <v>2878</v>
      </c>
      <c r="C150" s="32" t="s">
        <v>2879</v>
      </c>
      <c r="D150" s="32" t="s">
        <v>2880</v>
      </c>
      <c r="E150" s="53" t="s">
        <v>2862</v>
      </c>
      <c r="F150" s="54">
        <v>8816.7999999999993</v>
      </c>
      <c r="G150" s="285" t="s">
        <v>2863</v>
      </c>
      <c r="H150" s="32" t="s">
        <v>4256</v>
      </c>
      <c r="I150" s="32"/>
      <c r="J150" s="32"/>
      <c r="K150" s="32"/>
      <c r="L150" s="32"/>
      <c r="M150" s="32"/>
      <c r="N150" s="285" t="s">
        <v>3844</v>
      </c>
    </row>
    <row r="151" spans="1:14" s="373" customFormat="1" ht="18.75" x14ac:dyDescent="0.2">
      <c r="A151" s="17">
        <f t="shared" si="2"/>
        <v>146</v>
      </c>
      <c r="B151" s="52" t="s">
        <v>2881</v>
      </c>
      <c r="C151" s="32" t="s">
        <v>2882</v>
      </c>
      <c r="D151" s="32" t="s">
        <v>2883</v>
      </c>
      <c r="E151" s="53" t="s">
        <v>2862</v>
      </c>
      <c r="F151" s="54">
        <v>17334</v>
      </c>
      <c r="G151" s="285" t="s">
        <v>2863</v>
      </c>
      <c r="H151" s="32" t="s">
        <v>4256</v>
      </c>
      <c r="I151" s="32"/>
      <c r="J151" s="32"/>
      <c r="K151" s="32"/>
      <c r="L151" s="32"/>
      <c r="M151" s="32"/>
      <c r="N151" s="285" t="s">
        <v>3844</v>
      </c>
    </row>
    <row r="152" spans="1:14" s="373" customFormat="1" ht="18.75" x14ac:dyDescent="0.2">
      <c r="A152" s="17">
        <f t="shared" si="2"/>
        <v>147</v>
      </c>
      <c r="B152" s="52" t="s">
        <v>2884</v>
      </c>
      <c r="C152" s="32" t="s">
        <v>2885</v>
      </c>
      <c r="D152" s="32" t="s">
        <v>2886</v>
      </c>
      <c r="E152" s="53" t="s">
        <v>2862</v>
      </c>
      <c r="F152" s="54">
        <v>13803</v>
      </c>
      <c r="G152" s="285" t="s">
        <v>2863</v>
      </c>
      <c r="H152" s="32" t="s">
        <v>4256</v>
      </c>
      <c r="I152" s="32"/>
      <c r="J152" s="32"/>
      <c r="K152" s="32"/>
      <c r="L152" s="32"/>
      <c r="M152" s="32"/>
      <c r="N152" s="285" t="s">
        <v>3844</v>
      </c>
    </row>
    <row r="153" spans="1:14" s="373" customFormat="1" ht="18.75" x14ac:dyDescent="0.2">
      <c r="A153" s="17">
        <f t="shared" si="2"/>
        <v>148</v>
      </c>
      <c r="B153" s="52" t="s">
        <v>2887</v>
      </c>
      <c r="C153" s="32" t="s">
        <v>2888</v>
      </c>
      <c r="D153" s="32" t="s">
        <v>2889</v>
      </c>
      <c r="E153" s="53" t="s">
        <v>2862</v>
      </c>
      <c r="F153" s="54">
        <v>2354</v>
      </c>
      <c r="G153" s="285" t="s">
        <v>2863</v>
      </c>
      <c r="H153" s="32" t="s">
        <v>4256</v>
      </c>
      <c r="I153" s="32"/>
      <c r="J153" s="32"/>
      <c r="K153" s="32"/>
      <c r="L153" s="32"/>
      <c r="M153" s="32"/>
      <c r="N153" s="285" t="s">
        <v>3833</v>
      </c>
    </row>
    <row r="154" spans="1:14" s="373" customFormat="1" ht="18.75" x14ac:dyDescent="0.2">
      <c r="A154" s="17">
        <f t="shared" si="2"/>
        <v>149</v>
      </c>
      <c r="B154" s="55" t="s">
        <v>3464</v>
      </c>
      <c r="C154" s="298" t="s">
        <v>3465</v>
      </c>
      <c r="D154" s="13" t="s">
        <v>3466</v>
      </c>
      <c r="E154" s="53" t="s">
        <v>3420</v>
      </c>
      <c r="F154" s="31">
        <v>26300</v>
      </c>
      <c r="G154" s="285" t="s">
        <v>2378</v>
      </c>
      <c r="H154" s="32" t="s">
        <v>4256</v>
      </c>
      <c r="I154" s="32"/>
      <c r="J154" s="32"/>
      <c r="K154" s="32"/>
      <c r="L154" s="32"/>
      <c r="M154" s="32"/>
      <c r="N154" s="285" t="s">
        <v>3834</v>
      </c>
    </row>
    <row r="155" spans="1:14" s="373" customFormat="1" ht="18.75" x14ac:dyDescent="0.2">
      <c r="A155" s="17">
        <f t="shared" si="2"/>
        <v>150</v>
      </c>
      <c r="B155" s="55" t="s">
        <v>3464</v>
      </c>
      <c r="C155" s="298" t="s">
        <v>3467</v>
      </c>
      <c r="D155" s="13" t="s">
        <v>3468</v>
      </c>
      <c r="E155" s="53" t="s">
        <v>3420</v>
      </c>
      <c r="F155" s="31">
        <v>26300</v>
      </c>
      <c r="G155" s="285" t="s">
        <v>2378</v>
      </c>
      <c r="H155" s="32" t="s">
        <v>4256</v>
      </c>
      <c r="I155" s="32"/>
      <c r="J155" s="32"/>
      <c r="K155" s="32"/>
      <c r="L155" s="32"/>
      <c r="M155" s="32"/>
      <c r="N155" s="285" t="s">
        <v>3834</v>
      </c>
    </row>
    <row r="156" spans="1:14" s="373" customFormat="1" ht="18.75" x14ac:dyDescent="0.2">
      <c r="A156" s="17">
        <f t="shared" si="2"/>
        <v>151</v>
      </c>
      <c r="B156" s="55" t="s">
        <v>3464</v>
      </c>
      <c r="C156" s="298" t="s">
        <v>3469</v>
      </c>
      <c r="D156" s="13" t="s">
        <v>3470</v>
      </c>
      <c r="E156" s="53" t="s">
        <v>3420</v>
      </c>
      <c r="F156" s="31">
        <v>43000</v>
      </c>
      <c r="G156" s="285" t="s">
        <v>2378</v>
      </c>
      <c r="H156" s="32" t="s">
        <v>4256</v>
      </c>
      <c r="I156" s="32"/>
      <c r="J156" s="32"/>
      <c r="K156" s="32"/>
      <c r="L156" s="32"/>
      <c r="M156" s="32"/>
      <c r="N156" s="285" t="s">
        <v>3834</v>
      </c>
    </row>
    <row r="157" spans="1:14" s="373" customFormat="1" ht="18.75" x14ac:dyDescent="0.2">
      <c r="A157" s="17">
        <f t="shared" si="2"/>
        <v>152</v>
      </c>
      <c r="B157" s="55" t="s">
        <v>3471</v>
      </c>
      <c r="C157" s="298" t="s">
        <v>3472</v>
      </c>
      <c r="D157" s="13" t="s">
        <v>3473</v>
      </c>
      <c r="E157" s="53" t="s">
        <v>3420</v>
      </c>
      <c r="F157" s="31">
        <v>4700</v>
      </c>
      <c r="G157" s="285" t="s">
        <v>2378</v>
      </c>
      <c r="H157" s="32" t="s">
        <v>4256</v>
      </c>
      <c r="I157" s="32"/>
      <c r="J157" s="32"/>
      <c r="K157" s="32"/>
      <c r="L157" s="32"/>
      <c r="M157" s="32"/>
      <c r="N157" s="285" t="s">
        <v>3834</v>
      </c>
    </row>
    <row r="158" spans="1:14" s="373" customFormat="1" ht="18.75" x14ac:dyDescent="0.2">
      <c r="A158" s="17">
        <f t="shared" si="2"/>
        <v>153</v>
      </c>
      <c r="B158" s="55" t="s">
        <v>3471</v>
      </c>
      <c r="C158" s="298" t="s">
        <v>3479</v>
      </c>
      <c r="D158" s="13" t="s">
        <v>3480</v>
      </c>
      <c r="E158" s="53" t="s">
        <v>3420</v>
      </c>
      <c r="F158" s="31">
        <v>4700</v>
      </c>
      <c r="G158" s="285" t="s">
        <v>2378</v>
      </c>
      <c r="H158" s="32" t="s">
        <v>4256</v>
      </c>
      <c r="I158" s="32"/>
      <c r="J158" s="32"/>
      <c r="K158" s="32"/>
      <c r="L158" s="32"/>
      <c r="M158" s="32"/>
      <c r="N158" s="285" t="s">
        <v>3834</v>
      </c>
    </row>
    <row r="159" spans="1:14" s="373" customFormat="1" ht="18.75" x14ac:dyDescent="0.2">
      <c r="A159" s="17">
        <f t="shared" si="2"/>
        <v>154</v>
      </c>
      <c r="B159" s="55" t="s">
        <v>3471</v>
      </c>
      <c r="C159" s="298" t="s">
        <v>3489</v>
      </c>
      <c r="D159" s="13" t="s">
        <v>3490</v>
      </c>
      <c r="E159" s="53" t="s">
        <v>3420</v>
      </c>
      <c r="F159" s="31">
        <v>4700</v>
      </c>
      <c r="G159" s="285" t="s">
        <v>2378</v>
      </c>
      <c r="H159" s="32" t="s">
        <v>4256</v>
      </c>
      <c r="I159" s="32"/>
      <c r="J159" s="32"/>
      <c r="K159" s="32"/>
      <c r="L159" s="32"/>
      <c r="M159" s="32"/>
      <c r="N159" s="285" t="s">
        <v>3834</v>
      </c>
    </row>
    <row r="160" spans="1:14" s="373" customFormat="1" ht="18.75" x14ac:dyDescent="0.2">
      <c r="A160" s="17">
        <f t="shared" si="2"/>
        <v>155</v>
      </c>
      <c r="B160" s="55" t="s">
        <v>3471</v>
      </c>
      <c r="C160" s="298" t="s">
        <v>3491</v>
      </c>
      <c r="D160" s="13" t="s">
        <v>3492</v>
      </c>
      <c r="E160" s="53" t="s">
        <v>3420</v>
      </c>
      <c r="F160" s="31">
        <v>4700</v>
      </c>
      <c r="G160" s="285" t="s">
        <v>2378</v>
      </c>
      <c r="H160" s="32" t="s">
        <v>4256</v>
      </c>
      <c r="I160" s="32"/>
      <c r="J160" s="32"/>
      <c r="K160" s="32"/>
      <c r="L160" s="32"/>
      <c r="M160" s="32"/>
      <c r="N160" s="285" t="s">
        <v>3834</v>
      </c>
    </row>
    <row r="161" spans="1:15" s="373" customFormat="1" ht="18.75" x14ac:dyDescent="0.2">
      <c r="A161" s="17">
        <f t="shared" si="2"/>
        <v>156</v>
      </c>
      <c r="B161" s="55" t="s">
        <v>3471</v>
      </c>
      <c r="C161" s="298" t="s">
        <v>3493</v>
      </c>
      <c r="D161" s="13" t="s">
        <v>3494</v>
      </c>
      <c r="E161" s="53" t="s">
        <v>3420</v>
      </c>
      <c r="F161" s="31">
        <v>4700</v>
      </c>
      <c r="G161" s="285" t="s">
        <v>2378</v>
      </c>
      <c r="H161" s="32" t="s">
        <v>4256</v>
      </c>
      <c r="I161" s="32"/>
      <c r="J161" s="32"/>
      <c r="K161" s="32"/>
      <c r="L161" s="32"/>
      <c r="M161" s="32"/>
      <c r="N161" s="285" t="s">
        <v>3834</v>
      </c>
    </row>
    <row r="162" spans="1:15" s="373" customFormat="1" ht="18.75" x14ac:dyDescent="0.2">
      <c r="A162" s="17">
        <f t="shared" si="2"/>
        <v>157</v>
      </c>
      <c r="B162" s="55" t="s">
        <v>3471</v>
      </c>
      <c r="C162" s="298" t="s">
        <v>3495</v>
      </c>
      <c r="D162" s="13" t="s">
        <v>3496</v>
      </c>
      <c r="E162" s="53" t="s">
        <v>3420</v>
      </c>
      <c r="F162" s="31">
        <v>4700</v>
      </c>
      <c r="G162" s="285" t="s">
        <v>2378</v>
      </c>
      <c r="H162" s="32" t="s">
        <v>4256</v>
      </c>
      <c r="I162" s="32"/>
      <c r="J162" s="32"/>
      <c r="K162" s="32"/>
      <c r="L162" s="32"/>
      <c r="M162" s="32"/>
      <c r="N162" s="285" t="s">
        <v>3834</v>
      </c>
    </row>
    <row r="163" spans="1:15" s="373" customFormat="1" ht="18.75" x14ac:dyDescent="0.2">
      <c r="A163" s="17">
        <f t="shared" si="2"/>
        <v>158</v>
      </c>
      <c r="B163" s="55" t="s">
        <v>3471</v>
      </c>
      <c r="C163" s="298" t="s">
        <v>3497</v>
      </c>
      <c r="D163" s="13" t="s">
        <v>3498</v>
      </c>
      <c r="E163" s="53" t="s">
        <v>3420</v>
      </c>
      <c r="F163" s="31">
        <v>4700</v>
      </c>
      <c r="G163" s="285" t="s">
        <v>2378</v>
      </c>
      <c r="H163" s="32" t="s">
        <v>4256</v>
      </c>
      <c r="I163" s="32"/>
      <c r="J163" s="32"/>
      <c r="K163" s="32"/>
      <c r="L163" s="32"/>
      <c r="M163" s="32"/>
      <c r="N163" s="285" t="s">
        <v>3834</v>
      </c>
    </row>
    <row r="164" spans="1:15" s="373" customFormat="1" ht="18.75" x14ac:dyDescent="0.2">
      <c r="A164" s="17">
        <f t="shared" si="2"/>
        <v>159</v>
      </c>
      <c r="B164" s="55" t="s">
        <v>3471</v>
      </c>
      <c r="C164" s="298" t="s">
        <v>3499</v>
      </c>
      <c r="D164" s="13" t="s">
        <v>3500</v>
      </c>
      <c r="E164" s="53" t="s">
        <v>3420</v>
      </c>
      <c r="F164" s="31">
        <v>4700</v>
      </c>
      <c r="G164" s="285" t="s">
        <v>2378</v>
      </c>
      <c r="H164" s="32" t="s">
        <v>4256</v>
      </c>
      <c r="I164" s="32"/>
      <c r="J164" s="32"/>
      <c r="K164" s="32"/>
      <c r="L164" s="32"/>
      <c r="M164" s="32"/>
      <c r="N164" s="285" t="s">
        <v>3834</v>
      </c>
    </row>
    <row r="165" spans="1:15" s="373" customFormat="1" ht="18.75" x14ac:dyDescent="0.2">
      <c r="A165" s="17">
        <f t="shared" si="2"/>
        <v>160</v>
      </c>
      <c r="B165" s="55" t="s">
        <v>3471</v>
      </c>
      <c r="C165" s="298" t="s">
        <v>3501</v>
      </c>
      <c r="D165" s="13" t="s">
        <v>3502</v>
      </c>
      <c r="E165" s="53" t="s">
        <v>3420</v>
      </c>
      <c r="F165" s="31">
        <v>4700</v>
      </c>
      <c r="G165" s="285" t="s">
        <v>2378</v>
      </c>
      <c r="H165" s="32" t="s">
        <v>4256</v>
      </c>
      <c r="I165" s="32"/>
      <c r="J165" s="32"/>
      <c r="K165" s="32"/>
      <c r="L165" s="32"/>
      <c r="M165" s="32"/>
      <c r="N165" s="285" t="s">
        <v>3834</v>
      </c>
    </row>
    <row r="166" spans="1:15" s="373" customFormat="1" ht="18.75" x14ac:dyDescent="0.2">
      <c r="A166" s="17">
        <f t="shared" si="2"/>
        <v>161</v>
      </c>
      <c r="B166" s="55" t="s">
        <v>3509</v>
      </c>
      <c r="C166" s="298" t="s">
        <v>3510</v>
      </c>
      <c r="D166" s="13" t="s">
        <v>3511</v>
      </c>
      <c r="E166" s="53" t="s">
        <v>3420</v>
      </c>
      <c r="F166" s="31">
        <v>4700</v>
      </c>
      <c r="G166" s="285" t="s">
        <v>2378</v>
      </c>
      <c r="H166" s="32" t="s">
        <v>4256</v>
      </c>
      <c r="I166" s="32"/>
      <c r="J166" s="32"/>
      <c r="K166" s="32"/>
      <c r="L166" s="32"/>
      <c r="M166" s="32"/>
      <c r="N166" s="285" t="s">
        <v>3881</v>
      </c>
    </row>
    <row r="167" spans="1:15" s="373" customFormat="1" ht="18.75" x14ac:dyDescent="0.3">
      <c r="A167" s="17">
        <f t="shared" si="2"/>
        <v>162</v>
      </c>
      <c r="B167" s="425" t="s">
        <v>4361</v>
      </c>
      <c r="C167" s="426" t="s">
        <v>4943</v>
      </c>
      <c r="D167" s="426" t="s">
        <v>155</v>
      </c>
      <c r="E167" s="34">
        <v>243822</v>
      </c>
      <c r="F167" s="427">
        <v>63130</v>
      </c>
      <c r="G167" s="733" t="s">
        <v>4364</v>
      </c>
      <c r="H167" s="32" t="s">
        <v>4256</v>
      </c>
      <c r="I167" s="32"/>
      <c r="J167" s="32"/>
      <c r="K167" s="32"/>
      <c r="L167" s="32"/>
      <c r="M167" s="32"/>
      <c r="N167" s="285" t="s">
        <v>5013</v>
      </c>
    </row>
    <row r="168" spans="1:15" s="373" customFormat="1" ht="18.75" x14ac:dyDescent="0.3">
      <c r="A168" s="17">
        <f t="shared" si="2"/>
        <v>163</v>
      </c>
      <c r="B168" s="425" t="s">
        <v>4362</v>
      </c>
      <c r="C168" s="426" t="s">
        <v>4944</v>
      </c>
      <c r="D168" s="426" t="s">
        <v>156</v>
      </c>
      <c r="E168" s="34">
        <v>243822</v>
      </c>
      <c r="F168" s="427">
        <v>25680</v>
      </c>
      <c r="G168" s="733" t="s">
        <v>4364</v>
      </c>
      <c r="H168" s="32" t="s">
        <v>4256</v>
      </c>
      <c r="I168" s="32"/>
      <c r="J168" s="32"/>
      <c r="K168" s="32"/>
      <c r="L168" s="32"/>
      <c r="M168" s="32"/>
      <c r="N168" s="285" t="s">
        <v>5013</v>
      </c>
    </row>
    <row r="169" spans="1:15" s="373" customFormat="1" ht="18.75" x14ac:dyDescent="0.3">
      <c r="A169" s="17">
        <f t="shared" si="2"/>
        <v>164</v>
      </c>
      <c r="B169" s="425" t="s">
        <v>4362</v>
      </c>
      <c r="C169" s="426" t="s">
        <v>4945</v>
      </c>
      <c r="D169" s="426" t="s">
        <v>157</v>
      </c>
      <c r="E169" s="34">
        <v>243822</v>
      </c>
      <c r="F169" s="427">
        <v>25680</v>
      </c>
      <c r="G169" s="733" t="s">
        <v>4364</v>
      </c>
      <c r="H169" s="32" t="s">
        <v>4256</v>
      </c>
      <c r="I169" s="32"/>
      <c r="J169" s="32"/>
      <c r="K169" s="32"/>
      <c r="L169" s="32"/>
      <c r="M169" s="32"/>
      <c r="N169" s="285" t="s">
        <v>5013</v>
      </c>
    </row>
    <row r="170" spans="1:15" s="373" customFormat="1" ht="18.75" x14ac:dyDescent="0.3">
      <c r="A170" s="17">
        <f t="shared" si="2"/>
        <v>165</v>
      </c>
      <c r="B170" s="425" t="s">
        <v>4363</v>
      </c>
      <c r="C170" s="426" t="s">
        <v>4946</v>
      </c>
      <c r="D170" s="426" t="s">
        <v>158</v>
      </c>
      <c r="E170" s="34">
        <v>243822</v>
      </c>
      <c r="F170" s="427">
        <v>24610</v>
      </c>
      <c r="G170" s="733" t="s">
        <v>4364</v>
      </c>
      <c r="H170" s="32" t="s">
        <v>4256</v>
      </c>
      <c r="I170" s="32"/>
      <c r="J170" s="32"/>
      <c r="K170" s="32"/>
      <c r="L170" s="32"/>
      <c r="M170" s="32"/>
      <c r="N170" s="285" t="s">
        <v>5013</v>
      </c>
    </row>
    <row r="171" spans="1:15" s="373" customFormat="1" ht="18.75" x14ac:dyDescent="0.3">
      <c r="A171" s="17">
        <f t="shared" si="2"/>
        <v>166</v>
      </c>
      <c r="B171" s="425" t="s">
        <v>4363</v>
      </c>
      <c r="C171" s="426" t="s">
        <v>4947</v>
      </c>
      <c r="D171" s="426" t="s">
        <v>159</v>
      </c>
      <c r="E171" s="34">
        <v>243822</v>
      </c>
      <c r="F171" s="427">
        <v>24610</v>
      </c>
      <c r="G171" s="733" t="s">
        <v>4364</v>
      </c>
      <c r="H171" s="32" t="s">
        <v>4256</v>
      </c>
      <c r="I171" s="32"/>
      <c r="J171" s="32"/>
      <c r="K171" s="32"/>
      <c r="L171" s="32"/>
      <c r="M171" s="32"/>
      <c r="N171" s="285" t="s">
        <v>5013</v>
      </c>
    </row>
    <row r="172" spans="1:15" s="372" customFormat="1" ht="18.75" x14ac:dyDescent="0.3">
      <c r="A172" s="17">
        <f t="shared" si="2"/>
        <v>167</v>
      </c>
      <c r="B172" s="307" t="s">
        <v>1204</v>
      </c>
      <c r="C172" s="308" t="s">
        <v>1205</v>
      </c>
      <c r="D172" s="308" t="s">
        <v>1206</v>
      </c>
      <c r="E172" s="319" t="s">
        <v>1207</v>
      </c>
      <c r="F172" s="310">
        <v>1390</v>
      </c>
      <c r="G172" s="381" t="s">
        <v>825</v>
      </c>
      <c r="H172" s="320" t="s">
        <v>4256</v>
      </c>
      <c r="I172" s="321"/>
      <c r="J172" s="322"/>
      <c r="K172" s="322"/>
      <c r="L172" s="323"/>
      <c r="M172" s="324"/>
      <c r="N172" s="332"/>
    </row>
    <row r="173" spans="1:15" s="373" customFormat="1" ht="18.75" x14ac:dyDescent="0.2">
      <c r="A173" s="17">
        <f t="shared" si="2"/>
        <v>168</v>
      </c>
      <c r="B173" s="55" t="s">
        <v>3547</v>
      </c>
      <c r="C173" s="298" t="s">
        <v>3548</v>
      </c>
      <c r="D173" s="13" t="s">
        <v>3549</v>
      </c>
      <c r="E173" s="53" t="s">
        <v>3420</v>
      </c>
      <c r="F173" s="31">
        <v>9400</v>
      </c>
      <c r="G173" s="285" t="s">
        <v>2378</v>
      </c>
      <c r="H173" s="320" t="s">
        <v>4256</v>
      </c>
      <c r="I173" s="32"/>
      <c r="J173" s="32"/>
      <c r="K173" s="32"/>
      <c r="L173" s="32"/>
      <c r="M173" s="32"/>
      <c r="N173" s="285" t="s">
        <v>3881</v>
      </c>
      <c r="O173" s="747">
        <f>SUM(F172:F175)</f>
        <v>29590</v>
      </c>
    </row>
    <row r="174" spans="1:15" s="373" customFormat="1" ht="18.75" x14ac:dyDescent="0.2">
      <c r="A174" s="17">
        <f t="shared" si="2"/>
        <v>169</v>
      </c>
      <c r="B174" s="55" t="s">
        <v>3547</v>
      </c>
      <c r="C174" s="298" t="s">
        <v>3550</v>
      </c>
      <c r="D174" s="13" t="s">
        <v>3551</v>
      </c>
      <c r="E174" s="53" t="s">
        <v>3420</v>
      </c>
      <c r="F174" s="31">
        <v>9400</v>
      </c>
      <c r="G174" s="285" t="s">
        <v>2378</v>
      </c>
      <c r="H174" s="320" t="s">
        <v>4256</v>
      </c>
      <c r="I174" s="32"/>
      <c r="J174" s="32"/>
      <c r="K174" s="32"/>
      <c r="L174" s="32"/>
      <c r="M174" s="32"/>
      <c r="N174" s="285" t="s">
        <v>3881</v>
      </c>
    </row>
    <row r="175" spans="1:15" s="373" customFormat="1" ht="18.75" x14ac:dyDescent="0.2">
      <c r="A175" s="17">
        <f t="shared" si="2"/>
        <v>170</v>
      </c>
      <c r="B175" s="55" t="s">
        <v>3547</v>
      </c>
      <c r="C175" s="298" t="s">
        <v>3552</v>
      </c>
      <c r="D175" s="13" t="s">
        <v>3553</v>
      </c>
      <c r="E175" s="53" t="s">
        <v>3420</v>
      </c>
      <c r="F175" s="31">
        <v>9400</v>
      </c>
      <c r="G175" s="285" t="s">
        <v>2378</v>
      </c>
      <c r="H175" s="320" t="s">
        <v>4256</v>
      </c>
      <c r="I175" s="32"/>
      <c r="J175" s="32"/>
      <c r="K175" s="32"/>
      <c r="L175" s="32"/>
      <c r="M175" s="32"/>
      <c r="N175" s="285" t="s">
        <v>3881</v>
      </c>
    </row>
    <row r="176" spans="1:15" s="373" customFormat="1" ht="37.5" x14ac:dyDescent="0.2">
      <c r="A176" s="58">
        <f t="shared" si="2"/>
        <v>171</v>
      </c>
      <c r="B176" s="52" t="s">
        <v>2566</v>
      </c>
      <c r="C176" s="32" t="s">
        <v>2567</v>
      </c>
      <c r="D176" s="32" t="s">
        <v>2568</v>
      </c>
      <c r="E176" s="329" t="s">
        <v>2569</v>
      </c>
      <c r="F176" s="31">
        <v>494000</v>
      </c>
      <c r="G176" s="316" t="s">
        <v>2383</v>
      </c>
      <c r="H176" s="479" t="s">
        <v>4256</v>
      </c>
      <c r="I176" s="32"/>
      <c r="J176" s="32"/>
      <c r="K176" s="225"/>
      <c r="L176" s="226"/>
      <c r="M176" s="234"/>
      <c r="N176" s="316"/>
      <c r="O176" s="747">
        <f>SUM(F176:F179)</f>
        <v>804000</v>
      </c>
    </row>
    <row r="177" spans="1:14" s="373" customFormat="1" ht="18.75" x14ac:dyDescent="0.2">
      <c r="A177" s="17">
        <f t="shared" si="2"/>
        <v>172</v>
      </c>
      <c r="B177" s="55" t="s">
        <v>3647</v>
      </c>
      <c r="C177" s="13" t="s">
        <v>3648</v>
      </c>
      <c r="D177" s="13" t="s">
        <v>3649</v>
      </c>
      <c r="E177" s="53" t="s">
        <v>3650</v>
      </c>
      <c r="F177" s="31">
        <v>249000</v>
      </c>
      <c r="G177" s="285" t="s">
        <v>2378</v>
      </c>
      <c r="H177" s="479" t="s">
        <v>4256</v>
      </c>
      <c r="I177" s="32"/>
      <c r="J177" s="32"/>
      <c r="K177" s="32"/>
      <c r="L177" s="32"/>
      <c r="M177" s="32"/>
      <c r="N177" s="316"/>
    </row>
    <row r="178" spans="1:14" s="373" customFormat="1" ht="18.75" x14ac:dyDescent="0.2">
      <c r="A178" s="17">
        <f t="shared" si="2"/>
        <v>173</v>
      </c>
      <c r="B178" s="55" t="s">
        <v>3734</v>
      </c>
      <c r="C178" s="13" t="s">
        <v>3735</v>
      </c>
      <c r="D178" s="13" t="s">
        <v>3736</v>
      </c>
      <c r="E178" s="53" t="s">
        <v>1731</v>
      </c>
      <c r="F178" s="31">
        <v>37500</v>
      </c>
      <c r="G178" s="285" t="s">
        <v>2378</v>
      </c>
      <c r="H178" s="479" t="s">
        <v>4256</v>
      </c>
      <c r="I178" s="32"/>
      <c r="J178" s="32"/>
      <c r="K178" s="32"/>
      <c r="L178" s="32"/>
      <c r="M178" s="32"/>
      <c r="N178" s="316" t="s">
        <v>3855</v>
      </c>
    </row>
    <row r="179" spans="1:14" s="373" customFormat="1" ht="18.75" x14ac:dyDescent="0.2">
      <c r="A179" s="17">
        <f t="shared" si="2"/>
        <v>174</v>
      </c>
      <c r="B179" s="55" t="s">
        <v>3737</v>
      </c>
      <c r="C179" s="13" t="s">
        <v>3738</v>
      </c>
      <c r="D179" s="13" t="s">
        <v>3739</v>
      </c>
      <c r="E179" s="53" t="s">
        <v>1731</v>
      </c>
      <c r="F179" s="31">
        <v>23500</v>
      </c>
      <c r="G179" s="285" t="s">
        <v>2378</v>
      </c>
      <c r="H179" s="479" t="s">
        <v>4256</v>
      </c>
      <c r="I179" s="32"/>
      <c r="J179" s="32"/>
      <c r="K179" s="32"/>
      <c r="L179" s="32"/>
      <c r="M179" s="32"/>
      <c r="N179" s="316" t="s">
        <v>3855</v>
      </c>
    </row>
    <row r="180" spans="1:14" s="401" customFormat="1" ht="21" x14ac:dyDescent="0.2">
      <c r="A180" s="17">
        <f t="shared" si="2"/>
        <v>175</v>
      </c>
      <c r="B180" s="79" t="s">
        <v>1538</v>
      </c>
      <c r="C180" s="32" t="s">
        <v>1539</v>
      </c>
      <c r="D180" s="32" t="s">
        <v>1540</v>
      </c>
      <c r="E180" s="53" t="s">
        <v>1496</v>
      </c>
      <c r="F180" s="54">
        <v>128400</v>
      </c>
      <c r="G180" s="285" t="s">
        <v>21</v>
      </c>
      <c r="H180" s="32" t="s">
        <v>4256</v>
      </c>
      <c r="I180" s="32"/>
      <c r="J180" s="32"/>
      <c r="K180" s="32"/>
      <c r="L180" s="32"/>
      <c r="M180" s="32"/>
      <c r="N180" s="331" t="s">
        <v>4250</v>
      </c>
    </row>
    <row r="181" spans="1:14" s="372" customFormat="1" ht="18.75" x14ac:dyDescent="0.3">
      <c r="A181" s="322"/>
      <c r="B181" s="341" t="s">
        <v>4365</v>
      </c>
      <c r="C181" s="307"/>
      <c r="D181" s="307"/>
      <c r="E181" s="307"/>
      <c r="F181" s="414">
        <f>SUBTOTAL(9,F6:F180)</f>
        <v>3035818.430000002</v>
      </c>
      <c r="G181" s="307"/>
      <c r="H181" s="322"/>
      <c r="I181" s="322"/>
      <c r="J181" s="322"/>
      <c r="K181" s="322"/>
      <c r="L181" s="322"/>
      <c r="M181" s="322"/>
      <c r="N181" s="322"/>
    </row>
  </sheetData>
  <autoFilter ref="A4:N180" xr:uid="{00000000-0009-0000-0000-000013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dataValidations count="1">
    <dataValidation type="decimal" operator="greaterThanOrEqual" allowBlank="1" showInputMessage="1" showErrorMessage="1" prompt="กรุณาระบุเฉพาะตัวเลขเท่านั้น" sqref="F167:F171" xr:uid="{00000000-0002-0000-1300-000000000000}">
      <formula1>0</formula1>
    </dataValidation>
  </dataValidation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N11"/>
  <sheetViews>
    <sheetView topLeftCell="A3" workbookViewId="0">
      <selection activeCell="H4" sqref="A4:XFD5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20.140625" style="42" customWidth="1"/>
    <col min="15" max="16384" width="9.140625" style="42"/>
  </cols>
  <sheetData>
    <row r="1" spans="1:14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4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4" s="10" customFormat="1" ht="18.75" x14ac:dyDescent="0.3">
      <c r="A3" s="871" t="s">
        <v>4338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4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4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4" s="38" customFormat="1" ht="37.5" x14ac:dyDescent="0.3">
      <c r="A6" s="58">
        <f>ROW()-ROW($A$6)+1</f>
        <v>1</v>
      </c>
      <c r="B6" s="286" t="s">
        <v>3988</v>
      </c>
      <c r="C6" s="287" t="s">
        <v>3989</v>
      </c>
      <c r="D6" s="287" t="s">
        <v>3990</v>
      </c>
      <c r="E6" s="288" t="s">
        <v>3991</v>
      </c>
      <c r="F6" s="289">
        <v>53000</v>
      </c>
      <c r="G6" s="731" t="s">
        <v>3892</v>
      </c>
      <c r="H6" s="36" t="s">
        <v>4256</v>
      </c>
      <c r="I6" s="287"/>
      <c r="J6" s="287"/>
      <c r="K6" s="287"/>
      <c r="L6" s="290"/>
      <c r="M6" s="290"/>
      <c r="N6" s="291"/>
    </row>
    <row r="7" spans="1:14" s="38" customFormat="1" ht="37.5" x14ac:dyDescent="0.3">
      <c r="A7" s="58">
        <f t="shared" ref="A7:A10" si="0">ROW()-ROW($A$6)+1</f>
        <v>2</v>
      </c>
      <c r="B7" s="286" t="s">
        <v>3992</v>
      </c>
      <c r="C7" s="287" t="s">
        <v>3993</v>
      </c>
      <c r="D7" s="287" t="s">
        <v>3994</v>
      </c>
      <c r="E7" s="288" t="s">
        <v>3991</v>
      </c>
      <c r="F7" s="289">
        <v>26000</v>
      </c>
      <c r="G7" s="731" t="s">
        <v>3892</v>
      </c>
      <c r="H7" s="36" t="s">
        <v>4256</v>
      </c>
      <c r="I7" s="46"/>
      <c r="J7" s="45"/>
      <c r="K7" s="45"/>
      <c r="L7" s="47"/>
      <c r="M7" s="47"/>
      <c r="N7" s="48"/>
    </row>
    <row r="8" spans="1:14" s="38" customFormat="1" ht="18.75" x14ac:dyDescent="0.3">
      <c r="A8" s="58">
        <f t="shared" si="0"/>
        <v>3</v>
      </c>
      <c r="B8" s="49" t="s">
        <v>3995</v>
      </c>
      <c r="C8" s="45" t="s">
        <v>3996</v>
      </c>
      <c r="D8" s="7" t="s">
        <v>3997</v>
      </c>
      <c r="E8" s="39" t="s">
        <v>3991</v>
      </c>
      <c r="F8" s="40">
        <v>6000</v>
      </c>
      <c r="G8" s="41" t="s">
        <v>3892</v>
      </c>
      <c r="H8" s="36" t="s">
        <v>4256</v>
      </c>
      <c r="I8" s="7"/>
      <c r="J8" s="6"/>
      <c r="K8" s="6"/>
      <c r="L8" s="8"/>
      <c r="M8" s="9"/>
      <c r="N8" s="48"/>
    </row>
    <row r="9" spans="1:14" s="38" customFormat="1" ht="18.75" x14ac:dyDescent="0.3">
      <c r="A9" s="58">
        <f t="shared" si="0"/>
        <v>4</v>
      </c>
      <c r="B9" s="49" t="s">
        <v>3998</v>
      </c>
      <c r="C9" s="45" t="s">
        <v>3999</v>
      </c>
      <c r="D9" s="7" t="s">
        <v>4000</v>
      </c>
      <c r="E9" s="39" t="s">
        <v>3991</v>
      </c>
      <c r="F9" s="40">
        <v>35000</v>
      </c>
      <c r="G9" s="41" t="s">
        <v>3892</v>
      </c>
      <c r="H9" s="36" t="s">
        <v>4256</v>
      </c>
      <c r="I9" s="7"/>
      <c r="J9" s="6"/>
      <c r="K9" s="6"/>
      <c r="L9" s="8"/>
      <c r="M9" s="9"/>
      <c r="N9" s="48"/>
    </row>
    <row r="10" spans="1:14" s="38" customFormat="1" ht="18.75" x14ac:dyDescent="0.3">
      <c r="A10" s="58">
        <f t="shared" si="0"/>
        <v>5</v>
      </c>
      <c r="B10" s="49" t="s">
        <v>4001</v>
      </c>
      <c r="C10" s="45" t="s">
        <v>4002</v>
      </c>
      <c r="D10" s="7" t="s">
        <v>4003</v>
      </c>
      <c r="E10" s="39" t="s">
        <v>3991</v>
      </c>
      <c r="F10" s="40">
        <v>10000</v>
      </c>
      <c r="G10" s="41" t="s">
        <v>3892</v>
      </c>
      <c r="H10" s="36" t="s">
        <v>4256</v>
      </c>
      <c r="I10" s="7"/>
      <c r="J10" s="6"/>
      <c r="K10" s="6"/>
      <c r="L10" s="8"/>
      <c r="M10" s="9"/>
      <c r="N10" s="48"/>
    </row>
    <row r="11" spans="1:14" s="3" customFormat="1" ht="18.75" x14ac:dyDescent="0.3">
      <c r="A11" s="5"/>
      <c r="B11" s="295" t="s">
        <v>4353</v>
      </c>
      <c r="C11" s="11"/>
      <c r="D11" s="11"/>
      <c r="E11" s="11"/>
      <c r="F11" s="296">
        <f>SUBTOTAL(9,F6:F10)</f>
        <v>130000</v>
      </c>
      <c r="G11" s="11"/>
      <c r="H11" s="5"/>
      <c r="I11" s="5"/>
      <c r="J11" s="5"/>
      <c r="K11" s="5"/>
      <c r="L11" s="5"/>
      <c r="M11" s="5"/>
      <c r="N11" s="5"/>
    </row>
  </sheetData>
  <autoFilter ref="A4:N4" xr:uid="{00000000-0009-0000-0000-000014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A3:N3"/>
    <mergeCell ref="A1:N1"/>
    <mergeCell ref="A2:N2"/>
    <mergeCell ref="A4:A5"/>
    <mergeCell ref="B4:B5"/>
    <mergeCell ref="C4:C5"/>
    <mergeCell ref="D4:D5"/>
    <mergeCell ref="E4:E5"/>
    <mergeCell ref="F4:F5"/>
    <mergeCell ref="G4:G5"/>
    <mergeCell ref="H4:N4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N7"/>
  <sheetViews>
    <sheetView workbookViewId="0">
      <selection activeCell="A3" sqref="A3:N3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15.140625" style="42" customWidth="1"/>
    <col min="15" max="16384" width="9.140625" style="42"/>
  </cols>
  <sheetData>
    <row r="1" spans="1:14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4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4" s="10" customFormat="1" ht="18.75" x14ac:dyDescent="0.3">
      <c r="A3" s="871" t="s">
        <v>4339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4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4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4" s="51" customFormat="1" ht="37.5" x14ac:dyDescent="0.2">
      <c r="A6" s="32">
        <f>ROW()-ROW(อื่นๆ!$A$6)+1</f>
        <v>1</v>
      </c>
      <c r="B6" s="12" t="s">
        <v>723</v>
      </c>
      <c r="C6" s="83" t="s">
        <v>724</v>
      </c>
      <c r="D6" s="13" t="s">
        <v>725</v>
      </c>
      <c r="E6" s="59" t="s">
        <v>726</v>
      </c>
      <c r="F6" s="60">
        <v>50000</v>
      </c>
      <c r="G6" s="248" t="s">
        <v>4948</v>
      </c>
      <c r="H6" s="36" t="s">
        <v>4256</v>
      </c>
      <c r="I6" s="43"/>
      <c r="J6" s="43"/>
      <c r="K6" s="43"/>
      <c r="L6" s="43"/>
      <c r="M6" s="43"/>
      <c r="N6" s="68"/>
    </row>
    <row r="7" spans="1:14" s="3" customFormat="1" ht="18.75" x14ac:dyDescent="0.3">
      <c r="A7" s="5"/>
      <c r="B7" s="295" t="s">
        <v>4351</v>
      </c>
      <c r="C7" s="11"/>
      <c r="D7" s="11"/>
      <c r="E7" s="11"/>
      <c r="F7" s="296">
        <f>SUBTOTAL(9,F6:F6)</f>
        <v>50000</v>
      </c>
      <c r="G7" s="11"/>
      <c r="H7" s="5"/>
      <c r="I7" s="5"/>
      <c r="J7" s="5"/>
      <c r="K7" s="5"/>
      <c r="L7" s="5"/>
      <c r="M7" s="5"/>
      <c r="N7" s="5"/>
    </row>
  </sheetData>
  <autoFilter ref="A4:N4" xr:uid="{00000000-0009-0000-0000-000015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O51"/>
  <sheetViews>
    <sheetView topLeftCell="A42" workbookViewId="0">
      <selection activeCell="A3" sqref="A3:N3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16.5703125" style="42" customWidth="1"/>
    <col min="15" max="15" width="11.85546875" style="42" bestFit="1" customWidth="1"/>
    <col min="16" max="16384" width="9.140625" style="42"/>
  </cols>
  <sheetData>
    <row r="1" spans="1:15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5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5" s="10" customFormat="1" ht="18.75" x14ac:dyDescent="0.3">
      <c r="A3" s="871" t="s">
        <v>4340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5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5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5" s="279" customFormat="1" ht="18.75" x14ac:dyDescent="0.2">
      <c r="A6" s="43">
        <f>ROW()-ROW(สำนักงาน!$A$6)+1</f>
        <v>1</v>
      </c>
      <c r="B6" s="52" t="s">
        <v>2733</v>
      </c>
      <c r="C6" s="32" t="s">
        <v>2734</v>
      </c>
      <c r="D6" s="32" t="s">
        <v>2735</v>
      </c>
      <c r="E6" s="53" t="s">
        <v>2587</v>
      </c>
      <c r="F6" s="31">
        <v>9416</v>
      </c>
      <c r="G6" s="316" t="s">
        <v>2383</v>
      </c>
      <c r="H6" s="479" t="s">
        <v>4256</v>
      </c>
      <c r="I6" s="32"/>
      <c r="J6" s="32"/>
      <c r="K6" s="225"/>
      <c r="L6" s="226"/>
      <c r="M6" s="234"/>
      <c r="N6" s="284" t="s">
        <v>3836</v>
      </c>
      <c r="O6" s="755">
        <f>SUM(F6:F35)</f>
        <v>382418</v>
      </c>
    </row>
    <row r="7" spans="1:15" s="279" customFormat="1" ht="18.75" x14ac:dyDescent="0.2">
      <c r="A7" s="43">
        <f>ROW()-ROW(สำนักงาน!$A$6)+1</f>
        <v>2</v>
      </c>
      <c r="B7" s="52" t="s">
        <v>2733</v>
      </c>
      <c r="C7" s="32" t="s">
        <v>2736</v>
      </c>
      <c r="D7" s="32" t="s">
        <v>2737</v>
      </c>
      <c r="E7" s="53" t="s">
        <v>2587</v>
      </c>
      <c r="F7" s="31">
        <v>9416</v>
      </c>
      <c r="G7" s="316" t="s">
        <v>2383</v>
      </c>
      <c r="H7" s="479" t="s">
        <v>4256</v>
      </c>
      <c r="I7" s="32"/>
      <c r="J7" s="32"/>
      <c r="K7" s="225"/>
      <c r="L7" s="226"/>
      <c r="M7" s="234"/>
      <c r="N7" s="284" t="s">
        <v>3836</v>
      </c>
    </row>
    <row r="8" spans="1:15" s="279" customFormat="1" ht="18.75" x14ac:dyDescent="0.2">
      <c r="A8" s="43">
        <f>ROW()-ROW(สำนักงาน!$A$6)+1</f>
        <v>3</v>
      </c>
      <c r="B8" s="52" t="s">
        <v>2733</v>
      </c>
      <c r="C8" s="32" t="s">
        <v>2738</v>
      </c>
      <c r="D8" s="32" t="s">
        <v>2739</v>
      </c>
      <c r="E8" s="53" t="s">
        <v>2587</v>
      </c>
      <c r="F8" s="31">
        <v>9416</v>
      </c>
      <c r="G8" s="316" t="s">
        <v>2383</v>
      </c>
      <c r="H8" s="479" t="s">
        <v>4256</v>
      </c>
      <c r="I8" s="32"/>
      <c r="J8" s="32"/>
      <c r="K8" s="225"/>
      <c r="L8" s="226"/>
      <c r="M8" s="234"/>
      <c r="N8" s="284" t="s">
        <v>3841</v>
      </c>
    </row>
    <row r="9" spans="1:15" s="279" customFormat="1" ht="18.75" x14ac:dyDescent="0.2">
      <c r="A9" s="43">
        <f>ROW()-ROW(สำนักงาน!$A$6)+1</f>
        <v>4</v>
      </c>
      <c r="B9" s="52" t="s">
        <v>2733</v>
      </c>
      <c r="C9" s="32" t="s">
        <v>2740</v>
      </c>
      <c r="D9" s="32" t="s">
        <v>2741</v>
      </c>
      <c r="E9" s="53" t="s">
        <v>2587</v>
      </c>
      <c r="F9" s="31">
        <v>9416</v>
      </c>
      <c r="G9" s="316" t="s">
        <v>2383</v>
      </c>
      <c r="H9" s="479" t="s">
        <v>4256</v>
      </c>
      <c r="I9" s="32"/>
      <c r="J9" s="32"/>
      <c r="K9" s="225"/>
      <c r="L9" s="226"/>
      <c r="M9" s="234"/>
      <c r="N9" s="284" t="s">
        <v>3857</v>
      </c>
    </row>
    <row r="10" spans="1:15" s="279" customFormat="1" ht="18.75" x14ac:dyDescent="0.2">
      <c r="A10" s="43">
        <f>ROW()-ROW(สำนักงาน!$A$6)+1</f>
        <v>5</v>
      </c>
      <c r="B10" s="52" t="s">
        <v>2733</v>
      </c>
      <c r="C10" s="32" t="s">
        <v>2742</v>
      </c>
      <c r="D10" s="32" t="s">
        <v>2743</v>
      </c>
      <c r="E10" s="53" t="s">
        <v>2587</v>
      </c>
      <c r="F10" s="31">
        <v>9416</v>
      </c>
      <c r="G10" s="316" t="s">
        <v>2383</v>
      </c>
      <c r="H10" s="479" t="s">
        <v>4256</v>
      </c>
      <c r="I10" s="32"/>
      <c r="J10" s="32"/>
      <c r="K10" s="225"/>
      <c r="L10" s="226"/>
      <c r="M10" s="234"/>
      <c r="N10" s="284" t="s">
        <v>3833</v>
      </c>
    </row>
    <row r="11" spans="1:15" s="279" customFormat="1" ht="18.75" x14ac:dyDescent="0.2">
      <c r="A11" s="43">
        <f>ROW()-ROW(สำนักงาน!$A$6)+1</f>
        <v>6</v>
      </c>
      <c r="B11" s="52" t="s">
        <v>2733</v>
      </c>
      <c r="C11" s="32" t="s">
        <v>2744</v>
      </c>
      <c r="D11" s="32" t="s">
        <v>2745</v>
      </c>
      <c r="E11" s="53" t="s">
        <v>2587</v>
      </c>
      <c r="F11" s="31">
        <v>9416</v>
      </c>
      <c r="G11" s="316" t="s">
        <v>2383</v>
      </c>
      <c r="H11" s="479" t="s">
        <v>4256</v>
      </c>
      <c r="I11" s="32"/>
      <c r="J11" s="32"/>
      <c r="K11" s="225"/>
      <c r="L11" s="226"/>
      <c r="M11" s="234"/>
      <c r="N11" s="284" t="s">
        <v>3833</v>
      </c>
    </row>
    <row r="12" spans="1:15" s="279" customFormat="1" ht="18.75" x14ac:dyDescent="0.2">
      <c r="A12" s="43">
        <f>ROW()-ROW(สำนักงาน!$A$6)+1</f>
        <v>7</v>
      </c>
      <c r="B12" s="52" t="s">
        <v>2733</v>
      </c>
      <c r="C12" s="32" t="s">
        <v>2746</v>
      </c>
      <c r="D12" s="32" t="s">
        <v>2747</v>
      </c>
      <c r="E12" s="53" t="s">
        <v>2587</v>
      </c>
      <c r="F12" s="31">
        <v>9416</v>
      </c>
      <c r="G12" s="316" t="s">
        <v>2383</v>
      </c>
      <c r="H12" s="479" t="s">
        <v>4256</v>
      </c>
      <c r="I12" s="32"/>
      <c r="J12" s="32"/>
      <c r="K12" s="225"/>
      <c r="L12" s="226"/>
      <c r="M12" s="234"/>
      <c r="N12" s="284" t="s">
        <v>3833</v>
      </c>
    </row>
    <row r="13" spans="1:15" s="279" customFormat="1" ht="18.75" x14ac:dyDescent="0.2">
      <c r="A13" s="43">
        <f>ROW()-ROW(สำนักงาน!$A$6)+1</f>
        <v>8</v>
      </c>
      <c r="B13" s="52" t="s">
        <v>2733</v>
      </c>
      <c r="C13" s="32" t="s">
        <v>2748</v>
      </c>
      <c r="D13" s="32" t="s">
        <v>2749</v>
      </c>
      <c r="E13" s="53" t="s">
        <v>2587</v>
      </c>
      <c r="F13" s="31">
        <v>9416</v>
      </c>
      <c r="G13" s="316" t="s">
        <v>2383</v>
      </c>
      <c r="H13" s="479" t="s">
        <v>4256</v>
      </c>
      <c r="I13" s="32"/>
      <c r="J13" s="32"/>
      <c r="K13" s="225"/>
      <c r="L13" s="226"/>
      <c r="M13" s="234"/>
      <c r="N13" s="284" t="s">
        <v>3856</v>
      </c>
    </row>
    <row r="14" spans="1:15" s="279" customFormat="1" ht="18.75" x14ac:dyDescent="0.2">
      <c r="A14" s="43">
        <f>ROW()-ROW(สำนักงาน!$A$6)+1</f>
        <v>9</v>
      </c>
      <c r="B14" s="52" t="s">
        <v>2733</v>
      </c>
      <c r="C14" s="32" t="s">
        <v>2750</v>
      </c>
      <c r="D14" s="32" t="s">
        <v>2751</v>
      </c>
      <c r="E14" s="53" t="s">
        <v>2587</v>
      </c>
      <c r="F14" s="31">
        <v>9416</v>
      </c>
      <c r="G14" s="316" t="s">
        <v>2383</v>
      </c>
      <c r="H14" s="479" t="s">
        <v>4256</v>
      </c>
      <c r="I14" s="32"/>
      <c r="J14" s="32"/>
      <c r="K14" s="225"/>
      <c r="L14" s="226"/>
      <c r="M14" s="234"/>
      <c r="N14" s="728" t="s">
        <v>3862</v>
      </c>
    </row>
    <row r="15" spans="1:15" s="279" customFormat="1" ht="18.75" x14ac:dyDescent="0.2">
      <c r="A15" s="43">
        <f>ROW()-ROW(สำนักงาน!$A$6)+1</f>
        <v>10</v>
      </c>
      <c r="B15" s="52" t="s">
        <v>2733</v>
      </c>
      <c r="C15" s="32" t="s">
        <v>2752</v>
      </c>
      <c r="D15" s="32" t="s">
        <v>2753</v>
      </c>
      <c r="E15" s="53" t="s">
        <v>2587</v>
      </c>
      <c r="F15" s="31">
        <v>9416</v>
      </c>
      <c r="G15" s="316" t="s">
        <v>2383</v>
      </c>
      <c r="H15" s="479" t="s">
        <v>4256</v>
      </c>
      <c r="I15" s="32"/>
      <c r="J15" s="32"/>
      <c r="K15" s="225"/>
      <c r="L15" s="226"/>
      <c r="M15" s="234"/>
      <c r="N15" s="728" t="s">
        <v>3862</v>
      </c>
    </row>
    <row r="16" spans="1:15" s="279" customFormat="1" ht="18.75" x14ac:dyDescent="0.2">
      <c r="A16" s="43">
        <f>ROW()-ROW(สำนักงาน!$A$6)+1</f>
        <v>11</v>
      </c>
      <c r="B16" s="52" t="s">
        <v>2733</v>
      </c>
      <c r="C16" s="32" t="s">
        <v>2754</v>
      </c>
      <c r="D16" s="32" t="s">
        <v>2755</v>
      </c>
      <c r="E16" s="53" t="s">
        <v>2587</v>
      </c>
      <c r="F16" s="31">
        <v>9416</v>
      </c>
      <c r="G16" s="316" t="s">
        <v>2383</v>
      </c>
      <c r="H16" s="479" t="s">
        <v>4256</v>
      </c>
      <c r="I16" s="32"/>
      <c r="J16" s="32"/>
      <c r="K16" s="225"/>
      <c r="L16" s="226"/>
      <c r="M16" s="234"/>
      <c r="N16" s="728" t="s">
        <v>3862</v>
      </c>
    </row>
    <row r="17" spans="1:14" s="279" customFormat="1" ht="18.75" x14ac:dyDescent="0.2">
      <c r="A17" s="43">
        <f>ROW()-ROW(สำนักงาน!$A$6)+1</f>
        <v>12</v>
      </c>
      <c r="B17" s="52" t="s">
        <v>2733</v>
      </c>
      <c r="C17" s="32" t="s">
        <v>2756</v>
      </c>
      <c r="D17" s="32" t="s">
        <v>2757</v>
      </c>
      <c r="E17" s="53" t="s">
        <v>2587</v>
      </c>
      <c r="F17" s="31">
        <v>13482</v>
      </c>
      <c r="G17" s="316" t="s">
        <v>2383</v>
      </c>
      <c r="H17" s="479" t="s">
        <v>4256</v>
      </c>
      <c r="I17" s="32"/>
      <c r="J17" s="32"/>
      <c r="K17" s="225"/>
      <c r="L17" s="226"/>
      <c r="M17" s="234"/>
      <c r="N17" s="728" t="s">
        <v>3862</v>
      </c>
    </row>
    <row r="18" spans="1:14" s="279" customFormat="1" ht="18.75" x14ac:dyDescent="0.2">
      <c r="A18" s="43">
        <f>ROW()-ROW(สำนักงาน!$A$6)+1</f>
        <v>13</v>
      </c>
      <c r="B18" s="52" t="s">
        <v>2733</v>
      </c>
      <c r="C18" s="32" t="s">
        <v>2758</v>
      </c>
      <c r="D18" s="32" t="s">
        <v>2759</v>
      </c>
      <c r="E18" s="53" t="s">
        <v>2587</v>
      </c>
      <c r="F18" s="31">
        <v>9416</v>
      </c>
      <c r="G18" s="316" t="s">
        <v>2383</v>
      </c>
      <c r="H18" s="479" t="s">
        <v>4256</v>
      </c>
      <c r="I18" s="32"/>
      <c r="J18" s="32"/>
      <c r="K18" s="225"/>
      <c r="L18" s="226"/>
      <c r="M18" s="234"/>
      <c r="N18" s="728" t="s">
        <v>3862</v>
      </c>
    </row>
    <row r="19" spans="1:14" s="279" customFormat="1" ht="18.75" x14ac:dyDescent="0.2">
      <c r="A19" s="43">
        <f>ROW()-ROW(สำนักงาน!$A$6)+1</f>
        <v>14</v>
      </c>
      <c r="B19" s="52" t="s">
        <v>2733</v>
      </c>
      <c r="C19" s="32" t="s">
        <v>2760</v>
      </c>
      <c r="D19" s="32" t="s">
        <v>2761</v>
      </c>
      <c r="E19" s="53" t="s">
        <v>2587</v>
      </c>
      <c r="F19" s="31">
        <v>9416</v>
      </c>
      <c r="G19" s="316" t="s">
        <v>2383</v>
      </c>
      <c r="H19" s="479" t="s">
        <v>4256</v>
      </c>
      <c r="I19" s="32"/>
      <c r="J19" s="32"/>
      <c r="K19" s="225"/>
      <c r="L19" s="226"/>
      <c r="M19" s="234"/>
      <c r="N19" s="284" t="s">
        <v>3837</v>
      </c>
    </row>
    <row r="20" spans="1:14" s="279" customFormat="1" ht="18.75" x14ac:dyDescent="0.2">
      <c r="A20" s="43">
        <f>ROW()-ROW(สำนักงาน!$A$6)+1</f>
        <v>15</v>
      </c>
      <c r="B20" s="52" t="s">
        <v>2733</v>
      </c>
      <c r="C20" s="32" t="s">
        <v>2762</v>
      </c>
      <c r="D20" s="32" t="s">
        <v>2763</v>
      </c>
      <c r="E20" s="53" t="s">
        <v>2587</v>
      </c>
      <c r="F20" s="31">
        <v>9416</v>
      </c>
      <c r="G20" s="316" t="s">
        <v>2383</v>
      </c>
      <c r="H20" s="479" t="s">
        <v>4256</v>
      </c>
      <c r="I20" s="32"/>
      <c r="J20" s="32"/>
      <c r="K20" s="225"/>
      <c r="L20" s="226"/>
      <c r="M20" s="234"/>
      <c r="N20" s="284" t="s">
        <v>3837</v>
      </c>
    </row>
    <row r="21" spans="1:14" s="279" customFormat="1" ht="18.75" x14ac:dyDescent="0.2">
      <c r="A21" s="43">
        <f>ROW()-ROW(สำนักงาน!$A$6)+1</f>
        <v>16</v>
      </c>
      <c r="B21" s="52" t="s">
        <v>2733</v>
      </c>
      <c r="C21" s="32" t="s">
        <v>2764</v>
      </c>
      <c r="D21" s="32" t="s">
        <v>2765</v>
      </c>
      <c r="E21" s="53" t="s">
        <v>2587</v>
      </c>
      <c r="F21" s="31">
        <v>9416</v>
      </c>
      <c r="G21" s="316" t="s">
        <v>2383</v>
      </c>
      <c r="H21" s="479" t="s">
        <v>4256</v>
      </c>
      <c r="I21" s="32"/>
      <c r="J21" s="32"/>
      <c r="K21" s="225"/>
      <c r="L21" s="226"/>
      <c r="M21" s="234"/>
      <c r="N21" s="284" t="s">
        <v>3837</v>
      </c>
    </row>
    <row r="22" spans="1:14" s="279" customFormat="1" ht="18.75" x14ac:dyDescent="0.2">
      <c r="A22" s="43">
        <f>ROW()-ROW(สำนักงาน!$A$6)+1</f>
        <v>17</v>
      </c>
      <c r="B22" s="52" t="s">
        <v>2733</v>
      </c>
      <c r="C22" s="32" t="s">
        <v>2766</v>
      </c>
      <c r="D22" s="32" t="s">
        <v>2767</v>
      </c>
      <c r="E22" s="53" t="s">
        <v>2587</v>
      </c>
      <c r="F22" s="31">
        <v>9416</v>
      </c>
      <c r="G22" s="316" t="s">
        <v>2383</v>
      </c>
      <c r="H22" s="479" t="s">
        <v>4256</v>
      </c>
      <c r="I22" s="32"/>
      <c r="J22" s="32"/>
      <c r="K22" s="225"/>
      <c r="L22" s="226"/>
      <c r="M22" s="234"/>
      <c r="N22" s="284" t="s">
        <v>3837</v>
      </c>
    </row>
    <row r="23" spans="1:14" s="279" customFormat="1" ht="18.75" x14ac:dyDescent="0.2">
      <c r="A23" s="43">
        <f>ROW()-ROW(สำนักงาน!$A$6)+1</f>
        <v>18</v>
      </c>
      <c r="B23" s="52" t="s">
        <v>2733</v>
      </c>
      <c r="C23" s="32" t="s">
        <v>2768</v>
      </c>
      <c r="D23" s="32" t="s">
        <v>2769</v>
      </c>
      <c r="E23" s="53" t="s">
        <v>2587</v>
      </c>
      <c r="F23" s="31">
        <v>9416</v>
      </c>
      <c r="G23" s="316" t="s">
        <v>2383</v>
      </c>
      <c r="H23" s="479" t="s">
        <v>4256</v>
      </c>
      <c r="I23" s="32"/>
      <c r="J23" s="32"/>
      <c r="K23" s="225"/>
      <c r="L23" s="226"/>
      <c r="M23" s="234"/>
      <c r="N23" s="284" t="s">
        <v>3838</v>
      </c>
    </row>
    <row r="24" spans="1:14" s="279" customFormat="1" ht="18.75" x14ac:dyDescent="0.2">
      <c r="A24" s="43">
        <f>ROW()-ROW(สำนักงาน!$A$6)+1</f>
        <v>19</v>
      </c>
      <c r="B24" s="52" t="s">
        <v>2733</v>
      </c>
      <c r="C24" s="32" t="s">
        <v>2770</v>
      </c>
      <c r="D24" s="32" t="s">
        <v>2771</v>
      </c>
      <c r="E24" s="53" t="s">
        <v>2587</v>
      </c>
      <c r="F24" s="31">
        <v>9416</v>
      </c>
      <c r="G24" s="316" t="s">
        <v>2383</v>
      </c>
      <c r="H24" s="479" t="s">
        <v>4256</v>
      </c>
      <c r="I24" s="32"/>
      <c r="J24" s="32"/>
      <c r="K24" s="225"/>
      <c r="L24" s="226"/>
      <c r="M24" s="234"/>
      <c r="N24" s="284" t="s">
        <v>3838</v>
      </c>
    </row>
    <row r="25" spans="1:14" s="279" customFormat="1" ht="18.75" x14ac:dyDescent="0.2">
      <c r="A25" s="43">
        <f>ROW()-ROW(สำนักงาน!$A$6)+1</f>
        <v>20</v>
      </c>
      <c r="B25" s="52" t="s">
        <v>2733</v>
      </c>
      <c r="C25" s="32" t="s">
        <v>2772</v>
      </c>
      <c r="D25" s="32" t="s">
        <v>2773</v>
      </c>
      <c r="E25" s="53" t="s">
        <v>2587</v>
      </c>
      <c r="F25" s="31">
        <v>9416</v>
      </c>
      <c r="G25" s="316" t="s">
        <v>2383</v>
      </c>
      <c r="H25" s="479" t="s">
        <v>4256</v>
      </c>
      <c r="I25" s="32"/>
      <c r="J25" s="32"/>
      <c r="K25" s="225"/>
      <c r="L25" s="226"/>
      <c r="M25" s="234"/>
      <c r="N25" s="284" t="s">
        <v>3855</v>
      </c>
    </row>
    <row r="26" spans="1:14" s="279" customFormat="1" ht="18.75" x14ac:dyDescent="0.2">
      <c r="A26" s="43">
        <f>ROW()-ROW(สำนักงาน!$A$6)+1</f>
        <v>21</v>
      </c>
      <c r="B26" s="52" t="s">
        <v>2733</v>
      </c>
      <c r="C26" s="32" t="s">
        <v>2774</v>
      </c>
      <c r="D26" s="32" t="s">
        <v>2775</v>
      </c>
      <c r="E26" s="53" t="s">
        <v>2587</v>
      </c>
      <c r="F26" s="31">
        <v>9416</v>
      </c>
      <c r="G26" s="316" t="s">
        <v>2383</v>
      </c>
      <c r="H26" s="479" t="s">
        <v>4256</v>
      </c>
      <c r="I26" s="32"/>
      <c r="J26" s="32"/>
      <c r="K26" s="225"/>
      <c r="L26" s="226"/>
      <c r="M26" s="234"/>
      <c r="N26" s="284" t="s">
        <v>3840</v>
      </c>
    </row>
    <row r="27" spans="1:14" s="279" customFormat="1" ht="18.75" x14ac:dyDescent="0.2">
      <c r="A27" s="43">
        <f>ROW()-ROW(สำนักงาน!$A$6)+1</f>
        <v>22</v>
      </c>
      <c r="B27" s="52" t="s">
        <v>2733</v>
      </c>
      <c r="C27" s="32" t="s">
        <v>2776</v>
      </c>
      <c r="D27" s="32" t="s">
        <v>2777</v>
      </c>
      <c r="E27" s="53" t="s">
        <v>2587</v>
      </c>
      <c r="F27" s="31">
        <v>9416</v>
      </c>
      <c r="G27" s="316" t="s">
        <v>2383</v>
      </c>
      <c r="H27" s="479" t="s">
        <v>4256</v>
      </c>
      <c r="I27" s="32"/>
      <c r="J27" s="32"/>
      <c r="K27" s="225"/>
      <c r="L27" s="226"/>
      <c r="M27" s="234"/>
      <c r="N27" s="284" t="s">
        <v>3836</v>
      </c>
    </row>
    <row r="28" spans="1:14" s="279" customFormat="1" ht="18.75" x14ac:dyDescent="0.2">
      <c r="A28" s="43">
        <f>ROW()-ROW(สำนักงาน!$A$6)+1</f>
        <v>23</v>
      </c>
      <c r="B28" s="52" t="s">
        <v>2733</v>
      </c>
      <c r="C28" s="32" t="s">
        <v>2778</v>
      </c>
      <c r="D28" s="32" t="s">
        <v>2779</v>
      </c>
      <c r="E28" s="53" t="s">
        <v>2587</v>
      </c>
      <c r="F28" s="31">
        <v>12947</v>
      </c>
      <c r="G28" s="316" t="s">
        <v>2383</v>
      </c>
      <c r="H28" s="479" t="s">
        <v>4256</v>
      </c>
      <c r="I28" s="32"/>
      <c r="J28" s="32"/>
      <c r="K28" s="225"/>
      <c r="L28" s="226"/>
      <c r="M28" s="234"/>
      <c r="N28" s="284" t="s">
        <v>3833</v>
      </c>
    </row>
    <row r="29" spans="1:14" s="279" customFormat="1" ht="18.75" x14ac:dyDescent="0.2">
      <c r="A29" s="43">
        <f>ROW()-ROW(สำนักงาน!$A$6)+1</f>
        <v>24</v>
      </c>
      <c r="B29" s="52" t="s">
        <v>2733</v>
      </c>
      <c r="C29" s="32" t="s">
        <v>2780</v>
      </c>
      <c r="D29" s="32" t="s">
        <v>2781</v>
      </c>
      <c r="E29" s="53" t="s">
        <v>2587</v>
      </c>
      <c r="F29" s="31">
        <v>12947</v>
      </c>
      <c r="G29" s="316" t="s">
        <v>2383</v>
      </c>
      <c r="H29" s="479" t="s">
        <v>4256</v>
      </c>
      <c r="I29" s="32"/>
      <c r="J29" s="32"/>
      <c r="K29" s="225"/>
      <c r="L29" s="226"/>
      <c r="M29" s="234"/>
      <c r="N29" s="284" t="s">
        <v>3838</v>
      </c>
    </row>
    <row r="30" spans="1:14" s="279" customFormat="1" ht="18.75" x14ac:dyDescent="0.2">
      <c r="A30" s="43">
        <f>ROW()-ROW(สำนักงาน!$A$6)+1</f>
        <v>25</v>
      </c>
      <c r="B30" s="52" t="s">
        <v>2733</v>
      </c>
      <c r="C30" s="32" t="s">
        <v>2782</v>
      </c>
      <c r="D30" s="32" t="s">
        <v>2783</v>
      </c>
      <c r="E30" s="53" t="s">
        <v>2587</v>
      </c>
      <c r="F30" s="31">
        <v>12947</v>
      </c>
      <c r="G30" s="316" t="s">
        <v>2383</v>
      </c>
      <c r="H30" s="479" t="s">
        <v>4256</v>
      </c>
      <c r="I30" s="32"/>
      <c r="J30" s="32"/>
      <c r="K30" s="225"/>
      <c r="L30" s="226"/>
      <c r="M30" s="234"/>
      <c r="N30" s="284" t="s">
        <v>3866</v>
      </c>
    </row>
    <row r="31" spans="1:14" s="279" customFormat="1" ht="18.75" x14ac:dyDescent="0.2">
      <c r="A31" s="43">
        <f>ROW()-ROW(สำนักงาน!$A$6)+1</f>
        <v>26</v>
      </c>
      <c r="B31" s="52" t="s">
        <v>2733</v>
      </c>
      <c r="C31" s="32" t="s">
        <v>2784</v>
      </c>
      <c r="D31" s="32" t="s">
        <v>2785</v>
      </c>
      <c r="E31" s="53" t="s">
        <v>2587</v>
      </c>
      <c r="F31" s="31">
        <v>13482</v>
      </c>
      <c r="G31" s="316" t="s">
        <v>2383</v>
      </c>
      <c r="H31" s="479" t="s">
        <v>4256</v>
      </c>
      <c r="I31" s="32"/>
      <c r="J31" s="32"/>
      <c r="K31" s="225"/>
      <c r="L31" s="226"/>
      <c r="M31" s="234"/>
      <c r="N31" s="284" t="s">
        <v>3834</v>
      </c>
    </row>
    <row r="32" spans="1:14" s="279" customFormat="1" ht="18.75" x14ac:dyDescent="0.2">
      <c r="A32" s="43">
        <f>ROW()-ROW(สำนักงาน!$A$6)+1</f>
        <v>27</v>
      </c>
      <c r="B32" s="52" t="s">
        <v>2733</v>
      </c>
      <c r="C32" s="32" t="s">
        <v>2786</v>
      </c>
      <c r="D32" s="32" t="s">
        <v>2787</v>
      </c>
      <c r="E32" s="53" t="s">
        <v>2587</v>
      </c>
      <c r="F32" s="31">
        <v>9416</v>
      </c>
      <c r="G32" s="316" t="s">
        <v>2383</v>
      </c>
      <c r="H32" s="479" t="s">
        <v>4256</v>
      </c>
      <c r="I32" s="32"/>
      <c r="J32" s="32"/>
      <c r="K32" s="225"/>
      <c r="L32" s="226"/>
      <c r="M32" s="234"/>
      <c r="N32" s="284" t="s">
        <v>3867</v>
      </c>
    </row>
    <row r="33" spans="1:15" s="279" customFormat="1" ht="18.75" x14ac:dyDescent="0.2">
      <c r="A33" s="43">
        <f>ROW()-ROW(สำนักงาน!$A$6)+1</f>
        <v>28</v>
      </c>
      <c r="B33" s="52" t="s">
        <v>2788</v>
      </c>
      <c r="C33" s="32" t="s">
        <v>2789</v>
      </c>
      <c r="D33" s="32" t="s">
        <v>2790</v>
      </c>
      <c r="E33" s="53" t="s">
        <v>2587</v>
      </c>
      <c r="F33" s="31">
        <v>31993</v>
      </c>
      <c r="G33" s="316" t="s">
        <v>2383</v>
      </c>
      <c r="H33" s="479" t="s">
        <v>4256</v>
      </c>
      <c r="I33" s="32"/>
      <c r="J33" s="32"/>
      <c r="K33" s="225"/>
      <c r="L33" s="226"/>
      <c r="M33" s="234"/>
      <c r="N33" s="284" t="s">
        <v>3867</v>
      </c>
    </row>
    <row r="34" spans="1:15" s="279" customFormat="1" ht="18.75" x14ac:dyDescent="0.2">
      <c r="A34" s="43">
        <f>ROW()-ROW(สำนักงาน!$A$6)+1</f>
        <v>29</v>
      </c>
      <c r="B34" s="52" t="s">
        <v>2788</v>
      </c>
      <c r="C34" s="32" t="s">
        <v>2791</v>
      </c>
      <c r="D34" s="32" t="s">
        <v>2792</v>
      </c>
      <c r="E34" s="53" t="s">
        <v>2587</v>
      </c>
      <c r="F34" s="31">
        <v>45475</v>
      </c>
      <c r="G34" s="316" t="s">
        <v>2383</v>
      </c>
      <c r="H34" s="479" t="s">
        <v>4256</v>
      </c>
      <c r="I34" s="32"/>
      <c r="J34" s="32"/>
      <c r="K34" s="225"/>
      <c r="L34" s="226"/>
      <c r="M34" s="234"/>
      <c r="N34" s="284" t="s">
        <v>3867</v>
      </c>
    </row>
    <row r="35" spans="1:15" s="279" customFormat="1" ht="18.75" x14ac:dyDescent="0.2">
      <c r="A35" s="43">
        <f>ROW()-ROW(สำนักงาน!$A$6)+1</f>
        <v>30</v>
      </c>
      <c r="B35" s="52" t="s">
        <v>2788</v>
      </c>
      <c r="C35" s="32" t="s">
        <v>2793</v>
      </c>
      <c r="D35" s="32" t="s">
        <v>2794</v>
      </c>
      <c r="E35" s="53" t="s">
        <v>2587</v>
      </c>
      <c r="F35" s="31">
        <v>31993</v>
      </c>
      <c r="G35" s="316" t="s">
        <v>2383</v>
      </c>
      <c r="H35" s="479" t="s">
        <v>4256</v>
      </c>
      <c r="I35" s="32"/>
      <c r="J35" s="32"/>
      <c r="K35" s="225"/>
      <c r="L35" s="226"/>
      <c r="M35" s="234"/>
      <c r="N35" s="284" t="s">
        <v>3837</v>
      </c>
    </row>
    <row r="36" spans="1:15" s="3" customFormat="1" ht="18.75" x14ac:dyDescent="0.3">
      <c r="A36" s="43">
        <f>ROW()-ROW(สำนักงาน!$A$6)+1</f>
        <v>31</v>
      </c>
      <c r="B36" s="337" t="s">
        <v>1211</v>
      </c>
      <c r="C36" s="308" t="s">
        <v>1212</v>
      </c>
      <c r="D36" s="338" t="s">
        <v>1213</v>
      </c>
      <c r="E36" s="309">
        <v>21589</v>
      </c>
      <c r="F36" s="339">
        <v>5990</v>
      </c>
      <c r="G36" s="381" t="s">
        <v>825</v>
      </c>
      <c r="H36" s="320" t="s">
        <v>4256</v>
      </c>
      <c r="I36" s="308"/>
      <c r="J36" s="307"/>
      <c r="K36" s="307"/>
      <c r="L36" s="340"/>
      <c r="M36" s="341"/>
      <c r="N36" s="332"/>
      <c r="O36" s="756">
        <f>SUM(F36:F40)</f>
        <v>48690</v>
      </c>
    </row>
    <row r="37" spans="1:15" s="279" customFormat="1" ht="18.75" x14ac:dyDescent="0.2">
      <c r="A37" s="43">
        <f>ROW()-ROW(สำนักงาน!$A$6)+1</f>
        <v>32</v>
      </c>
      <c r="B37" s="52" t="s">
        <v>2389</v>
      </c>
      <c r="C37" s="32" t="s">
        <v>2390</v>
      </c>
      <c r="D37" s="32" t="s">
        <v>2391</v>
      </c>
      <c r="E37" s="53" t="s">
        <v>2392</v>
      </c>
      <c r="F37" s="31">
        <v>4350</v>
      </c>
      <c r="G37" s="285" t="s">
        <v>2383</v>
      </c>
      <c r="H37" s="320" t="s">
        <v>4256</v>
      </c>
      <c r="I37" s="32"/>
      <c r="J37" s="79"/>
      <c r="K37" s="79"/>
      <c r="L37" s="225"/>
      <c r="M37" s="226"/>
      <c r="N37" s="284" t="s">
        <v>4522</v>
      </c>
    </row>
    <row r="38" spans="1:15" s="279" customFormat="1" ht="18.75" x14ac:dyDescent="0.2">
      <c r="A38" s="43">
        <f>ROW()-ROW(สำนักงาน!$A$6)+1</f>
        <v>33</v>
      </c>
      <c r="B38" s="52" t="s">
        <v>2389</v>
      </c>
      <c r="C38" s="32" t="s">
        <v>2393</v>
      </c>
      <c r="D38" s="32" t="s">
        <v>2394</v>
      </c>
      <c r="E38" s="53" t="s">
        <v>2392</v>
      </c>
      <c r="F38" s="31">
        <v>4350</v>
      </c>
      <c r="G38" s="285" t="s">
        <v>2383</v>
      </c>
      <c r="H38" s="320" t="s">
        <v>4256</v>
      </c>
      <c r="I38" s="32"/>
      <c r="J38" s="79"/>
      <c r="K38" s="79"/>
      <c r="L38" s="225"/>
      <c r="M38" s="226"/>
      <c r="N38" s="284" t="s">
        <v>3832</v>
      </c>
    </row>
    <row r="39" spans="1:15" s="66" customFormat="1" ht="21" x14ac:dyDescent="0.2">
      <c r="A39" s="43">
        <f>ROW()-ROW(สำนักงาน!$A$6)+1</f>
        <v>34</v>
      </c>
      <c r="B39" s="55" t="s">
        <v>1700</v>
      </c>
      <c r="C39" s="13" t="s">
        <v>1647</v>
      </c>
      <c r="D39" s="13" t="s">
        <v>1701</v>
      </c>
      <c r="E39" s="53" t="s">
        <v>1702</v>
      </c>
      <c r="F39" s="31">
        <v>17000</v>
      </c>
      <c r="G39" s="285" t="s">
        <v>21</v>
      </c>
      <c r="H39" s="32" t="s">
        <v>4256</v>
      </c>
      <c r="I39" s="32"/>
      <c r="J39" s="32"/>
      <c r="K39" s="32"/>
      <c r="L39" s="32"/>
      <c r="M39" s="32"/>
      <c r="N39" s="81"/>
    </row>
    <row r="40" spans="1:15" s="66" customFormat="1" ht="40.5" customHeight="1" x14ac:dyDescent="0.2">
      <c r="A40" s="43">
        <f>ROW()-ROW(สำนักงาน!$A$6)+1</f>
        <v>35</v>
      </c>
      <c r="B40" s="55" t="s">
        <v>1700</v>
      </c>
      <c r="C40" s="13" t="s">
        <v>1650</v>
      </c>
      <c r="D40" s="13" t="s">
        <v>1703</v>
      </c>
      <c r="E40" s="53" t="s">
        <v>1702</v>
      </c>
      <c r="F40" s="31">
        <v>17000</v>
      </c>
      <c r="G40" s="285" t="s">
        <v>21</v>
      </c>
      <c r="H40" s="32" t="s">
        <v>4256</v>
      </c>
      <c r="I40" s="32"/>
      <c r="J40" s="32"/>
      <c r="K40" s="32"/>
      <c r="L40" s="32"/>
      <c r="M40" s="32"/>
      <c r="N40" s="81"/>
    </row>
    <row r="41" spans="1:15" s="66" customFormat="1" ht="34.5" customHeight="1" x14ac:dyDescent="0.2">
      <c r="A41" s="43">
        <f>ROW()-ROW(สำนักงาน!$A$6)+1</f>
        <v>36</v>
      </c>
      <c r="B41" s="82" t="s">
        <v>1704</v>
      </c>
      <c r="C41" s="13" t="s">
        <v>1705</v>
      </c>
      <c r="D41" s="13" t="s">
        <v>1706</v>
      </c>
      <c r="E41" s="53" t="s">
        <v>1645</v>
      </c>
      <c r="F41" s="31">
        <v>5200</v>
      </c>
      <c r="G41" s="285" t="s">
        <v>21</v>
      </c>
      <c r="H41" s="32" t="s">
        <v>4256</v>
      </c>
      <c r="I41" s="32"/>
      <c r="J41" s="32"/>
      <c r="K41" s="32"/>
      <c r="L41" s="32"/>
      <c r="M41" s="32"/>
      <c r="N41" s="81"/>
      <c r="O41" s="748">
        <f>SUM(F41:F42)</f>
        <v>10400</v>
      </c>
    </row>
    <row r="42" spans="1:15" s="66" customFormat="1" ht="29.25" customHeight="1" x14ac:dyDescent="0.2">
      <c r="A42" s="43">
        <f>ROW()-ROW(สำนักงาน!$A$6)+1</f>
        <v>37</v>
      </c>
      <c r="B42" s="82" t="s">
        <v>1704</v>
      </c>
      <c r="C42" s="13" t="s">
        <v>1707</v>
      </c>
      <c r="D42" s="13" t="s">
        <v>1708</v>
      </c>
      <c r="E42" s="53" t="s">
        <v>1645</v>
      </c>
      <c r="F42" s="31">
        <v>5200</v>
      </c>
      <c r="G42" s="285" t="s">
        <v>21</v>
      </c>
      <c r="H42" s="32" t="s">
        <v>4256</v>
      </c>
      <c r="I42" s="32"/>
      <c r="J42" s="32"/>
      <c r="K42" s="32"/>
      <c r="L42" s="32"/>
      <c r="M42" s="32"/>
      <c r="N42" s="81"/>
    </row>
    <row r="43" spans="1:15" s="3" customFormat="1" ht="18.75" x14ac:dyDescent="0.3">
      <c r="A43" s="43">
        <f>ROW()-ROW(สำนักงาน!$A$6)+1</f>
        <v>38</v>
      </c>
      <c r="B43" s="11" t="s">
        <v>1478</v>
      </c>
      <c r="C43" s="83" t="s">
        <v>4214</v>
      </c>
      <c r="D43" s="308" t="s">
        <v>1479</v>
      </c>
      <c r="E43" s="342" t="s">
        <v>702</v>
      </c>
      <c r="F43" s="343">
        <v>10600</v>
      </c>
      <c r="G43" s="729" t="s">
        <v>1477</v>
      </c>
      <c r="H43" s="326" t="s">
        <v>4256</v>
      </c>
      <c r="I43" s="5"/>
      <c r="J43" s="5"/>
      <c r="K43" s="5"/>
      <c r="L43" s="5"/>
      <c r="M43" s="5"/>
      <c r="N43" s="327"/>
    </row>
    <row r="44" spans="1:15" s="66" customFormat="1" ht="31.5" x14ac:dyDescent="0.3">
      <c r="A44" s="43">
        <f>ROW()-ROW(สำนักงาน!$A$6)+1</f>
        <v>39</v>
      </c>
      <c r="B44" s="70" t="s">
        <v>2369</v>
      </c>
      <c r="C44" s="278" t="s">
        <v>2370</v>
      </c>
      <c r="D44" s="13" t="s">
        <v>2371</v>
      </c>
      <c r="E44" s="59">
        <v>24322</v>
      </c>
      <c r="F44" s="69">
        <v>3900</v>
      </c>
      <c r="G44" s="67" t="s">
        <v>2372</v>
      </c>
      <c r="H44" s="32" t="s">
        <v>4256</v>
      </c>
      <c r="I44" s="43"/>
      <c r="J44" s="43"/>
      <c r="K44" s="43"/>
      <c r="L44" s="43"/>
      <c r="M44" s="43"/>
      <c r="N44" s="68"/>
      <c r="O44" s="748">
        <f>SUM(F44:F45)</f>
        <v>7800</v>
      </c>
    </row>
    <row r="45" spans="1:15" s="66" customFormat="1" ht="31.5" x14ac:dyDescent="0.2">
      <c r="A45" s="43">
        <f>ROW()-ROW(สำนักงาน!$A$6)+1</f>
        <v>40</v>
      </c>
      <c r="B45" s="70" t="s">
        <v>2369</v>
      </c>
      <c r="C45" s="57" t="s">
        <v>2373</v>
      </c>
      <c r="D45" s="13" t="s">
        <v>2374</v>
      </c>
      <c r="E45" s="59">
        <v>24322</v>
      </c>
      <c r="F45" s="69">
        <v>3900</v>
      </c>
      <c r="G45" s="67" t="s">
        <v>2372</v>
      </c>
      <c r="H45" s="32" t="s">
        <v>4256</v>
      </c>
      <c r="I45" s="43"/>
      <c r="J45" s="43"/>
      <c r="K45" s="43"/>
      <c r="L45" s="43"/>
      <c r="M45" s="43"/>
      <c r="N45" s="68"/>
    </row>
    <row r="46" spans="1:15" s="51" customFormat="1" ht="18.75" x14ac:dyDescent="0.2">
      <c r="A46" s="43">
        <f>ROW()-ROW(สำนักงาน!$A$6)+1</f>
        <v>41</v>
      </c>
      <c r="B46" s="129" t="s">
        <v>265</v>
      </c>
      <c r="C46" s="130" t="s">
        <v>266</v>
      </c>
      <c r="D46" s="130" t="s">
        <v>267</v>
      </c>
      <c r="E46" s="131">
        <v>13548</v>
      </c>
      <c r="F46" s="132">
        <v>5778</v>
      </c>
      <c r="G46" s="730" t="s">
        <v>220</v>
      </c>
      <c r="H46" s="32" t="s">
        <v>4256</v>
      </c>
      <c r="I46" s="130"/>
      <c r="J46" s="133"/>
      <c r="K46" s="133"/>
      <c r="L46" s="134"/>
      <c r="M46" s="135"/>
      <c r="N46" s="130" t="s">
        <v>252</v>
      </c>
      <c r="O46" s="757">
        <f>SUM(F46:F50)</f>
        <v>40648</v>
      </c>
    </row>
    <row r="47" spans="1:15" s="3" customFormat="1" ht="37.5" x14ac:dyDescent="0.3">
      <c r="A47" s="43">
        <f>ROW()-ROW(สำนักงาน!$A$6)+1</f>
        <v>42</v>
      </c>
      <c r="B47" s="337" t="s">
        <v>1208</v>
      </c>
      <c r="C47" s="308" t="s">
        <v>1209</v>
      </c>
      <c r="D47" s="308" t="s">
        <v>1210</v>
      </c>
      <c r="E47" s="319" t="s">
        <v>1207</v>
      </c>
      <c r="F47" s="310">
        <v>9300</v>
      </c>
      <c r="G47" s="381" t="s">
        <v>825</v>
      </c>
      <c r="H47" s="326" t="s">
        <v>4256</v>
      </c>
      <c r="I47" s="321"/>
      <c r="J47" s="322"/>
      <c r="K47" s="322"/>
      <c r="L47" s="323"/>
      <c r="M47" s="324"/>
      <c r="N47" s="344"/>
    </row>
    <row r="48" spans="1:15" s="279" customFormat="1" ht="18.75" x14ac:dyDescent="0.2">
      <c r="A48" s="43">
        <f>ROW()-ROW(สำนักงาน!$A$6)+1</f>
        <v>43</v>
      </c>
      <c r="B48" s="52" t="s">
        <v>2553</v>
      </c>
      <c r="C48" s="32" t="s">
        <v>2554</v>
      </c>
      <c r="D48" s="32" t="s">
        <v>2555</v>
      </c>
      <c r="E48" s="329" t="s">
        <v>2556</v>
      </c>
      <c r="F48" s="31">
        <v>8290</v>
      </c>
      <c r="G48" s="316" t="s">
        <v>2383</v>
      </c>
      <c r="H48" s="326" t="s">
        <v>4256</v>
      </c>
      <c r="I48" s="32"/>
      <c r="J48" s="32"/>
      <c r="K48" s="225"/>
      <c r="L48" s="226"/>
      <c r="M48" s="234"/>
      <c r="N48" s="284" t="s">
        <v>3841</v>
      </c>
    </row>
    <row r="49" spans="1:14" s="279" customFormat="1" ht="18.75" x14ac:dyDescent="0.2">
      <c r="A49" s="43">
        <f>ROW()-ROW(สำนักงาน!$A$6)+1</f>
        <v>44</v>
      </c>
      <c r="B49" s="52" t="s">
        <v>2553</v>
      </c>
      <c r="C49" s="32" t="s">
        <v>2557</v>
      </c>
      <c r="D49" s="32" t="s">
        <v>2558</v>
      </c>
      <c r="E49" s="329" t="s">
        <v>2556</v>
      </c>
      <c r="F49" s="31">
        <v>8290</v>
      </c>
      <c r="G49" s="316" t="s">
        <v>2383</v>
      </c>
      <c r="H49" s="326" t="s">
        <v>4256</v>
      </c>
      <c r="I49" s="32"/>
      <c r="J49" s="32"/>
      <c r="K49" s="225"/>
      <c r="L49" s="226"/>
      <c r="M49" s="234"/>
      <c r="N49" s="284" t="s">
        <v>3842</v>
      </c>
    </row>
    <row r="50" spans="1:14" s="66" customFormat="1" ht="21" x14ac:dyDescent="0.2">
      <c r="A50" s="43">
        <f>ROW()-ROW(สำนักงาน!$A$6)+1</f>
        <v>45</v>
      </c>
      <c r="B50" s="55" t="s">
        <v>1709</v>
      </c>
      <c r="C50" s="13" t="s">
        <v>1710</v>
      </c>
      <c r="D50" s="13" t="s">
        <v>1711</v>
      </c>
      <c r="E50" s="53" t="s">
        <v>1679</v>
      </c>
      <c r="F50" s="31">
        <v>8990</v>
      </c>
      <c r="G50" s="285" t="s">
        <v>21</v>
      </c>
      <c r="H50" s="32" t="s">
        <v>4256</v>
      </c>
      <c r="I50" s="32"/>
      <c r="J50" s="32"/>
      <c r="K50" s="32"/>
      <c r="L50" s="32"/>
      <c r="M50" s="32"/>
      <c r="N50" s="81"/>
    </row>
    <row r="51" spans="1:14" s="3" customFormat="1" ht="18.75" x14ac:dyDescent="0.3">
      <c r="A51" s="5"/>
      <c r="B51" s="295" t="s">
        <v>4352</v>
      </c>
      <c r="C51" s="11"/>
      <c r="D51" s="11"/>
      <c r="E51" s="11"/>
      <c r="F51" s="333">
        <f>SUBTOTAL(9,F6:F50)</f>
        <v>500556</v>
      </c>
      <c r="G51" s="11"/>
      <c r="H51" s="5"/>
      <c r="I51" s="5"/>
      <c r="J51" s="5"/>
      <c r="K51" s="5"/>
      <c r="L51" s="5"/>
      <c r="M51" s="5"/>
      <c r="N51" s="5"/>
    </row>
  </sheetData>
  <autoFilter ref="A4:N4" xr:uid="{00000000-0009-0000-0000-000016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P52"/>
  <sheetViews>
    <sheetView topLeftCell="A48" workbookViewId="0">
      <selection activeCell="C59" sqref="C59"/>
    </sheetView>
  </sheetViews>
  <sheetFormatPr defaultRowHeight="14.25" x14ac:dyDescent="0.2"/>
  <cols>
    <col min="1" max="1" width="7.28515625" style="370" customWidth="1"/>
    <col min="2" max="2" width="42.140625" style="415" customWidth="1"/>
    <col min="3" max="3" width="16.7109375" style="415" customWidth="1"/>
    <col min="4" max="4" width="13.42578125" style="415" customWidth="1"/>
    <col min="5" max="5" width="14.7109375" style="415" customWidth="1"/>
    <col min="6" max="6" width="13.140625" style="415" customWidth="1"/>
    <col min="7" max="7" width="16.7109375" style="415" customWidth="1"/>
    <col min="8" max="13" width="3.5703125" style="415" customWidth="1"/>
    <col min="14" max="14" width="17" style="415" customWidth="1"/>
    <col min="15" max="15" width="11" style="415" bestFit="1" customWidth="1"/>
    <col min="16" max="16" width="12.42578125" style="415" bestFit="1" customWidth="1"/>
    <col min="17" max="16384" width="9.140625" style="415"/>
  </cols>
  <sheetData>
    <row r="1" spans="1:16" s="359" customFormat="1" ht="18.75" x14ac:dyDescent="0.3">
      <c r="A1" s="915" t="s">
        <v>185</v>
      </c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</row>
    <row r="2" spans="1:16" s="359" customFormat="1" ht="18.75" x14ac:dyDescent="0.3">
      <c r="A2" s="915" t="s">
        <v>186</v>
      </c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</row>
    <row r="3" spans="1:16" s="359" customFormat="1" ht="18.75" x14ac:dyDescent="0.3">
      <c r="A3" s="914" t="s">
        <v>4341</v>
      </c>
      <c r="B3" s="914"/>
      <c r="C3" s="914"/>
      <c r="D3" s="914"/>
      <c r="E3" s="914"/>
      <c r="F3" s="914"/>
      <c r="G3" s="914"/>
      <c r="H3" s="914"/>
      <c r="I3" s="914"/>
      <c r="J3" s="914"/>
      <c r="K3" s="914"/>
      <c r="L3" s="914"/>
      <c r="M3" s="914"/>
      <c r="N3" s="914"/>
    </row>
    <row r="4" spans="1:16" s="336" customFormat="1" ht="21" x14ac:dyDescent="0.3">
      <c r="A4" s="916" t="s">
        <v>0</v>
      </c>
      <c r="B4" s="918" t="s">
        <v>1</v>
      </c>
      <c r="C4" s="920" t="s">
        <v>187</v>
      </c>
      <c r="D4" s="918" t="s">
        <v>188</v>
      </c>
      <c r="E4" s="922" t="s">
        <v>189</v>
      </c>
      <c r="F4" s="924" t="s">
        <v>2</v>
      </c>
      <c r="G4" s="926" t="s">
        <v>4</v>
      </c>
      <c r="H4" s="928" t="s">
        <v>190</v>
      </c>
      <c r="I4" s="928"/>
      <c r="J4" s="928"/>
      <c r="K4" s="928"/>
      <c r="L4" s="928"/>
      <c r="M4" s="928"/>
      <c r="N4" s="928"/>
    </row>
    <row r="5" spans="1:16" s="336" customFormat="1" ht="77.25" x14ac:dyDescent="0.3">
      <c r="A5" s="917"/>
      <c r="B5" s="919"/>
      <c r="C5" s="921"/>
      <c r="D5" s="919"/>
      <c r="E5" s="923"/>
      <c r="F5" s="925"/>
      <c r="G5" s="927"/>
      <c r="H5" s="433" t="s">
        <v>191</v>
      </c>
      <c r="I5" s="433" t="s">
        <v>192</v>
      </c>
      <c r="J5" s="433" t="s">
        <v>193</v>
      </c>
      <c r="K5" s="433" t="s">
        <v>194</v>
      </c>
      <c r="L5" s="433" t="s">
        <v>195</v>
      </c>
      <c r="M5" s="433" t="s">
        <v>196</v>
      </c>
      <c r="N5" s="434" t="s">
        <v>3</v>
      </c>
    </row>
    <row r="6" spans="1:16" s="372" customFormat="1" ht="21" x14ac:dyDescent="0.35">
      <c r="A6" s="308">
        <f>ROW()-ROW(สำนักงาน!$A$6)+1</f>
        <v>1</v>
      </c>
      <c r="B6" s="82" t="s">
        <v>966</v>
      </c>
      <c r="C6" s="13" t="s">
        <v>967</v>
      </c>
      <c r="D6" s="13" t="s">
        <v>968</v>
      </c>
      <c r="E6" s="220" t="s">
        <v>948</v>
      </c>
      <c r="F6" s="221">
        <v>9500</v>
      </c>
      <c r="G6" s="723" t="s">
        <v>949</v>
      </c>
      <c r="H6" s="371" t="s">
        <v>4256</v>
      </c>
      <c r="I6" s="668"/>
      <c r="J6" s="669"/>
      <c r="K6" s="669"/>
      <c r="L6" s="670"/>
      <c r="M6" s="671"/>
      <c r="N6" s="306"/>
      <c r="O6" s="372" t="s">
        <v>314</v>
      </c>
      <c r="P6" s="745">
        <f>SUM(โฆษณา!F6:F11)</f>
        <v>2273793.65</v>
      </c>
    </row>
    <row r="7" spans="1:16" s="372" customFormat="1" ht="21" x14ac:dyDescent="0.35">
      <c r="A7" s="308">
        <f>ROW()-ROW(สำนักงาน!$A$6)+1</f>
        <v>2</v>
      </c>
      <c r="B7" s="307" t="s">
        <v>1155</v>
      </c>
      <c r="C7" s="308" t="s">
        <v>1156</v>
      </c>
      <c r="D7" s="308" t="s">
        <v>1157</v>
      </c>
      <c r="E7" s="309">
        <v>21218</v>
      </c>
      <c r="F7" s="310">
        <v>9999.15</v>
      </c>
      <c r="G7" s="381" t="s">
        <v>949</v>
      </c>
      <c r="H7" s="371" t="s">
        <v>4256</v>
      </c>
      <c r="I7" s="311"/>
      <c r="J7" s="312"/>
      <c r="K7" s="312"/>
      <c r="L7" s="313"/>
      <c r="M7" s="314"/>
      <c r="N7" s="315"/>
      <c r="O7" s="372" t="s">
        <v>314</v>
      </c>
    </row>
    <row r="8" spans="1:16" s="373" customFormat="1" ht="18.75" x14ac:dyDescent="0.3">
      <c r="A8" s="308">
        <f>ROW()-ROW(สำนักงาน!$A$6)+1</f>
        <v>3</v>
      </c>
      <c r="B8" s="52" t="s">
        <v>2559</v>
      </c>
      <c r="C8" s="32" t="s">
        <v>2560</v>
      </c>
      <c r="D8" s="32" t="s">
        <v>2561</v>
      </c>
      <c r="E8" s="329" t="s">
        <v>2562</v>
      </c>
      <c r="F8" s="31">
        <v>19500</v>
      </c>
      <c r="G8" s="316" t="s">
        <v>2383</v>
      </c>
      <c r="H8" s="371" t="s">
        <v>4256</v>
      </c>
      <c r="I8" s="32"/>
      <c r="J8" s="32"/>
      <c r="K8" s="225"/>
      <c r="L8" s="226"/>
      <c r="M8" s="234"/>
      <c r="N8" s="285" t="s">
        <v>3843</v>
      </c>
      <c r="O8" s="372" t="s">
        <v>314</v>
      </c>
    </row>
    <row r="9" spans="1:16" s="373" customFormat="1" ht="37.5" x14ac:dyDescent="0.3">
      <c r="A9" s="308">
        <f>ROW()-ROW(สำนักงาน!$A$6)+1</f>
        <v>4</v>
      </c>
      <c r="B9" s="52" t="s">
        <v>3302</v>
      </c>
      <c r="C9" s="32" t="s">
        <v>3303</v>
      </c>
      <c r="D9" s="32" t="s">
        <v>3304</v>
      </c>
      <c r="E9" s="53" t="s">
        <v>2862</v>
      </c>
      <c r="F9" s="54">
        <v>1070000</v>
      </c>
      <c r="G9" s="285" t="s">
        <v>2863</v>
      </c>
      <c r="H9" s="479" t="s">
        <v>4256</v>
      </c>
      <c r="I9" s="32"/>
      <c r="J9" s="32"/>
      <c r="K9" s="32"/>
      <c r="L9" s="32"/>
      <c r="M9" s="32"/>
      <c r="N9" s="285" t="s">
        <v>3832</v>
      </c>
      <c r="O9" s="372" t="s">
        <v>314</v>
      </c>
    </row>
    <row r="10" spans="1:16" s="373" customFormat="1" ht="37.5" x14ac:dyDescent="0.3">
      <c r="A10" s="308">
        <f>ROW()-ROW(สำนักงาน!$A$6)+1</f>
        <v>5</v>
      </c>
      <c r="B10" s="52" t="s">
        <v>3305</v>
      </c>
      <c r="C10" s="32" t="s">
        <v>3306</v>
      </c>
      <c r="D10" s="32" t="s">
        <v>3307</v>
      </c>
      <c r="E10" s="53" t="s">
        <v>2862</v>
      </c>
      <c r="F10" s="54">
        <v>102559.5</v>
      </c>
      <c r="G10" s="285" t="s">
        <v>2863</v>
      </c>
      <c r="H10" s="479" t="s">
        <v>4256</v>
      </c>
      <c r="I10" s="32"/>
      <c r="J10" s="32"/>
      <c r="K10" s="32"/>
      <c r="L10" s="32"/>
      <c r="M10" s="32"/>
      <c r="N10" s="285" t="s">
        <v>3844</v>
      </c>
      <c r="O10" s="372" t="s">
        <v>314</v>
      </c>
    </row>
    <row r="11" spans="1:16" s="373" customFormat="1" ht="18.75" x14ac:dyDescent="0.2">
      <c r="A11" s="308">
        <f>ROW()-ROW(สำนักงาน!$A$6)+1</f>
        <v>6</v>
      </c>
      <c r="B11" s="55" t="s">
        <v>3744</v>
      </c>
      <c r="C11" s="32" t="s">
        <v>3745</v>
      </c>
      <c r="D11" s="13" t="s">
        <v>3746</v>
      </c>
      <c r="E11" s="53" t="s">
        <v>3743</v>
      </c>
      <c r="F11" s="31">
        <v>1062235</v>
      </c>
      <c r="G11" s="285" t="s">
        <v>2378</v>
      </c>
      <c r="H11" s="479" t="s">
        <v>4256</v>
      </c>
      <c r="I11" s="32"/>
      <c r="J11" s="32"/>
      <c r="K11" s="32"/>
      <c r="L11" s="32"/>
      <c r="M11" s="32"/>
      <c r="N11" s="316" t="s">
        <v>3891</v>
      </c>
      <c r="O11" s="373" t="s">
        <v>314</v>
      </c>
    </row>
    <row r="12" spans="1:16" s="372" customFormat="1" ht="21" x14ac:dyDescent="0.35">
      <c r="A12" s="308">
        <f>ROW()-ROW(สำนักงาน!$A$6)+1</f>
        <v>7</v>
      </c>
      <c r="B12" s="672" t="s">
        <v>1158</v>
      </c>
      <c r="C12" s="673" t="s">
        <v>1159</v>
      </c>
      <c r="D12" s="673" t="s">
        <v>1160</v>
      </c>
      <c r="E12" s="674">
        <v>21218</v>
      </c>
      <c r="F12" s="675">
        <v>44779.5</v>
      </c>
      <c r="G12" s="381" t="s">
        <v>949</v>
      </c>
      <c r="H12" s="371" t="s">
        <v>4256</v>
      </c>
      <c r="I12" s="676"/>
      <c r="J12" s="677"/>
      <c r="K12" s="677"/>
      <c r="L12" s="678"/>
      <c r="M12" s="679"/>
      <c r="N12" s="315"/>
      <c r="O12" s="372" t="s">
        <v>314</v>
      </c>
    </row>
    <row r="13" spans="1:16" s="334" customFormat="1" ht="37.5" x14ac:dyDescent="0.25">
      <c r="A13" s="308">
        <f>ROW()-ROW(สำนักงาน!$A$6)+1</f>
        <v>8</v>
      </c>
      <c r="B13" s="680" t="s">
        <v>4036</v>
      </c>
      <c r="C13" s="673" t="s">
        <v>4037</v>
      </c>
      <c r="D13" s="673" t="s">
        <v>4973</v>
      </c>
      <c r="E13" s="674">
        <v>21514</v>
      </c>
      <c r="F13" s="675">
        <v>30000</v>
      </c>
      <c r="G13" s="285" t="s">
        <v>3892</v>
      </c>
      <c r="H13" s="32" t="s">
        <v>4256</v>
      </c>
      <c r="I13" s="673"/>
      <c r="J13" s="672"/>
      <c r="K13" s="672"/>
      <c r="L13" s="681"/>
      <c r="M13" s="682"/>
      <c r="N13" s="673"/>
      <c r="P13" s="773" t="s">
        <v>4972</v>
      </c>
    </row>
    <row r="14" spans="1:16" s="334" customFormat="1" ht="18.75" x14ac:dyDescent="0.3">
      <c r="A14" s="308">
        <f>ROW()-ROW(สำนักงาน!$A$6)+1</f>
        <v>9</v>
      </c>
      <c r="B14" s="683" t="s">
        <v>4038</v>
      </c>
      <c r="C14" s="684" t="s">
        <v>4039</v>
      </c>
      <c r="D14" s="684" t="s">
        <v>4975</v>
      </c>
      <c r="E14" s="685">
        <v>21514</v>
      </c>
      <c r="F14" s="686">
        <v>59990</v>
      </c>
      <c r="G14" s="724" t="s">
        <v>3892</v>
      </c>
      <c r="H14" s="32" t="s">
        <v>4256</v>
      </c>
      <c r="I14" s="684"/>
      <c r="J14" s="687"/>
      <c r="K14" s="687"/>
      <c r="L14" s="688"/>
      <c r="M14" s="689"/>
      <c r="N14" s="690"/>
      <c r="O14" s="335"/>
      <c r="P14" s="773" t="s">
        <v>4972</v>
      </c>
    </row>
    <row r="15" spans="1:16" s="334" customFormat="1" ht="18.75" x14ac:dyDescent="0.3">
      <c r="A15" s="308">
        <f>ROW()-ROW(สำนักงาน!$A$6)+1</f>
        <v>10</v>
      </c>
      <c r="B15" s="683" t="s">
        <v>4044</v>
      </c>
      <c r="C15" s="684" t="s">
        <v>4045</v>
      </c>
      <c r="D15" s="684" t="s">
        <v>4976</v>
      </c>
      <c r="E15" s="685">
        <v>21514</v>
      </c>
      <c r="F15" s="686">
        <v>30000</v>
      </c>
      <c r="G15" s="724" t="s">
        <v>3892</v>
      </c>
      <c r="H15" s="32" t="s">
        <v>4256</v>
      </c>
      <c r="I15" s="684"/>
      <c r="J15" s="687"/>
      <c r="K15" s="687"/>
      <c r="L15" s="688"/>
      <c r="M15" s="689"/>
      <c r="N15" s="690"/>
      <c r="O15" s="754">
        <f>SUM(F12:F15)</f>
        <v>164769.5</v>
      </c>
      <c r="P15" s="773" t="s">
        <v>4972</v>
      </c>
    </row>
    <row r="16" spans="1:16" s="373" customFormat="1" ht="18.75" x14ac:dyDescent="0.2">
      <c r="A16" s="308">
        <f>ROW()-ROW(สำนักงาน!$A$6)+1</f>
        <v>11</v>
      </c>
      <c r="B16" s="52" t="s">
        <v>2563</v>
      </c>
      <c r="C16" s="32" t="s">
        <v>2564</v>
      </c>
      <c r="D16" s="32" t="s">
        <v>2565</v>
      </c>
      <c r="E16" s="329" t="s">
        <v>2562</v>
      </c>
      <c r="F16" s="31">
        <v>23900</v>
      </c>
      <c r="G16" s="316" t="s">
        <v>2383</v>
      </c>
      <c r="H16" s="479" t="s">
        <v>4256</v>
      </c>
      <c r="I16" s="32"/>
      <c r="J16" s="32"/>
      <c r="K16" s="225"/>
      <c r="L16" s="226"/>
      <c r="M16" s="234"/>
      <c r="N16" s="285" t="s">
        <v>3843</v>
      </c>
      <c r="O16" s="373" t="s">
        <v>314</v>
      </c>
    </row>
    <row r="17" spans="1:15" s="373" customFormat="1" ht="56.25" x14ac:dyDescent="0.2">
      <c r="A17" s="308">
        <f>ROW()-ROW(สำนักงาน!$A$6)+1</f>
        <v>12</v>
      </c>
      <c r="B17" s="55" t="s">
        <v>3453</v>
      </c>
      <c r="C17" s="298" t="s">
        <v>3454</v>
      </c>
      <c r="D17" s="13" t="s">
        <v>3455</v>
      </c>
      <c r="E17" s="53" t="s">
        <v>3420</v>
      </c>
      <c r="F17" s="31">
        <v>108400</v>
      </c>
      <c r="G17" s="285" t="s">
        <v>2378</v>
      </c>
      <c r="H17" s="479" t="s">
        <v>4256</v>
      </c>
      <c r="I17" s="32"/>
      <c r="J17" s="32"/>
      <c r="K17" s="32"/>
      <c r="L17" s="32"/>
      <c r="M17" s="32"/>
      <c r="N17" s="285" t="s">
        <v>3881</v>
      </c>
      <c r="O17" s="747">
        <f>SUM(F16:F26)</f>
        <v>636000</v>
      </c>
    </row>
    <row r="18" spans="1:15" s="373" customFormat="1" ht="56.25" x14ac:dyDescent="0.2">
      <c r="A18" s="308">
        <f>ROW()-ROW(สำนักงาน!$A$6)+1</f>
        <v>13</v>
      </c>
      <c r="B18" s="55" t="s">
        <v>3453</v>
      </c>
      <c r="C18" s="298" t="s">
        <v>3456</v>
      </c>
      <c r="D18" s="13" t="s">
        <v>3457</v>
      </c>
      <c r="E18" s="53" t="s">
        <v>3420</v>
      </c>
      <c r="F18" s="31">
        <v>89800</v>
      </c>
      <c r="G18" s="285" t="s">
        <v>2378</v>
      </c>
      <c r="H18" s="479" t="s">
        <v>4256</v>
      </c>
      <c r="I18" s="32"/>
      <c r="J18" s="32"/>
      <c r="K18" s="32"/>
      <c r="L18" s="32"/>
      <c r="M18" s="32"/>
      <c r="N18" s="285" t="s">
        <v>3881</v>
      </c>
      <c r="O18" s="373" t="s">
        <v>314</v>
      </c>
    </row>
    <row r="19" spans="1:15" s="373" customFormat="1" ht="56.25" x14ac:dyDescent="0.2">
      <c r="A19" s="308">
        <f>ROW()-ROW(สำนักงาน!$A$6)+1</f>
        <v>14</v>
      </c>
      <c r="B19" s="55" t="s">
        <v>3453</v>
      </c>
      <c r="C19" s="298" t="s">
        <v>3458</v>
      </c>
      <c r="D19" s="13" t="s">
        <v>3459</v>
      </c>
      <c r="E19" s="53" t="s">
        <v>3420</v>
      </c>
      <c r="F19" s="31">
        <v>89800</v>
      </c>
      <c r="G19" s="285" t="s">
        <v>2378</v>
      </c>
      <c r="H19" s="479" t="s">
        <v>4256</v>
      </c>
      <c r="I19" s="32"/>
      <c r="J19" s="32"/>
      <c r="K19" s="32"/>
      <c r="L19" s="32"/>
      <c r="M19" s="32"/>
      <c r="N19" s="285" t="s">
        <v>3881</v>
      </c>
      <c r="O19" s="373" t="s">
        <v>314</v>
      </c>
    </row>
    <row r="20" spans="1:15" s="373" customFormat="1" ht="56.25" x14ac:dyDescent="0.2">
      <c r="A20" s="308">
        <f>ROW()-ROW(สำนักงาน!$A$6)+1</f>
        <v>15</v>
      </c>
      <c r="B20" s="55" t="s">
        <v>3453</v>
      </c>
      <c r="C20" s="298" t="s">
        <v>3460</v>
      </c>
      <c r="D20" s="13" t="s">
        <v>3461</v>
      </c>
      <c r="E20" s="53" t="s">
        <v>3420</v>
      </c>
      <c r="F20" s="31">
        <v>89800</v>
      </c>
      <c r="G20" s="285" t="s">
        <v>2378</v>
      </c>
      <c r="H20" s="479" t="s">
        <v>4256</v>
      </c>
      <c r="I20" s="32"/>
      <c r="J20" s="32"/>
      <c r="K20" s="32"/>
      <c r="L20" s="32"/>
      <c r="M20" s="32"/>
      <c r="N20" s="285" t="s">
        <v>3881</v>
      </c>
      <c r="O20" s="373" t="s">
        <v>314</v>
      </c>
    </row>
    <row r="21" spans="1:15" s="373" customFormat="1" ht="56.25" x14ac:dyDescent="0.2">
      <c r="A21" s="308">
        <f>ROW()-ROW(สำนักงาน!$A$6)+1</f>
        <v>16</v>
      </c>
      <c r="B21" s="55" t="s">
        <v>3453</v>
      </c>
      <c r="C21" s="298" t="s">
        <v>3462</v>
      </c>
      <c r="D21" s="13" t="s">
        <v>3463</v>
      </c>
      <c r="E21" s="53" t="s">
        <v>3420</v>
      </c>
      <c r="F21" s="31">
        <v>89800</v>
      </c>
      <c r="G21" s="285" t="s">
        <v>2378</v>
      </c>
      <c r="H21" s="479" t="s">
        <v>4256</v>
      </c>
      <c r="I21" s="32"/>
      <c r="J21" s="32"/>
      <c r="K21" s="32"/>
      <c r="L21" s="32"/>
      <c r="M21" s="32"/>
      <c r="N21" s="285" t="s">
        <v>3881</v>
      </c>
      <c r="O21" s="373" t="s">
        <v>314</v>
      </c>
    </row>
    <row r="22" spans="1:15" s="373" customFormat="1" ht="37.5" x14ac:dyDescent="0.2">
      <c r="A22" s="308">
        <f>ROW()-ROW(สำนักงาน!$A$6)+1</f>
        <v>17</v>
      </c>
      <c r="B22" s="55" t="s">
        <v>3754</v>
      </c>
      <c r="C22" s="277" t="s">
        <v>4197</v>
      </c>
      <c r="D22" s="13" t="s">
        <v>3755</v>
      </c>
      <c r="E22" s="34">
        <v>24124</v>
      </c>
      <c r="F22" s="31">
        <v>28900</v>
      </c>
      <c r="G22" s="650" t="s">
        <v>3756</v>
      </c>
      <c r="H22" s="479" t="s">
        <v>4256</v>
      </c>
      <c r="I22" s="32"/>
      <c r="J22" s="32"/>
      <c r="K22" s="32"/>
      <c r="L22" s="32"/>
      <c r="M22" s="32"/>
      <c r="N22" s="285" t="s">
        <v>3881</v>
      </c>
      <c r="O22" s="373" t="s">
        <v>314</v>
      </c>
    </row>
    <row r="23" spans="1:15" s="373" customFormat="1" ht="37.5" x14ac:dyDescent="0.2">
      <c r="A23" s="308">
        <f>ROW()-ROW(สำนักงาน!$A$6)+1</f>
        <v>18</v>
      </c>
      <c r="B23" s="55" t="s">
        <v>3754</v>
      </c>
      <c r="C23" s="277" t="s">
        <v>4198</v>
      </c>
      <c r="D23" s="13" t="s">
        <v>3757</v>
      </c>
      <c r="E23" s="34">
        <v>24124</v>
      </c>
      <c r="F23" s="31">
        <v>28900</v>
      </c>
      <c r="G23" s="650" t="s">
        <v>3756</v>
      </c>
      <c r="H23" s="479" t="s">
        <v>4256</v>
      </c>
      <c r="I23" s="32"/>
      <c r="J23" s="32"/>
      <c r="K23" s="32"/>
      <c r="L23" s="32"/>
      <c r="M23" s="32"/>
      <c r="N23" s="285" t="s">
        <v>3881</v>
      </c>
      <c r="O23" s="373" t="s">
        <v>314</v>
      </c>
    </row>
    <row r="24" spans="1:15" s="373" customFormat="1" ht="37.5" x14ac:dyDescent="0.2">
      <c r="A24" s="308">
        <f>ROW()-ROW(สำนักงาน!$A$6)+1</f>
        <v>19</v>
      </c>
      <c r="B24" s="55" t="s">
        <v>3754</v>
      </c>
      <c r="C24" s="277" t="s">
        <v>4199</v>
      </c>
      <c r="D24" s="13" t="s">
        <v>3758</v>
      </c>
      <c r="E24" s="34">
        <v>24124</v>
      </c>
      <c r="F24" s="31">
        <v>28900</v>
      </c>
      <c r="G24" s="650" t="s">
        <v>3756</v>
      </c>
      <c r="H24" s="479" t="s">
        <v>4256</v>
      </c>
      <c r="I24" s="32"/>
      <c r="J24" s="32"/>
      <c r="K24" s="32"/>
      <c r="L24" s="32"/>
      <c r="M24" s="32"/>
      <c r="N24" s="285" t="s">
        <v>3881</v>
      </c>
      <c r="O24" s="373" t="s">
        <v>314</v>
      </c>
    </row>
    <row r="25" spans="1:15" s="373" customFormat="1" ht="37.5" x14ac:dyDescent="0.2">
      <c r="A25" s="308">
        <f>ROW()-ROW(สำนักงาน!$A$6)+1</f>
        <v>20</v>
      </c>
      <c r="B25" s="55" t="s">
        <v>3754</v>
      </c>
      <c r="C25" s="277" t="s">
        <v>4200</v>
      </c>
      <c r="D25" s="13" t="s">
        <v>3759</v>
      </c>
      <c r="E25" s="34">
        <v>24124</v>
      </c>
      <c r="F25" s="31">
        <v>28900</v>
      </c>
      <c r="G25" s="650" t="s">
        <v>3756</v>
      </c>
      <c r="H25" s="479" t="s">
        <v>4256</v>
      </c>
      <c r="I25" s="32"/>
      <c r="J25" s="32"/>
      <c r="K25" s="32"/>
      <c r="L25" s="32"/>
      <c r="M25" s="32"/>
      <c r="N25" s="285" t="s">
        <v>3881</v>
      </c>
      <c r="O25" s="373" t="s">
        <v>314</v>
      </c>
    </row>
    <row r="26" spans="1:15" s="373" customFormat="1" ht="37.5" x14ac:dyDescent="0.2">
      <c r="A26" s="308">
        <f>ROW()-ROW(สำนักงาน!$A$6)+1</f>
        <v>21</v>
      </c>
      <c r="B26" s="55" t="s">
        <v>3754</v>
      </c>
      <c r="C26" s="277" t="s">
        <v>4201</v>
      </c>
      <c r="D26" s="13" t="s">
        <v>3760</v>
      </c>
      <c r="E26" s="34">
        <v>24124</v>
      </c>
      <c r="F26" s="31">
        <v>28900</v>
      </c>
      <c r="G26" s="725" t="s">
        <v>3756</v>
      </c>
      <c r="H26" s="479" t="s">
        <v>4256</v>
      </c>
      <c r="I26" s="32"/>
      <c r="J26" s="32"/>
      <c r="K26" s="32"/>
      <c r="L26" s="32"/>
      <c r="M26" s="32"/>
      <c r="N26" s="285" t="s">
        <v>3881</v>
      </c>
      <c r="O26" s="373" t="s">
        <v>314</v>
      </c>
    </row>
    <row r="27" spans="1:15" s="334" customFormat="1" ht="18.75" x14ac:dyDescent="0.3">
      <c r="A27" s="308">
        <f>ROW()-ROW(สำนักงาน!$A$6)+1</f>
        <v>22</v>
      </c>
      <c r="B27" s="619" t="s">
        <v>4040</v>
      </c>
      <c r="C27" s="620" t="s">
        <v>4041</v>
      </c>
      <c r="D27" s="620" t="s">
        <v>4042</v>
      </c>
      <c r="E27" s="621" t="s">
        <v>4043</v>
      </c>
      <c r="F27" s="625">
        <v>37000</v>
      </c>
      <c r="G27" s="724" t="s">
        <v>3892</v>
      </c>
      <c r="H27" s="620"/>
      <c r="I27" s="620"/>
      <c r="J27" s="32" t="s">
        <v>4256</v>
      </c>
      <c r="K27" s="335"/>
      <c r="L27" s="623"/>
      <c r="M27" s="624"/>
      <c r="N27" s="690"/>
      <c r="O27" s="335"/>
    </row>
    <row r="28" spans="1:15" s="373" customFormat="1" ht="18.75" x14ac:dyDescent="0.2">
      <c r="A28" s="17">
        <f>ROW()-ROW(ไฟฟ้าและวิทยุ!$A$6)+1</f>
        <v>23</v>
      </c>
      <c r="B28" s="52" t="s">
        <v>2395</v>
      </c>
      <c r="C28" s="32" t="s">
        <v>2396</v>
      </c>
      <c r="D28" s="32" t="s">
        <v>2397</v>
      </c>
      <c r="E28" s="53" t="s">
        <v>2398</v>
      </c>
      <c r="F28" s="31">
        <v>8990</v>
      </c>
      <c r="G28" s="285" t="s">
        <v>2383</v>
      </c>
      <c r="H28" s="479" t="s">
        <v>4256</v>
      </c>
      <c r="I28" s="32"/>
      <c r="J28" s="79"/>
      <c r="K28" s="79"/>
      <c r="L28" s="225"/>
      <c r="M28" s="226"/>
      <c r="N28" s="285"/>
      <c r="O28" s="373" t="s">
        <v>314</v>
      </c>
    </row>
    <row r="29" spans="1:15" s="334" customFormat="1" ht="37.5" x14ac:dyDescent="0.25">
      <c r="A29" s="308">
        <f>ROW()-ROW(สำนักงาน!$A$6)+1</f>
        <v>24</v>
      </c>
      <c r="B29" s="726" t="s">
        <v>4251</v>
      </c>
      <c r="C29" s="13" t="s">
        <v>4029</v>
      </c>
      <c r="D29" s="13" t="s">
        <v>4030</v>
      </c>
      <c r="E29" s="220" t="s">
        <v>3991</v>
      </c>
      <c r="F29" s="727">
        <v>37383</v>
      </c>
      <c r="G29" s="723" t="s">
        <v>3892</v>
      </c>
      <c r="H29" s="32" t="s">
        <v>4256</v>
      </c>
      <c r="I29" s="13"/>
      <c r="J29" s="13"/>
      <c r="K29" s="13"/>
      <c r="L29" s="223"/>
      <c r="M29" s="223"/>
      <c r="N29" s="435"/>
    </row>
    <row r="30" spans="1:15" s="334" customFormat="1" ht="37.5" x14ac:dyDescent="0.25">
      <c r="A30" s="308">
        <f>ROW()-ROW(สำนักงาน!$A$6)+1</f>
        <v>25</v>
      </c>
      <c r="B30" s="55" t="s">
        <v>4059</v>
      </c>
      <c r="C30" s="13" t="s">
        <v>4031</v>
      </c>
      <c r="D30" s="13" t="s">
        <v>4032</v>
      </c>
      <c r="E30" s="220" t="s">
        <v>3991</v>
      </c>
      <c r="F30" s="221">
        <v>6500</v>
      </c>
      <c r="G30" s="723" t="s">
        <v>3892</v>
      </c>
      <c r="H30" s="32" t="s">
        <v>4256</v>
      </c>
      <c r="I30" s="13"/>
      <c r="J30" s="82"/>
      <c r="K30" s="82"/>
      <c r="L30" s="222"/>
      <c r="M30" s="223"/>
      <c r="N30" s="435"/>
    </row>
    <row r="31" spans="1:15" s="370" customFormat="1" ht="18.75" x14ac:dyDescent="0.2">
      <c r="A31" s="308">
        <f>ROW()-ROW(สำนักงาน!$A$6)+1</f>
        <v>26</v>
      </c>
      <c r="B31" s="52" t="s">
        <v>437</v>
      </c>
      <c r="C31" s="32" t="s">
        <v>438</v>
      </c>
      <c r="D31" s="32" t="s">
        <v>439</v>
      </c>
      <c r="E31" s="34">
        <v>20675</v>
      </c>
      <c r="F31" s="233">
        <v>15000</v>
      </c>
      <c r="G31" s="285" t="s">
        <v>200</v>
      </c>
      <c r="H31" s="32" t="s">
        <v>4256</v>
      </c>
      <c r="I31" s="32"/>
      <c r="J31" s="79"/>
      <c r="K31" s="225"/>
      <c r="L31" s="226"/>
      <c r="M31" s="234"/>
      <c r="N31" s="78" t="s">
        <v>3914</v>
      </c>
      <c r="O31" s="370" t="s">
        <v>314</v>
      </c>
    </row>
    <row r="32" spans="1:15" s="372" customFormat="1" ht="18.75" x14ac:dyDescent="0.3">
      <c r="A32" s="308">
        <f>ROW()-ROW(สำนักงาน!$A$6)+1</f>
        <v>27</v>
      </c>
      <c r="B32" s="307" t="s">
        <v>1214</v>
      </c>
      <c r="C32" s="308" t="s">
        <v>1215</v>
      </c>
      <c r="D32" s="308" t="s">
        <v>1216</v>
      </c>
      <c r="E32" s="319" t="s">
        <v>1217</v>
      </c>
      <c r="F32" s="310">
        <v>34500</v>
      </c>
      <c r="G32" s="381" t="s">
        <v>825</v>
      </c>
      <c r="H32" s="320" t="s">
        <v>4256</v>
      </c>
      <c r="I32" s="321"/>
      <c r="J32" s="322"/>
      <c r="K32" s="322"/>
      <c r="L32" s="323"/>
      <c r="M32" s="324"/>
      <c r="N32" s="325"/>
      <c r="O32" s="370" t="s">
        <v>314</v>
      </c>
    </row>
    <row r="33" spans="1:15" s="373" customFormat="1" ht="37.5" x14ac:dyDescent="0.2">
      <c r="A33" s="308">
        <f>ROW()-ROW(สำนักงาน!$A$6)+1</f>
        <v>28</v>
      </c>
      <c r="B33" s="55" t="s">
        <v>3417</v>
      </c>
      <c r="C33" s="298" t="s">
        <v>3418</v>
      </c>
      <c r="D33" s="13" t="s">
        <v>3419</v>
      </c>
      <c r="E33" s="53" t="s">
        <v>3420</v>
      </c>
      <c r="F33" s="31">
        <v>62500</v>
      </c>
      <c r="G33" s="285" t="s">
        <v>2378</v>
      </c>
      <c r="H33" s="479" t="s">
        <v>4256</v>
      </c>
      <c r="I33" s="32"/>
      <c r="J33" s="32"/>
      <c r="K33" s="32"/>
      <c r="L33" s="32"/>
      <c r="M33" s="32"/>
      <c r="N33" s="285" t="s">
        <v>3881</v>
      </c>
      <c r="O33" s="373" t="s">
        <v>314</v>
      </c>
    </row>
    <row r="34" spans="1:15" s="373" customFormat="1" ht="37.5" x14ac:dyDescent="0.2">
      <c r="A34" s="308">
        <f>ROW()-ROW(สำนักงาน!$A$6)+1</f>
        <v>29</v>
      </c>
      <c r="B34" s="55" t="s">
        <v>3417</v>
      </c>
      <c r="C34" s="298" t="s">
        <v>3421</v>
      </c>
      <c r="D34" s="13" t="s">
        <v>3422</v>
      </c>
      <c r="E34" s="53" t="s">
        <v>3420</v>
      </c>
      <c r="F34" s="31">
        <v>62500</v>
      </c>
      <c r="G34" s="285" t="s">
        <v>2378</v>
      </c>
      <c r="H34" s="479" t="s">
        <v>4256</v>
      </c>
      <c r="I34" s="32"/>
      <c r="J34" s="32"/>
      <c r="K34" s="32"/>
      <c r="L34" s="32"/>
      <c r="M34" s="32"/>
      <c r="N34" s="285" t="s">
        <v>3881</v>
      </c>
      <c r="O34" s="373" t="s">
        <v>314</v>
      </c>
    </row>
    <row r="35" spans="1:15" s="373" customFormat="1" ht="37.5" x14ac:dyDescent="0.2">
      <c r="A35" s="308">
        <f>ROW()-ROW(สำนักงาน!$A$6)+1</f>
        <v>30</v>
      </c>
      <c r="B35" s="55" t="s">
        <v>3417</v>
      </c>
      <c r="C35" s="298" t="s">
        <v>3423</v>
      </c>
      <c r="D35" s="13" t="s">
        <v>3424</v>
      </c>
      <c r="E35" s="53" t="s">
        <v>3420</v>
      </c>
      <c r="F35" s="31">
        <v>62500</v>
      </c>
      <c r="G35" s="285" t="s">
        <v>2378</v>
      </c>
      <c r="H35" s="479" t="s">
        <v>4256</v>
      </c>
      <c r="I35" s="32"/>
      <c r="J35" s="32"/>
      <c r="K35" s="32"/>
      <c r="L35" s="32"/>
      <c r="M35" s="32"/>
      <c r="N35" s="285" t="s">
        <v>3881</v>
      </c>
      <c r="O35" s="373" t="s">
        <v>314</v>
      </c>
    </row>
    <row r="36" spans="1:15" s="373" customFormat="1" ht="37.5" x14ac:dyDescent="0.2">
      <c r="A36" s="308">
        <f>ROW()-ROW(สำนักงาน!$A$6)+1</f>
        <v>31</v>
      </c>
      <c r="B36" s="55" t="s">
        <v>3417</v>
      </c>
      <c r="C36" s="298" t="s">
        <v>3425</v>
      </c>
      <c r="D36" s="13" t="s">
        <v>3426</v>
      </c>
      <c r="E36" s="53" t="s">
        <v>3420</v>
      </c>
      <c r="F36" s="31">
        <v>62500</v>
      </c>
      <c r="G36" s="285" t="s">
        <v>2378</v>
      </c>
      <c r="H36" s="479" t="s">
        <v>4256</v>
      </c>
      <c r="I36" s="32"/>
      <c r="J36" s="32"/>
      <c r="K36" s="32"/>
      <c r="L36" s="32"/>
      <c r="M36" s="32"/>
      <c r="N36" s="285" t="s">
        <v>3881</v>
      </c>
      <c r="O36" s="373" t="s">
        <v>314</v>
      </c>
    </row>
    <row r="37" spans="1:15" s="373" customFormat="1" ht="18.75" x14ac:dyDescent="0.2">
      <c r="A37" s="308">
        <f>ROW()-ROW(สำนักงาน!$A$6)+1</f>
        <v>32</v>
      </c>
      <c r="B37" s="55" t="s">
        <v>3427</v>
      </c>
      <c r="C37" s="298" t="s">
        <v>3428</v>
      </c>
      <c r="D37" s="13" t="s">
        <v>3429</v>
      </c>
      <c r="E37" s="53" t="s">
        <v>3420</v>
      </c>
      <c r="F37" s="31">
        <v>32100</v>
      </c>
      <c r="G37" s="285" t="s">
        <v>2378</v>
      </c>
      <c r="H37" s="479" t="s">
        <v>4256</v>
      </c>
      <c r="I37" s="32"/>
      <c r="J37" s="32"/>
      <c r="K37" s="32"/>
      <c r="L37" s="32"/>
      <c r="M37" s="32"/>
      <c r="N37" s="285" t="s">
        <v>3881</v>
      </c>
      <c r="O37" s="373" t="s">
        <v>314</v>
      </c>
    </row>
    <row r="38" spans="1:15" s="373" customFormat="1" ht="18.75" x14ac:dyDescent="0.2">
      <c r="A38" s="308">
        <f>ROW()-ROW(สำนักงาน!$A$6)+1</f>
        <v>33</v>
      </c>
      <c r="B38" s="55" t="s">
        <v>3427</v>
      </c>
      <c r="C38" s="298" t="s">
        <v>3430</v>
      </c>
      <c r="D38" s="13" t="s">
        <v>3431</v>
      </c>
      <c r="E38" s="53" t="s">
        <v>3420</v>
      </c>
      <c r="F38" s="31">
        <v>32100</v>
      </c>
      <c r="G38" s="285" t="s">
        <v>2378</v>
      </c>
      <c r="H38" s="479" t="s">
        <v>4256</v>
      </c>
      <c r="I38" s="32"/>
      <c r="J38" s="32"/>
      <c r="K38" s="32"/>
      <c r="L38" s="32"/>
      <c r="M38" s="32"/>
      <c r="N38" s="285" t="s">
        <v>3881</v>
      </c>
      <c r="O38" s="373" t="s">
        <v>314</v>
      </c>
    </row>
    <row r="39" spans="1:15" s="373" customFormat="1" ht="18.75" x14ac:dyDescent="0.2">
      <c r="A39" s="308">
        <f>ROW()-ROW(สำนักงาน!$A$6)+1</f>
        <v>34</v>
      </c>
      <c r="B39" s="55" t="s">
        <v>3427</v>
      </c>
      <c r="C39" s="298" t="s">
        <v>3432</v>
      </c>
      <c r="D39" s="13" t="s">
        <v>3433</v>
      </c>
      <c r="E39" s="53" t="s">
        <v>3420</v>
      </c>
      <c r="F39" s="31">
        <v>32100</v>
      </c>
      <c r="G39" s="285" t="s">
        <v>2378</v>
      </c>
      <c r="H39" s="479" t="s">
        <v>4256</v>
      </c>
      <c r="I39" s="32"/>
      <c r="J39" s="32"/>
      <c r="K39" s="32"/>
      <c r="L39" s="32"/>
      <c r="M39" s="32"/>
      <c r="N39" s="285" t="s">
        <v>3881</v>
      </c>
      <c r="O39" s="373" t="s">
        <v>314</v>
      </c>
    </row>
    <row r="40" spans="1:15" s="373" customFormat="1" ht="18.75" x14ac:dyDescent="0.2">
      <c r="A40" s="308">
        <f>ROW()-ROW(สำนักงาน!$A$6)+1</f>
        <v>35</v>
      </c>
      <c r="B40" s="55" t="s">
        <v>3427</v>
      </c>
      <c r="C40" s="298" t="s">
        <v>3434</v>
      </c>
      <c r="D40" s="13" t="s">
        <v>3435</v>
      </c>
      <c r="E40" s="53" t="s">
        <v>3420</v>
      </c>
      <c r="F40" s="31">
        <v>32100</v>
      </c>
      <c r="G40" s="285" t="s">
        <v>2378</v>
      </c>
      <c r="H40" s="479" t="s">
        <v>4256</v>
      </c>
      <c r="I40" s="32"/>
      <c r="J40" s="32"/>
      <c r="K40" s="32"/>
      <c r="L40" s="32"/>
      <c r="M40" s="32"/>
      <c r="N40" s="285" t="s">
        <v>3881</v>
      </c>
      <c r="O40" s="373" t="s">
        <v>314</v>
      </c>
    </row>
    <row r="41" spans="1:15" s="373" customFormat="1" ht="18.75" x14ac:dyDescent="0.2">
      <c r="A41" s="308">
        <f>ROW()-ROW(สำนักงาน!$A$6)+1</f>
        <v>36</v>
      </c>
      <c r="B41" s="55" t="s">
        <v>3436</v>
      </c>
      <c r="C41" s="298" t="s">
        <v>3437</v>
      </c>
      <c r="D41" s="13" t="s">
        <v>3438</v>
      </c>
      <c r="E41" s="53" t="s">
        <v>3420</v>
      </c>
      <c r="F41" s="31">
        <v>42800</v>
      </c>
      <c r="G41" s="285" t="s">
        <v>2378</v>
      </c>
      <c r="H41" s="479" t="s">
        <v>4256</v>
      </c>
      <c r="I41" s="32"/>
      <c r="J41" s="32"/>
      <c r="K41" s="32"/>
      <c r="L41" s="32"/>
      <c r="M41" s="32"/>
      <c r="N41" s="285" t="s">
        <v>3881</v>
      </c>
      <c r="O41" s="373" t="s">
        <v>314</v>
      </c>
    </row>
    <row r="42" spans="1:15" s="373" customFormat="1" ht="18.75" x14ac:dyDescent="0.2">
      <c r="A42" s="308">
        <f>ROW()-ROW(สำนักงาน!$A$6)+1</f>
        <v>37</v>
      </c>
      <c r="B42" s="55" t="s">
        <v>3436</v>
      </c>
      <c r="C42" s="298" t="s">
        <v>3439</v>
      </c>
      <c r="D42" s="13" t="s">
        <v>3440</v>
      </c>
      <c r="E42" s="53" t="s">
        <v>3420</v>
      </c>
      <c r="F42" s="31">
        <v>42800</v>
      </c>
      <c r="G42" s="285" t="s">
        <v>2378</v>
      </c>
      <c r="H42" s="479" t="s">
        <v>4256</v>
      </c>
      <c r="I42" s="32"/>
      <c r="J42" s="32"/>
      <c r="K42" s="32"/>
      <c r="L42" s="32"/>
      <c r="M42" s="32"/>
      <c r="N42" s="285" t="s">
        <v>3881</v>
      </c>
      <c r="O42" s="373" t="s">
        <v>314</v>
      </c>
    </row>
    <row r="43" spans="1:15" s="373" customFormat="1" ht="18.75" x14ac:dyDescent="0.2">
      <c r="A43" s="308">
        <f>ROW()-ROW(สำนักงาน!$A$6)+1</f>
        <v>38</v>
      </c>
      <c r="B43" s="55" t="s">
        <v>3436</v>
      </c>
      <c r="C43" s="298" t="s">
        <v>3441</v>
      </c>
      <c r="D43" s="13" t="s">
        <v>3442</v>
      </c>
      <c r="E43" s="53" t="s">
        <v>3420</v>
      </c>
      <c r="F43" s="31">
        <v>42800</v>
      </c>
      <c r="G43" s="285" t="s">
        <v>2378</v>
      </c>
      <c r="H43" s="479" t="s">
        <v>4256</v>
      </c>
      <c r="I43" s="32"/>
      <c r="J43" s="32"/>
      <c r="K43" s="32"/>
      <c r="L43" s="32"/>
      <c r="M43" s="32"/>
      <c r="N43" s="285" t="s">
        <v>3881</v>
      </c>
      <c r="O43" s="373" t="s">
        <v>314</v>
      </c>
    </row>
    <row r="44" spans="1:15" s="373" customFormat="1" ht="18.75" x14ac:dyDescent="0.2">
      <c r="A44" s="308">
        <f>ROW()-ROW(สำนักงาน!$A$6)+1</f>
        <v>39</v>
      </c>
      <c r="B44" s="55" t="s">
        <v>3443</v>
      </c>
      <c r="C44" s="298" t="s">
        <v>3444</v>
      </c>
      <c r="D44" s="13" t="s">
        <v>3445</v>
      </c>
      <c r="E44" s="53" t="s">
        <v>3420</v>
      </c>
      <c r="F44" s="31">
        <v>62100</v>
      </c>
      <c r="G44" s="285" t="s">
        <v>2378</v>
      </c>
      <c r="H44" s="479" t="s">
        <v>4256</v>
      </c>
      <c r="I44" s="32"/>
      <c r="J44" s="32"/>
      <c r="K44" s="32"/>
      <c r="L44" s="32"/>
      <c r="M44" s="32"/>
      <c r="N44" s="285" t="s">
        <v>3881</v>
      </c>
      <c r="O44" s="373" t="s">
        <v>314</v>
      </c>
    </row>
    <row r="45" spans="1:15" s="373" customFormat="1" ht="18.75" x14ac:dyDescent="0.2">
      <c r="A45" s="308">
        <f>ROW()-ROW(สำนักงาน!$A$6)+1</f>
        <v>40</v>
      </c>
      <c r="B45" s="55" t="s">
        <v>3443</v>
      </c>
      <c r="C45" s="298" t="s">
        <v>3446</v>
      </c>
      <c r="D45" s="13" t="s">
        <v>3447</v>
      </c>
      <c r="E45" s="53" t="s">
        <v>3420</v>
      </c>
      <c r="F45" s="31">
        <v>62100</v>
      </c>
      <c r="G45" s="285" t="s">
        <v>2378</v>
      </c>
      <c r="H45" s="479" t="s">
        <v>4256</v>
      </c>
      <c r="I45" s="32"/>
      <c r="J45" s="32"/>
      <c r="K45" s="32"/>
      <c r="L45" s="32"/>
      <c r="M45" s="32"/>
      <c r="N45" s="285" t="s">
        <v>3881</v>
      </c>
      <c r="O45" s="373" t="s">
        <v>314</v>
      </c>
    </row>
    <row r="46" spans="1:15" s="373" customFormat="1" ht="18.75" x14ac:dyDescent="0.2">
      <c r="A46" s="308">
        <f>ROW()-ROW(สำนักงาน!$A$6)+1</f>
        <v>41</v>
      </c>
      <c r="B46" s="55" t="s">
        <v>3443</v>
      </c>
      <c r="C46" s="298" t="s">
        <v>3448</v>
      </c>
      <c r="D46" s="13" t="s">
        <v>3449</v>
      </c>
      <c r="E46" s="53" t="s">
        <v>3420</v>
      </c>
      <c r="F46" s="31">
        <v>62100</v>
      </c>
      <c r="G46" s="285" t="s">
        <v>2378</v>
      </c>
      <c r="H46" s="479" t="s">
        <v>4256</v>
      </c>
      <c r="I46" s="32"/>
      <c r="J46" s="32"/>
      <c r="K46" s="32"/>
      <c r="L46" s="32"/>
      <c r="M46" s="32"/>
      <c r="N46" s="285" t="s">
        <v>3881</v>
      </c>
      <c r="O46" s="373" t="s">
        <v>314</v>
      </c>
    </row>
    <row r="47" spans="1:15" s="373" customFormat="1" ht="18.75" x14ac:dyDescent="0.2">
      <c r="A47" s="308">
        <f>ROW()-ROW(สำนักงาน!$A$6)+1</f>
        <v>42</v>
      </c>
      <c r="B47" s="55" t="s">
        <v>3450</v>
      </c>
      <c r="C47" s="298" t="s">
        <v>3451</v>
      </c>
      <c r="D47" s="13" t="s">
        <v>3452</v>
      </c>
      <c r="E47" s="53" t="s">
        <v>3420</v>
      </c>
      <c r="F47" s="31">
        <v>27100</v>
      </c>
      <c r="G47" s="285" t="s">
        <v>2378</v>
      </c>
      <c r="H47" s="479" t="s">
        <v>4256</v>
      </c>
      <c r="I47" s="32"/>
      <c r="J47" s="32"/>
      <c r="K47" s="32"/>
      <c r="L47" s="32"/>
      <c r="M47" s="32"/>
      <c r="N47" s="285" t="s">
        <v>3881</v>
      </c>
      <c r="O47" s="373" t="s">
        <v>314</v>
      </c>
    </row>
    <row r="48" spans="1:15" s="373" customFormat="1" ht="18.75" x14ac:dyDescent="0.2">
      <c r="A48" s="308">
        <f>ROW()-ROW(สำนักงาน!$A$6)+1</f>
        <v>43</v>
      </c>
      <c r="B48" s="55" t="s">
        <v>3663</v>
      </c>
      <c r="C48" s="13" t="s">
        <v>3664</v>
      </c>
      <c r="D48" s="13" t="s">
        <v>3665</v>
      </c>
      <c r="E48" s="53" t="s">
        <v>1731</v>
      </c>
      <c r="F48" s="31">
        <v>22500</v>
      </c>
      <c r="G48" s="285" t="s">
        <v>2378</v>
      </c>
      <c r="H48" s="479" t="s">
        <v>4256</v>
      </c>
      <c r="I48" s="32"/>
      <c r="J48" s="32"/>
      <c r="K48" s="32"/>
      <c r="L48" s="32"/>
      <c r="M48" s="32"/>
      <c r="N48" s="316" t="s">
        <v>3855</v>
      </c>
      <c r="O48" s="373" t="s">
        <v>314</v>
      </c>
    </row>
    <row r="49" spans="1:15" s="373" customFormat="1" ht="18.75" x14ac:dyDescent="0.2">
      <c r="A49" s="308">
        <f>ROW()-ROW(สำนักงาน!$A$6)+1</f>
        <v>44</v>
      </c>
      <c r="B49" s="55" t="s">
        <v>3663</v>
      </c>
      <c r="C49" s="13" t="s">
        <v>3666</v>
      </c>
      <c r="D49" s="13" t="s">
        <v>3667</v>
      </c>
      <c r="E49" s="53" t="s">
        <v>1731</v>
      </c>
      <c r="F49" s="31">
        <v>22500</v>
      </c>
      <c r="G49" s="285" t="s">
        <v>2378</v>
      </c>
      <c r="H49" s="479" t="s">
        <v>4256</v>
      </c>
      <c r="I49" s="32"/>
      <c r="J49" s="32"/>
      <c r="K49" s="32"/>
      <c r="L49" s="32"/>
      <c r="M49" s="32"/>
      <c r="N49" s="316" t="s">
        <v>3855</v>
      </c>
      <c r="O49" s="747">
        <f>SUM(F29:F49)</f>
        <v>858583</v>
      </c>
    </row>
    <row r="50" spans="1:15" s="373" customFormat="1" ht="18.75" x14ac:dyDescent="0.2">
      <c r="A50" s="17">
        <f>ROW()-ROW(ไฟฟ้าและวิทยุ!$A$6)+1</f>
        <v>45</v>
      </c>
      <c r="B50" s="55" t="s">
        <v>3747</v>
      </c>
      <c r="C50" s="32" t="s">
        <v>3748</v>
      </c>
      <c r="D50" s="13" t="s">
        <v>3749</v>
      </c>
      <c r="E50" s="53" t="s">
        <v>3743</v>
      </c>
      <c r="F50" s="31">
        <v>70620</v>
      </c>
      <c r="G50" s="285" t="s">
        <v>2378</v>
      </c>
      <c r="H50" s="479" t="s">
        <v>4256</v>
      </c>
      <c r="I50" s="32"/>
      <c r="J50" s="32"/>
      <c r="K50" s="32"/>
      <c r="L50" s="32"/>
      <c r="M50" s="32"/>
      <c r="N50" s="316" t="s">
        <v>3891</v>
      </c>
      <c r="O50" s="373" t="s">
        <v>314</v>
      </c>
    </row>
    <row r="51" spans="1:15" s="336" customFormat="1" ht="18.75" x14ac:dyDescent="0.3">
      <c r="A51" s="32">
        <f>ROW()-ROW(อื่นๆ!$A$6)+1</f>
        <v>46</v>
      </c>
      <c r="B51" s="55" t="s">
        <v>4033</v>
      </c>
      <c r="C51" s="13" t="s">
        <v>4034</v>
      </c>
      <c r="D51" s="13" t="s">
        <v>4035</v>
      </c>
      <c r="E51" s="220" t="s">
        <v>3991</v>
      </c>
      <c r="F51" s="221">
        <v>12000</v>
      </c>
      <c r="G51" s="723" t="s">
        <v>3892</v>
      </c>
      <c r="H51" s="13"/>
      <c r="I51" s="13"/>
      <c r="J51" s="32" t="s">
        <v>4256</v>
      </c>
      <c r="K51" s="82"/>
      <c r="L51" s="222"/>
      <c r="M51" s="223"/>
      <c r="N51" s="713"/>
      <c r="O51" s="336" t="s">
        <v>4367</v>
      </c>
    </row>
    <row r="52" spans="1:15" s="372" customFormat="1" ht="18.75" x14ac:dyDescent="0.3">
      <c r="A52" s="322"/>
      <c r="B52" s="341" t="s">
        <v>5006</v>
      </c>
      <c r="C52" s="307"/>
      <c r="D52" s="307"/>
      <c r="E52" s="307"/>
      <c r="F52" s="414">
        <f>SUBTOTAL(9,F6:F51)</f>
        <v>4061756.15</v>
      </c>
      <c r="G52" s="307"/>
      <c r="H52" s="322"/>
      <c r="I52" s="322"/>
      <c r="J52" s="322"/>
      <c r="K52" s="322"/>
      <c r="L52" s="322"/>
      <c r="M52" s="322"/>
      <c r="N52" s="322"/>
    </row>
  </sheetData>
  <autoFilter ref="A4:N4" xr:uid="{00000000-0009-0000-0000-000017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honeticPr fontId="15" type="noConversion"/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N9"/>
  <sheetViews>
    <sheetView workbookViewId="0">
      <selection activeCell="B11" sqref="B11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15.140625" style="42" customWidth="1"/>
    <col min="15" max="16384" width="9.140625" style="42"/>
  </cols>
  <sheetData>
    <row r="1" spans="1:14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4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4" s="10" customFormat="1" ht="18.75" x14ac:dyDescent="0.3">
      <c r="A3" s="871" t="s">
        <v>4343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4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4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4" s="51" customFormat="1" ht="37.5" x14ac:dyDescent="0.2">
      <c r="A6" s="32">
        <f>ROW()-ROW($A$6)+1</f>
        <v>1</v>
      </c>
      <c r="B6" s="246" t="s">
        <v>4345</v>
      </c>
      <c r="C6" s="32" t="s">
        <v>470</v>
      </c>
      <c r="D6" s="32" t="s">
        <v>471</v>
      </c>
      <c r="E6" s="53" t="s">
        <v>465</v>
      </c>
      <c r="F6" s="54">
        <v>7650</v>
      </c>
      <c r="G6" s="285" t="s">
        <v>6</v>
      </c>
      <c r="H6" s="36" t="s">
        <v>4256</v>
      </c>
      <c r="I6" s="32"/>
      <c r="J6" s="32"/>
      <c r="K6" s="32"/>
      <c r="L6" s="32"/>
      <c r="M6" s="32"/>
      <c r="N6" s="56" t="s">
        <v>472</v>
      </c>
    </row>
    <row r="7" spans="1:14" s="51" customFormat="1" ht="37.5" x14ac:dyDescent="0.2">
      <c r="A7" s="32">
        <f>ROW()-ROW($A$6)+1</f>
        <v>2</v>
      </c>
      <c r="B7" s="52" t="s">
        <v>473</v>
      </c>
      <c r="C7" s="32" t="s">
        <v>474</v>
      </c>
      <c r="D7" s="32" t="s">
        <v>475</v>
      </c>
      <c r="E7" s="53" t="s">
        <v>465</v>
      </c>
      <c r="F7" s="54">
        <v>28500</v>
      </c>
      <c r="G7" s="285" t="s">
        <v>6</v>
      </c>
      <c r="H7" s="36" t="s">
        <v>4256</v>
      </c>
      <c r="I7" s="32"/>
      <c r="J7" s="32"/>
      <c r="K7" s="32"/>
      <c r="L7" s="32"/>
      <c r="M7" s="32"/>
      <c r="N7" s="56" t="s">
        <v>466</v>
      </c>
    </row>
    <row r="8" spans="1:14" s="66" customFormat="1" ht="21" x14ac:dyDescent="0.2">
      <c r="A8" s="32">
        <f>ROW()-ROW($A$6)+1</f>
        <v>3</v>
      </c>
      <c r="B8" s="55" t="s">
        <v>1732</v>
      </c>
      <c r="C8" s="13" t="s">
        <v>1733</v>
      </c>
      <c r="D8" s="13" t="s">
        <v>1734</v>
      </c>
      <c r="E8" s="53" t="s">
        <v>1697</v>
      </c>
      <c r="F8" s="31">
        <v>10500</v>
      </c>
      <c r="G8" s="285" t="s">
        <v>21</v>
      </c>
      <c r="H8" s="36" t="s">
        <v>4256</v>
      </c>
      <c r="I8" s="32"/>
      <c r="J8" s="32"/>
      <c r="K8" s="32"/>
      <c r="L8" s="32"/>
      <c r="M8" s="32"/>
      <c r="N8" s="81"/>
    </row>
    <row r="9" spans="1:14" s="3" customFormat="1" ht="18.75" x14ac:dyDescent="0.3">
      <c r="A9" s="5"/>
      <c r="B9" s="295" t="s">
        <v>5001</v>
      </c>
      <c r="C9" s="11"/>
      <c r="D9" s="11"/>
      <c r="E9" s="11"/>
      <c r="F9" s="296">
        <f>SUBTOTAL(9,F6:F8)</f>
        <v>46650</v>
      </c>
      <c r="G9" s="11"/>
      <c r="H9" s="5"/>
      <c r="I9" s="5"/>
      <c r="J9" s="5"/>
      <c r="K9" s="5"/>
      <c r="L9" s="5"/>
      <c r="M9" s="5"/>
      <c r="N9" s="5"/>
    </row>
  </sheetData>
  <autoFilter ref="A4:N4" xr:uid="{00000000-0009-0000-0000-000018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P18"/>
  <sheetViews>
    <sheetView topLeftCell="A11" workbookViewId="0">
      <selection activeCell="I12" sqref="I12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16.7109375" style="42" customWidth="1"/>
    <col min="15" max="15" width="10" style="42" bestFit="1" customWidth="1"/>
    <col min="16" max="16384" width="9.140625" style="42"/>
  </cols>
  <sheetData>
    <row r="1" spans="1:16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6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6" s="10" customFormat="1" ht="18.75" x14ac:dyDescent="0.3">
      <c r="A3" s="871" t="s">
        <v>4344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6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6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6" s="279" customFormat="1" ht="56.25" x14ac:dyDescent="0.2">
      <c r="A6" s="43">
        <f>ROW()-ROW(สำนักงาน!$A$6)+1</f>
        <v>1</v>
      </c>
      <c r="B6" s="52" t="s">
        <v>3311</v>
      </c>
      <c r="C6" s="32" t="s">
        <v>3312</v>
      </c>
      <c r="D6" s="32" t="s">
        <v>3313</v>
      </c>
      <c r="E6" s="53" t="s">
        <v>2862</v>
      </c>
      <c r="F6" s="54">
        <v>19260</v>
      </c>
      <c r="G6" s="285" t="s">
        <v>2893</v>
      </c>
      <c r="H6" s="479" t="s">
        <v>4256</v>
      </c>
      <c r="I6" s="32"/>
      <c r="J6" s="32"/>
      <c r="K6" s="32"/>
      <c r="L6" s="32"/>
      <c r="M6" s="32"/>
      <c r="N6" s="284" t="s">
        <v>3842</v>
      </c>
      <c r="O6" s="755">
        <f>SUM(F6:F7)</f>
        <v>42800</v>
      </c>
    </row>
    <row r="7" spans="1:16" s="279" customFormat="1" ht="37.5" x14ac:dyDescent="0.2">
      <c r="A7" s="43">
        <f>ROW()-ROW(สำนักงาน!$A$6)+1</f>
        <v>2</v>
      </c>
      <c r="B7" s="52" t="s">
        <v>3314</v>
      </c>
      <c r="C7" s="32" t="s">
        <v>3315</v>
      </c>
      <c r="D7" s="32" t="s">
        <v>3316</v>
      </c>
      <c r="E7" s="53" t="s">
        <v>2862</v>
      </c>
      <c r="F7" s="54">
        <v>23540</v>
      </c>
      <c r="G7" s="285" t="s">
        <v>2893</v>
      </c>
      <c r="H7" s="479" t="s">
        <v>4256</v>
      </c>
      <c r="I7" s="32"/>
      <c r="J7" s="32"/>
      <c r="K7" s="32"/>
      <c r="L7" s="32"/>
      <c r="M7" s="32"/>
      <c r="N7" s="284" t="s">
        <v>3842</v>
      </c>
    </row>
    <row r="8" spans="1:16" s="279" customFormat="1" ht="56.25" x14ac:dyDescent="0.2">
      <c r="A8" s="43">
        <f>ROW()-ROW(สำนักงาน!$A$6)+1</f>
        <v>3</v>
      </c>
      <c r="B8" s="52" t="s">
        <v>3308</v>
      </c>
      <c r="C8" s="32" t="s">
        <v>3309</v>
      </c>
      <c r="D8" s="32" t="s">
        <v>3310</v>
      </c>
      <c r="E8" s="53" t="s">
        <v>2862</v>
      </c>
      <c r="F8" s="54">
        <v>19260</v>
      </c>
      <c r="G8" s="285" t="s">
        <v>2893</v>
      </c>
      <c r="H8" s="479" t="s">
        <v>4256</v>
      </c>
      <c r="I8" s="32"/>
      <c r="J8" s="32"/>
      <c r="K8" s="32"/>
      <c r="L8" s="32"/>
      <c r="M8" s="32"/>
      <c r="N8" s="284" t="s">
        <v>3842</v>
      </c>
    </row>
    <row r="9" spans="1:16" s="336" customFormat="1" ht="18.75" x14ac:dyDescent="0.3">
      <c r="A9" s="43">
        <f>ROW()-ROW(สำนักงาน!$A$6)+1</f>
        <v>4</v>
      </c>
      <c r="B9" s="611" t="s">
        <v>4056</v>
      </c>
      <c r="C9" s="30" t="s">
        <v>4057</v>
      </c>
      <c r="D9" s="718" t="s">
        <v>4058</v>
      </c>
      <c r="E9" s="719" t="s">
        <v>556</v>
      </c>
      <c r="F9" s="720">
        <v>2500</v>
      </c>
      <c r="G9" s="741" t="s">
        <v>3892</v>
      </c>
      <c r="H9" s="721"/>
      <c r="I9" s="612"/>
      <c r="J9" s="32" t="s">
        <v>4256</v>
      </c>
      <c r="K9" s="612"/>
      <c r="L9" s="612"/>
      <c r="M9" s="612"/>
      <c r="N9" s="721"/>
      <c r="O9" s="754">
        <f>SUM(F9:F17)</f>
        <v>21110</v>
      </c>
      <c r="P9" s="336" t="s">
        <v>4367</v>
      </c>
    </row>
    <row r="10" spans="1:16" s="51" customFormat="1" ht="18.75" x14ac:dyDescent="0.2">
      <c r="A10" s="43">
        <f>ROW()-ROW(สำนักงาน!$A$6)+1</f>
        <v>5</v>
      </c>
      <c r="B10" s="52" t="s">
        <v>553</v>
      </c>
      <c r="C10" s="44" t="s">
        <v>554</v>
      </c>
      <c r="D10" s="32" t="s">
        <v>555</v>
      </c>
      <c r="E10" s="53" t="s">
        <v>556</v>
      </c>
      <c r="F10" s="54">
        <v>2500</v>
      </c>
      <c r="G10" s="285" t="s">
        <v>557</v>
      </c>
      <c r="H10" s="479" t="s">
        <v>4256</v>
      </c>
      <c r="I10" s="32"/>
      <c r="J10" s="32"/>
      <c r="K10" s="32"/>
      <c r="L10" s="32"/>
      <c r="M10" s="32"/>
      <c r="N10" s="716" t="s">
        <v>558</v>
      </c>
    </row>
    <row r="11" spans="1:16" s="51" customFormat="1" ht="18.75" x14ac:dyDescent="0.2">
      <c r="A11" s="43">
        <f>ROW()-ROW(สำนักงาน!$A$6)+1</f>
        <v>6</v>
      </c>
      <c r="B11" s="52" t="s">
        <v>553</v>
      </c>
      <c r="C11" s="44" t="s">
        <v>559</v>
      </c>
      <c r="D11" s="32" t="s">
        <v>560</v>
      </c>
      <c r="E11" s="53" t="s">
        <v>556</v>
      </c>
      <c r="F11" s="54">
        <v>2500</v>
      </c>
      <c r="G11" s="285" t="s">
        <v>557</v>
      </c>
      <c r="H11" s="479" t="s">
        <v>4256</v>
      </c>
      <c r="I11" s="32"/>
      <c r="J11" s="32"/>
      <c r="K11" s="32"/>
      <c r="L11" s="32"/>
      <c r="M11" s="32"/>
      <c r="N11" s="716" t="s">
        <v>558</v>
      </c>
    </row>
    <row r="12" spans="1:16" s="51" customFormat="1" ht="18.75" x14ac:dyDescent="0.2">
      <c r="A12" s="43">
        <f>ROW()-ROW(สำนักงาน!$A$6)+1</f>
        <v>7</v>
      </c>
      <c r="B12" s="52" t="s">
        <v>553</v>
      </c>
      <c r="C12" s="44" t="s">
        <v>561</v>
      </c>
      <c r="D12" s="32" t="s">
        <v>562</v>
      </c>
      <c r="E12" s="53" t="s">
        <v>556</v>
      </c>
      <c r="F12" s="54">
        <v>2500</v>
      </c>
      <c r="G12" s="285" t="s">
        <v>563</v>
      </c>
      <c r="H12" s="56"/>
      <c r="I12" s="479" t="s">
        <v>4256</v>
      </c>
      <c r="J12" s="32"/>
      <c r="K12" s="32"/>
      <c r="L12" s="32"/>
      <c r="M12" s="32"/>
      <c r="N12" s="716" t="s">
        <v>558</v>
      </c>
    </row>
    <row r="13" spans="1:16" s="279" customFormat="1" ht="18.75" x14ac:dyDescent="0.2">
      <c r="A13" s="43">
        <f>ROW()-ROW(สำนักงาน!$A$6)+1</f>
        <v>8</v>
      </c>
      <c r="B13" s="52" t="s">
        <v>3411</v>
      </c>
      <c r="C13" s="44" t="s">
        <v>3412</v>
      </c>
      <c r="D13" s="32" t="s">
        <v>3413</v>
      </c>
      <c r="E13" s="53" t="s">
        <v>556</v>
      </c>
      <c r="F13" s="54">
        <v>2500</v>
      </c>
      <c r="G13" s="285" t="s">
        <v>2378</v>
      </c>
      <c r="H13" s="479" t="s">
        <v>4256</v>
      </c>
      <c r="I13" s="32"/>
      <c r="J13" s="32"/>
      <c r="K13" s="32"/>
      <c r="L13" s="32"/>
      <c r="M13" s="32"/>
      <c r="N13" s="285" t="s">
        <v>3842</v>
      </c>
    </row>
    <row r="14" spans="1:16" s="279" customFormat="1" ht="18.75" x14ac:dyDescent="0.2">
      <c r="A14" s="43">
        <f>ROW()-ROW(สำนักงาน!$A$6)+1</f>
        <v>9</v>
      </c>
      <c r="B14" s="52" t="s">
        <v>3414</v>
      </c>
      <c r="C14" s="44" t="s">
        <v>3415</v>
      </c>
      <c r="D14" s="32" t="s">
        <v>3416</v>
      </c>
      <c r="E14" s="53" t="s">
        <v>556</v>
      </c>
      <c r="F14" s="54">
        <v>2500</v>
      </c>
      <c r="G14" s="285" t="s">
        <v>2378</v>
      </c>
      <c r="H14" s="479" t="s">
        <v>4256</v>
      </c>
      <c r="I14" s="32"/>
      <c r="J14" s="32"/>
      <c r="K14" s="32"/>
      <c r="L14" s="32"/>
      <c r="M14" s="32"/>
      <c r="N14" s="285" t="s">
        <v>3842</v>
      </c>
    </row>
    <row r="15" spans="1:16" s="279" customFormat="1" ht="37.5" x14ac:dyDescent="0.2">
      <c r="A15" s="43">
        <f>ROW()-ROW(สำนักงาน!$A$6)+1</f>
        <v>10</v>
      </c>
      <c r="B15" s="55" t="s">
        <v>1365</v>
      </c>
      <c r="C15" s="44" t="s">
        <v>3645</v>
      </c>
      <c r="D15" s="428" t="s">
        <v>3646</v>
      </c>
      <c r="E15" s="249" t="s">
        <v>1368</v>
      </c>
      <c r="F15" s="250">
        <v>2195</v>
      </c>
      <c r="G15" s="650" t="s">
        <v>2378</v>
      </c>
      <c r="H15" s="479" t="s">
        <v>4256</v>
      </c>
      <c r="I15" s="251"/>
      <c r="J15" s="251"/>
      <c r="K15" s="251"/>
      <c r="L15" s="251"/>
      <c r="M15" s="251"/>
      <c r="N15" s="429" t="s">
        <v>3842</v>
      </c>
    </row>
    <row r="16" spans="1:16" s="3" customFormat="1" ht="37.5" x14ac:dyDescent="0.3">
      <c r="A16" s="43">
        <f>ROW()-ROW(สำนักงาน!$A$6)+1</f>
        <v>11</v>
      </c>
      <c r="B16" s="55" t="s">
        <v>1365</v>
      </c>
      <c r="C16" s="11" t="s">
        <v>1366</v>
      </c>
      <c r="D16" s="428" t="s">
        <v>1367</v>
      </c>
      <c r="E16" s="430" t="s">
        <v>1368</v>
      </c>
      <c r="F16" s="431">
        <v>2195</v>
      </c>
      <c r="G16" s="742" t="s">
        <v>825</v>
      </c>
      <c r="H16" s="326" t="s">
        <v>4256</v>
      </c>
      <c r="I16" s="432"/>
      <c r="J16" s="432"/>
      <c r="K16" s="432"/>
      <c r="L16" s="432"/>
      <c r="M16" s="432"/>
      <c r="N16" s="424"/>
    </row>
    <row r="17" spans="1:15" s="51" customFormat="1" ht="37.5" x14ac:dyDescent="0.2">
      <c r="A17" s="43">
        <f>ROW()-ROW(สำนักงาน!$A$6)+1</f>
        <v>12</v>
      </c>
      <c r="B17" s="247" t="s">
        <v>623</v>
      </c>
      <c r="C17" s="43" t="s">
        <v>624</v>
      </c>
      <c r="D17" s="248" t="s">
        <v>625</v>
      </c>
      <c r="E17" s="249">
        <v>23741</v>
      </c>
      <c r="F17" s="250">
        <v>1720</v>
      </c>
      <c r="G17" s="650" t="s">
        <v>200</v>
      </c>
      <c r="H17" s="326" t="s">
        <v>4256</v>
      </c>
      <c r="I17" s="251"/>
      <c r="J17" s="251"/>
      <c r="K17" s="251"/>
      <c r="L17" s="251"/>
      <c r="M17" s="251"/>
      <c r="N17" s="717" t="s">
        <v>223</v>
      </c>
      <c r="O17" s="51" t="s">
        <v>558</v>
      </c>
    </row>
    <row r="18" spans="1:15" s="3" customFormat="1" ht="18.75" x14ac:dyDescent="0.3">
      <c r="A18" s="5"/>
      <c r="B18" s="295" t="s">
        <v>4354</v>
      </c>
      <c r="C18" s="11"/>
      <c r="D18" s="11"/>
      <c r="E18" s="11"/>
      <c r="F18" s="296">
        <f>SUBTOTAL(9,F6:F17)</f>
        <v>83170</v>
      </c>
      <c r="G18" s="11"/>
      <c r="H18" s="5"/>
      <c r="I18" s="5"/>
      <c r="J18" s="5"/>
      <c r="K18" s="5"/>
      <c r="L18" s="5"/>
      <c r="M18" s="5"/>
      <c r="N18" s="5"/>
    </row>
  </sheetData>
  <autoFilter ref="A4:N4" xr:uid="{00000000-0009-0000-0000-000019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N7"/>
  <sheetViews>
    <sheetView workbookViewId="0">
      <selection activeCell="A3" sqref="A3:N3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15.140625" style="42" customWidth="1"/>
    <col min="15" max="16384" width="9.140625" style="42"/>
  </cols>
  <sheetData>
    <row r="1" spans="1:14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4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4" s="10" customFormat="1" ht="18.75" x14ac:dyDescent="0.3">
      <c r="A3" s="871" t="s">
        <v>4347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4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4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4" s="3" customFormat="1" ht="18.75" x14ac:dyDescent="0.3">
      <c r="A6" s="495">
        <f>ROW()-ROW(สำนักงาน!$A$6)+1</f>
        <v>1</v>
      </c>
      <c r="B6" s="635" t="s">
        <v>1471</v>
      </c>
      <c r="C6" s="57" t="s">
        <v>4212</v>
      </c>
      <c r="D6" s="308" t="s">
        <v>1472</v>
      </c>
      <c r="E6" s="319" t="s">
        <v>1473</v>
      </c>
      <c r="F6" s="636">
        <v>3600</v>
      </c>
      <c r="G6" s="495" t="s">
        <v>825</v>
      </c>
      <c r="H6" s="326" t="s">
        <v>4256</v>
      </c>
      <c r="I6" s="532"/>
      <c r="J6" s="532"/>
      <c r="K6" s="532"/>
      <c r="L6" s="532"/>
      <c r="M6" s="532"/>
      <c r="N6" s="327"/>
    </row>
    <row r="7" spans="1:14" s="3" customFormat="1" ht="18.75" x14ac:dyDescent="0.3">
      <c r="A7" s="5"/>
      <c r="B7" s="295" t="s">
        <v>4351</v>
      </c>
      <c r="C7" s="11"/>
      <c r="D7" s="11"/>
      <c r="E7" s="11"/>
      <c r="F7" s="296">
        <f>SUBTOTAL(9,F6)</f>
        <v>3600</v>
      </c>
      <c r="G7" s="11"/>
      <c r="H7" s="5"/>
      <c r="I7" s="5"/>
      <c r="J7" s="5"/>
      <c r="K7" s="5"/>
      <c r="L7" s="5"/>
      <c r="M7" s="5"/>
      <c r="N7" s="5"/>
    </row>
  </sheetData>
  <autoFilter ref="A4:N4" xr:uid="{00000000-0009-0000-0000-00001B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O283"/>
  <sheetViews>
    <sheetView topLeftCell="A277" workbookViewId="0">
      <selection activeCell="A3" sqref="A3:N3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5.85546875" style="42" bestFit="1" customWidth="1"/>
    <col min="7" max="7" width="16.7109375" style="42" customWidth="1"/>
    <col min="8" max="13" width="3.5703125" style="42" customWidth="1"/>
    <col min="14" max="14" width="16.42578125" style="42" customWidth="1"/>
    <col min="15" max="15" width="15.28515625" style="42" bestFit="1" customWidth="1"/>
    <col min="16" max="16384" width="9.140625" style="42"/>
  </cols>
  <sheetData>
    <row r="1" spans="1:15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5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5" s="10" customFormat="1" ht="18.75" x14ac:dyDescent="0.3">
      <c r="A3" s="871" t="s">
        <v>154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5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5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5" s="66" customFormat="1" ht="21" x14ac:dyDescent="0.2">
      <c r="A6" s="58">
        <f>ROW()-ROW($A$6)+1</f>
        <v>1</v>
      </c>
      <c r="B6" s="79" t="s">
        <v>1544</v>
      </c>
      <c r="C6" s="32" t="s">
        <v>1545</v>
      </c>
      <c r="D6" s="36" t="s">
        <v>1546</v>
      </c>
      <c r="E6" s="37" t="s">
        <v>1496</v>
      </c>
      <c r="F6" s="54">
        <v>10593</v>
      </c>
      <c r="G6" s="285" t="s">
        <v>21</v>
      </c>
      <c r="H6" s="56"/>
      <c r="I6" s="36" t="s">
        <v>4256</v>
      </c>
      <c r="J6" s="32"/>
      <c r="K6" s="32"/>
      <c r="L6" s="32"/>
      <c r="M6" s="32"/>
      <c r="N6" s="283" t="s">
        <v>4227</v>
      </c>
      <c r="O6" s="749">
        <f>F6+F7+F281</f>
        <v>39186</v>
      </c>
    </row>
    <row r="7" spans="1:15" s="66" customFormat="1" ht="21" x14ac:dyDescent="0.2">
      <c r="A7" s="58">
        <f t="shared" ref="A7:A78" si="0">ROW()-ROW($A$6)+1</f>
        <v>2</v>
      </c>
      <c r="B7" s="79" t="s">
        <v>1544</v>
      </c>
      <c r="C7" s="32" t="s">
        <v>1547</v>
      </c>
      <c r="D7" s="36" t="s">
        <v>1548</v>
      </c>
      <c r="E7" s="37" t="s">
        <v>1496</v>
      </c>
      <c r="F7" s="54">
        <v>10593</v>
      </c>
      <c r="G7" s="285" t="s">
        <v>21</v>
      </c>
      <c r="H7" s="56"/>
      <c r="I7" s="36" t="s">
        <v>4256</v>
      </c>
      <c r="J7" s="32"/>
      <c r="K7" s="32"/>
      <c r="L7" s="32"/>
      <c r="M7" s="32"/>
      <c r="N7" s="283" t="s">
        <v>4228</v>
      </c>
      <c r="O7" s="282"/>
    </row>
    <row r="8" spans="1:15" s="66" customFormat="1" ht="39" customHeight="1" x14ac:dyDescent="0.2">
      <c r="A8" s="58">
        <f t="shared" si="0"/>
        <v>3</v>
      </c>
      <c r="B8" s="55" t="s">
        <v>1712</v>
      </c>
      <c r="C8" s="13" t="s">
        <v>1713</v>
      </c>
      <c r="D8" s="13" t="s">
        <v>1714</v>
      </c>
      <c r="E8" s="53" t="s">
        <v>1715</v>
      </c>
      <c r="F8" s="31">
        <v>15000</v>
      </c>
      <c r="G8" s="285" t="s">
        <v>21</v>
      </c>
      <c r="H8" s="36" t="s">
        <v>4256</v>
      </c>
      <c r="I8" s="32"/>
      <c r="J8" s="32"/>
      <c r="K8" s="32"/>
      <c r="L8" s="32"/>
      <c r="M8" s="32"/>
      <c r="N8" s="81"/>
      <c r="O8" s="748">
        <f>SUM(F8:F11)</f>
        <v>60000</v>
      </c>
    </row>
    <row r="9" spans="1:15" s="66" customFormat="1" ht="37.5" x14ac:dyDescent="0.2">
      <c r="A9" s="58">
        <f t="shared" si="0"/>
        <v>4</v>
      </c>
      <c r="B9" s="55" t="s">
        <v>1712</v>
      </c>
      <c r="C9" s="13" t="s">
        <v>1716</v>
      </c>
      <c r="D9" s="13" t="s">
        <v>1717</v>
      </c>
      <c r="E9" s="53" t="s">
        <v>1715</v>
      </c>
      <c r="F9" s="31">
        <v>15000</v>
      </c>
      <c r="G9" s="285" t="s">
        <v>21</v>
      </c>
      <c r="H9" s="36" t="s">
        <v>4256</v>
      </c>
      <c r="I9" s="32"/>
      <c r="J9" s="32"/>
      <c r="K9" s="32"/>
      <c r="L9" s="32"/>
      <c r="M9" s="32"/>
      <c r="N9" s="81"/>
    </row>
    <row r="10" spans="1:15" s="66" customFormat="1" ht="37.5" x14ac:dyDescent="0.2">
      <c r="A10" s="58">
        <f t="shared" si="0"/>
        <v>5</v>
      </c>
      <c r="B10" s="55" t="s">
        <v>1712</v>
      </c>
      <c r="C10" s="13" t="s">
        <v>1718</v>
      </c>
      <c r="D10" s="13" t="s">
        <v>1719</v>
      </c>
      <c r="E10" s="53" t="s">
        <v>1715</v>
      </c>
      <c r="F10" s="31">
        <v>15000</v>
      </c>
      <c r="G10" s="285" t="s">
        <v>21</v>
      </c>
      <c r="H10" s="36" t="s">
        <v>4256</v>
      </c>
      <c r="I10" s="32"/>
      <c r="J10" s="32"/>
      <c r="K10" s="32"/>
      <c r="L10" s="32"/>
      <c r="M10" s="32"/>
      <c r="N10" s="81"/>
    </row>
    <row r="11" spans="1:15" s="66" customFormat="1" ht="37.5" x14ac:dyDescent="0.2">
      <c r="A11" s="58">
        <f t="shared" si="0"/>
        <v>6</v>
      </c>
      <c r="B11" s="55" t="s">
        <v>1712</v>
      </c>
      <c r="C11" s="13" t="s">
        <v>1720</v>
      </c>
      <c r="D11" s="13" t="s">
        <v>1721</v>
      </c>
      <c r="E11" s="53" t="s">
        <v>1715</v>
      </c>
      <c r="F11" s="31">
        <v>15000</v>
      </c>
      <c r="G11" s="285" t="s">
        <v>21</v>
      </c>
      <c r="H11" s="36" t="s">
        <v>4256</v>
      </c>
      <c r="I11" s="32"/>
      <c r="J11" s="32"/>
      <c r="K11" s="32"/>
      <c r="L11" s="32"/>
      <c r="M11" s="32"/>
      <c r="N11" s="81"/>
    </row>
    <row r="12" spans="1:15" s="66" customFormat="1" ht="21" x14ac:dyDescent="0.2">
      <c r="A12" s="58">
        <f t="shared" si="0"/>
        <v>7</v>
      </c>
      <c r="B12" s="55" t="s">
        <v>1722</v>
      </c>
      <c r="C12" s="13" t="s">
        <v>1723</v>
      </c>
      <c r="D12" s="13" t="s">
        <v>1724</v>
      </c>
      <c r="E12" s="53" t="s">
        <v>1715</v>
      </c>
      <c r="F12" s="31">
        <v>17000</v>
      </c>
      <c r="G12" s="285" t="s">
        <v>21</v>
      </c>
      <c r="H12" s="36" t="s">
        <v>4256</v>
      </c>
      <c r="I12" s="32"/>
      <c r="J12" s="32"/>
      <c r="K12" s="32"/>
      <c r="L12" s="32"/>
      <c r="M12" s="32"/>
      <c r="N12" s="81"/>
    </row>
    <row r="13" spans="1:15" s="66" customFormat="1" ht="42" customHeight="1" x14ac:dyDescent="0.2">
      <c r="A13" s="58">
        <f t="shared" si="0"/>
        <v>8</v>
      </c>
      <c r="B13" s="55" t="s">
        <v>1725</v>
      </c>
      <c r="C13" s="13" t="s">
        <v>1726</v>
      </c>
      <c r="D13" s="13" t="s">
        <v>1727</v>
      </c>
      <c r="E13" s="53" t="s">
        <v>1715</v>
      </c>
      <c r="F13" s="31">
        <v>9500</v>
      </c>
      <c r="G13" s="285" t="s">
        <v>21</v>
      </c>
      <c r="H13" s="36" t="s">
        <v>4256</v>
      </c>
      <c r="I13" s="32"/>
      <c r="J13" s="32"/>
      <c r="K13" s="32"/>
      <c r="L13" s="32"/>
      <c r="M13" s="32"/>
      <c r="N13" s="81"/>
      <c r="O13" s="750">
        <f>F13+F14</f>
        <v>26500</v>
      </c>
    </row>
    <row r="14" spans="1:15" s="66" customFormat="1" ht="21" x14ac:dyDescent="0.2">
      <c r="A14" s="58">
        <f t="shared" si="0"/>
        <v>9</v>
      </c>
      <c r="B14" s="55" t="s">
        <v>1728</v>
      </c>
      <c r="C14" s="13" t="s">
        <v>1729</v>
      </c>
      <c r="D14" s="13" t="s">
        <v>1730</v>
      </c>
      <c r="E14" s="53" t="s">
        <v>1731</v>
      </c>
      <c r="F14" s="31">
        <v>17000</v>
      </c>
      <c r="G14" s="285" t="s">
        <v>21</v>
      </c>
      <c r="H14" s="36" t="s">
        <v>4256</v>
      </c>
      <c r="I14" s="32"/>
      <c r="J14" s="32"/>
      <c r="K14" s="32"/>
      <c r="L14" s="32"/>
      <c r="M14" s="32"/>
      <c r="N14" s="81"/>
    </row>
    <row r="15" spans="1:15" s="23" customFormat="1" ht="37.5" x14ac:dyDescent="0.35">
      <c r="A15" s="58">
        <f t="shared" si="0"/>
        <v>10</v>
      </c>
      <c r="B15" s="18" t="s">
        <v>1787</v>
      </c>
      <c r="C15" s="19" t="s">
        <v>1788</v>
      </c>
      <c r="D15" s="29" t="s">
        <v>1789</v>
      </c>
      <c r="E15" s="20" t="s">
        <v>1790</v>
      </c>
      <c r="F15" s="21">
        <v>677800</v>
      </c>
      <c r="G15" s="22" t="s">
        <v>21</v>
      </c>
      <c r="H15" s="36" t="s">
        <v>4256</v>
      </c>
      <c r="I15" s="19"/>
      <c r="J15" s="19"/>
      <c r="K15" s="19"/>
      <c r="L15" s="19"/>
      <c r="M15" s="19"/>
      <c r="N15" s="292" t="s">
        <v>4257</v>
      </c>
      <c r="O15" s="751">
        <f>SUM(F15:F30)</f>
        <v>5593400</v>
      </c>
    </row>
    <row r="16" spans="1:15" s="23" customFormat="1" ht="37.5" x14ac:dyDescent="0.35">
      <c r="A16" s="58">
        <f t="shared" si="0"/>
        <v>11</v>
      </c>
      <c r="B16" s="18" t="s">
        <v>1787</v>
      </c>
      <c r="C16" s="19" t="s">
        <v>1791</v>
      </c>
      <c r="D16" s="29" t="s">
        <v>1792</v>
      </c>
      <c r="E16" s="20" t="s">
        <v>1790</v>
      </c>
      <c r="F16" s="21">
        <v>677800</v>
      </c>
      <c r="G16" s="22" t="s">
        <v>21</v>
      </c>
      <c r="H16" s="36" t="s">
        <v>4256</v>
      </c>
      <c r="I16" s="19"/>
      <c r="J16" s="19"/>
      <c r="K16" s="19"/>
      <c r="L16" s="19"/>
      <c r="M16" s="19"/>
      <c r="N16" s="292" t="s">
        <v>4258</v>
      </c>
      <c r="O16" s="751"/>
    </row>
    <row r="17" spans="1:15" s="23" customFormat="1" ht="37.5" x14ac:dyDescent="0.35">
      <c r="A17" s="58">
        <f t="shared" si="0"/>
        <v>12</v>
      </c>
      <c r="B17" s="18" t="s">
        <v>1787</v>
      </c>
      <c r="C17" s="19" t="s">
        <v>1793</v>
      </c>
      <c r="D17" s="29" t="s">
        <v>1794</v>
      </c>
      <c r="E17" s="20" t="s">
        <v>1790</v>
      </c>
      <c r="F17" s="21">
        <v>677800</v>
      </c>
      <c r="G17" s="22" t="s">
        <v>21</v>
      </c>
      <c r="H17" s="36" t="s">
        <v>4256</v>
      </c>
      <c r="I17" s="19"/>
      <c r="J17" s="19"/>
      <c r="K17" s="19"/>
      <c r="L17" s="19"/>
      <c r="M17" s="19"/>
      <c r="N17" s="292" t="s">
        <v>4259</v>
      </c>
      <c r="O17" s="753"/>
    </row>
    <row r="18" spans="1:15" s="23" customFormat="1" ht="37.5" x14ac:dyDescent="0.35">
      <c r="A18" s="58">
        <f t="shared" si="0"/>
        <v>13</v>
      </c>
      <c r="B18" s="18" t="s">
        <v>1795</v>
      </c>
      <c r="C18" s="19" t="s">
        <v>1796</v>
      </c>
      <c r="D18" s="29" t="s">
        <v>1797</v>
      </c>
      <c r="E18" s="20" t="s">
        <v>1790</v>
      </c>
      <c r="F18" s="21">
        <v>282600</v>
      </c>
      <c r="G18" s="22" t="s">
        <v>21</v>
      </c>
      <c r="H18" s="36" t="s">
        <v>4256</v>
      </c>
      <c r="I18" s="19"/>
      <c r="J18" s="19"/>
      <c r="K18" s="19"/>
      <c r="L18" s="19"/>
      <c r="M18" s="19"/>
      <c r="N18" s="292" t="s">
        <v>4257</v>
      </c>
    </row>
    <row r="19" spans="1:15" s="23" customFormat="1" ht="37.5" x14ac:dyDescent="0.35">
      <c r="A19" s="58">
        <f t="shared" si="0"/>
        <v>14</v>
      </c>
      <c r="B19" s="18" t="s">
        <v>1795</v>
      </c>
      <c r="C19" s="19" t="s">
        <v>1798</v>
      </c>
      <c r="D19" s="29" t="s">
        <v>1799</v>
      </c>
      <c r="E19" s="20" t="s">
        <v>1790</v>
      </c>
      <c r="F19" s="21">
        <v>282600</v>
      </c>
      <c r="G19" s="22" t="s">
        <v>21</v>
      </c>
      <c r="H19" s="36" t="s">
        <v>4256</v>
      </c>
      <c r="I19" s="19"/>
      <c r="J19" s="19"/>
      <c r="K19" s="19"/>
      <c r="L19" s="19"/>
      <c r="M19" s="19"/>
      <c r="N19" s="292" t="s">
        <v>4258</v>
      </c>
    </row>
    <row r="20" spans="1:15" s="23" customFormat="1" ht="37.5" x14ac:dyDescent="0.35">
      <c r="A20" s="58">
        <f t="shared" si="0"/>
        <v>15</v>
      </c>
      <c r="B20" s="18" t="s">
        <v>1795</v>
      </c>
      <c r="C20" s="19" t="s">
        <v>1800</v>
      </c>
      <c r="D20" s="29" t="s">
        <v>1801</v>
      </c>
      <c r="E20" s="20" t="s">
        <v>1790</v>
      </c>
      <c r="F20" s="21">
        <v>282600</v>
      </c>
      <c r="G20" s="22" t="s">
        <v>21</v>
      </c>
      <c r="H20" s="36" t="s">
        <v>4256</v>
      </c>
      <c r="I20" s="19"/>
      <c r="J20" s="19"/>
      <c r="K20" s="19"/>
      <c r="L20" s="19"/>
      <c r="M20" s="19"/>
      <c r="N20" s="292" t="s">
        <v>4259</v>
      </c>
    </row>
    <row r="21" spans="1:15" s="23" customFormat="1" ht="37.5" x14ac:dyDescent="0.35">
      <c r="A21" s="58">
        <f t="shared" si="0"/>
        <v>16</v>
      </c>
      <c r="B21" s="18" t="s">
        <v>1802</v>
      </c>
      <c r="C21" s="19" t="s">
        <v>1803</v>
      </c>
      <c r="D21" s="29" t="s">
        <v>1804</v>
      </c>
      <c r="E21" s="20" t="s">
        <v>1790</v>
      </c>
      <c r="F21" s="21">
        <v>217600</v>
      </c>
      <c r="G21" s="22" t="s">
        <v>21</v>
      </c>
      <c r="H21" s="36" t="s">
        <v>4256</v>
      </c>
      <c r="I21" s="19"/>
      <c r="J21" s="19"/>
      <c r="K21" s="19"/>
      <c r="L21" s="19"/>
      <c r="M21" s="19"/>
      <c r="N21" s="292" t="s">
        <v>4257</v>
      </c>
    </row>
    <row r="22" spans="1:15" s="23" customFormat="1" ht="37.5" x14ac:dyDescent="0.35">
      <c r="A22" s="58">
        <f t="shared" si="0"/>
        <v>17</v>
      </c>
      <c r="B22" s="18" t="s">
        <v>1802</v>
      </c>
      <c r="C22" s="19" t="s">
        <v>1805</v>
      </c>
      <c r="D22" s="29" t="s">
        <v>1806</v>
      </c>
      <c r="E22" s="20" t="s">
        <v>1790</v>
      </c>
      <c r="F22" s="21">
        <v>217600</v>
      </c>
      <c r="G22" s="22" t="s">
        <v>21</v>
      </c>
      <c r="H22" s="36" t="s">
        <v>4256</v>
      </c>
      <c r="I22" s="19"/>
      <c r="J22" s="19"/>
      <c r="K22" s="19"/>
      <c r="L22" s="19"/>
      <c r="M22" s="19"/>
      <c r="N22" s="292" t="s">
        <v>4258</v>
      </c>
    </row>
    <row r="23" spans="1:15" s="23" customFormat="1" ht="37.5" x14ac:dyDescent="0.35">
      <c r="A23" s="58">
        <f t="shared" si="0"/>
        <v>18</v>
      </c>
      <c r="B23" s="18" t="s">
        <v>1802</v>
      </c>
      <c r="C23" s="19" t="s">
        <v>1807</v>
      </c>
      <c r="D23" s="29" t="s">
        <v>1808</v>
      </c>
      <c r="E23" s="20" t="s">
        <v>1790</v>
      </c>
      <c r="F23" s="21">
        <v>217600</v>
      </c>
      <c r="G23" s="22" t="s">
        <v>21</v>
      </c>
      <c r="H23" s="36" t="s">
        <v>4256</v>
      </c>
      <c r="I23" s="19"/>
      <c r="J23" s="19"/>
      <c r="K23" s="19"/>
      <c r="L23" s="19"/>
      <c r="M23" s="19"/>
      <c r="N23" s="292" t="s">
        <v>4259</v>
      </c>
    </row>
    <row r="24" spans="1:15" s="23" customFormat="1" ht="37.5" x14ac:dyDescent="0.35">
      <c r="A24" s="58">
        <f t="shared" si="0"/>
        <v>19</v>
      </c>
      <c r="B24" s="18" t="s">
        <v>1809</v>
      </c>
      <c r="C24" s="19" t="s">
        <v>1810</v>
      </c>
      <c r="D24" s="29" t="s">
        <v>1811</v>
      </c>
      <c r="E24" s="20" t="s">
        <v>1790</v>
      </c>
      <c r="F24" s="21">
        <v>552600</v>
      </c>
      <c r="G24" s="22" t="s">
        <v>21</v>
      </c>
      <c r="H24" s="36" t="s">
        <v>4256</v>
      </c>
      <c r="I24" s="19"/>
      <c r="J24" s="19"/>
      <c r="K24" s="19"/>
      <c r="L24" s="19"/>
      <c r="M24" s="19"/>
      <c r="N24" s="292" t="s">
        <v>4260</v>
      </c>
    </row>
    <row r="25" spans="1:15" s="23" customFormat="1" ht="37.5" x14ac:dyDescent="0.35">
      <c r="A25" s="58">
        <f t="shared" si="0"/>
        <v>20</v>
      </c>
      <c r="B25" s="18" t="s">
        <v>1809</v>
      </c>
      <c r="C25" s="19" t="s">
        <v>1812</v>
      </c>
      <c r="D25" s="29" t="s">
        <v>1813</v>
      </c>
      <c r="E25" s="20" t="s">
        <v>1790</v>
      </c>
      <c r="F25" s="21">
        <v>552600</v>
      </c>
      <c r="G25" s="22" t="s">
        <v>21</v>
      </c>
      <c r="H25" s="36" t="s">
        <v>4256</v>
      </c>
      <c r="I25" s="19"/>
      <c r="J25" s="19"/>
      <c r="K25" s="19"/>
      <c r="L25" s="19"/>
      <c r="M25" s="19"/>
      <c r="N25" s="292" t="s">
        <v>4261</v>
      </c>
    </row>
    <row r="26" spans="1:15" s="23" customFormat="1" ht="37.5" x14ac:dyDescent="0.35">
      <c r="A26" s="58">
        <f t="shared" si="0"/>
        <v>21</v>
      </c>
      <c r="B26" s="18" t="s">
        <v>1814</v>
      </c>
      <c r="C26" s="19" t="s">
        <v>1815</v>
      </c>
      <c r="D26" s="29" t="s">
        <v>1816</v>
      </c>
      <c r="E26" s="20" t="s">
        <v>1790</v>
      </c>
      <c r="F26" s="21">
        <v>257800</v>
      </c>
      <c r="G26" s="22" t="s">
        <v>21</v>
      </c>
      <c r="H26" s="36" t="s">
        <v>4256</v>
      </c>
      <c r="I26" s="19"/>
      <c r="J26" s="19"/>
      <c r="K26" s="19"/>
      <c r="L26" s="19"/>
      <c r="M26" s="19"/>
      <c r="N26" s="292" t="s">
        <v>4260</v>
      </c>
    </row>
    <row r="27" spans="1:15" s="23" customFormat="1" ht="37.5" x14ac:dyDescent="0.35">
      <c r="A27" s="58">
        <f t="shared" si="0"/>
        <v>22</v>
      </c>
      <c r="B27" s="18" t="s">
        <v>1814</v>
      </c>
      <c r="C27" s="19" t="s">
        <v>1817</v>
      </c>
      <c r="D27" s="29" t="s">
        <v>1818</v>
      </c>
      <c r="E27" s="20" t="s">
        <v>1790</v>
      </c>
      <c r="F27" s="21">
        <v>257800</v>
      </c>
      <c r="G27" s="22" t="s">
        <v>21</v>
      </c>
      <c r="H27" s="36" t="s">
        <v>4256</v>
      </c>
      <c r="I27" s="19"/>
      <c r="J27" s="19"/>
      <c r="K27" s="19"/>
      <c r="L27" s="19"/>
      <c r="M27" s="19"/>
      <c r="N27" s="292" t="s">
        <v>4261</v>
      </c>
    </row>
    <row r="28" spans="1:15" s="23" customFormat="1" ht="37.5" x14ac:dyDescent="0.35">
      <c r="A28" s="58">
        <f t="shared" si="0"/>
        <v>23</v>
      </c>
      <c r="B28" s="18" t="s">
        <v>1802</v>
      </c>
      <c r="C28" s="19" t="s">
        <v>1819</v>
      </c>
      <c r="D28" s="29" t="s">
        <v>1820</v>
      </c>
      <c r="E28" s="20" t="s">
        <v>1790</v>
      </c>
      <c r="F28" s="21">
        <v>217600</v>
      </c>
      <c r="G28" s="22" t="s">
        <v>21</v>
      </c>
      <c r="H28" s="36" t="s">
        <v>4256</v>
      </c>
      <c r="I28" s="19"/>
      <c r="J28" s="19"/>
      <c r="K28" s="19"/>
      <c r="L28" s="19"/>
      <c r="M28" s="19"/>
      <c r="N28" s="292" t="s">
        <v>4260</v>
      </c>
    </row>
    <row r="29" spans="1:15" s="23" customFormat="1" ht="37.5" x14ac:dyDescent="0.35">
      <c r="A29" s="58">
        <f t="shared" si="0"/>
        <v>24</v>
      </c>
      <c r="B29" s="18" t="s">
        <v>1802</v>
      </c>
      <c r="C29" s="19" t="s">
        <v>1821</v>
      </c>
      <c r="D29" s="29" t="s">
        <v>1822</v>
      </c>
      <c r="E29" s="20" t="s">
        <v>1790</v>
      </c>
      <c r="F29" s="21">
        <v>217600</v>
      </c>
      <c r="G29" s="22" t="s">
        <v>21</v>
      </c>
      <c r="H29" s="36" t="s">
        <v>4256</v>
      </c>
      <c r="I29" s="19"/>
      <c r="J29" s="19"/>
      <c r="K29" s="19"/>
      <c r="L29" s="19"/>
      <c r="M29" s="19"/>
      <c r="N29" s="292" t="s">
        <v>4261</v>
      </c>
    </row>
    <row r="30" spans="1:15" s="3" customFormat="1" ht="21" x14ac:dyDescent="0.35">
      <c r="A30" s="58">
        <f t="shared" ref="A30:A282" si="1">ROW()-ROW($A$6)+1</f>
        <v>25</v>
      </c>
      <c r="B30" s="204" t="s">
        <v>941</v>
      </c>
      <c r="C30" s="200" t="s">
        <v>942</v>
      </c>
      <c r="D30" s="200" t="s">
        <v>943</v>
      </c>
      <c r="E30" s="201" t="s">
        <v>944</v>
      </c>
      <c r="F30" s="202">
        <v>3400</v>
      </c>
      <c r="G30" s="714" t="s">
        <v>264</v>
      </c>
      <c r="H30" s="485" t="s">
        <v>4256</v>
      </c>
      <c r="I30" s="691"/>
      <c r="J30" s="692"/>
      <c r="K30" s="692"/>
      <c r="L30" s="693"/>
      <c r="M30" s="694"/>
      <c r="N30" s="695"/>
    </row>
    <row r="31" spans="1:15" s="23" customFormat="1" ht="21" x14ac:dyDescent="0.35">
      <c r="A31" s="58">
        <f t="shared" si="0"/>
        <v>26</v>
      </c>
      <c r="B31" s="24" t="s">
        <v>1823</v>
      </c>
      <c r="C31" s="19" t="s">
        <v>1824</v>
      </c>
      <c r="D31" s="28" t="s">
        <v>1825</v>
      </c>
      <c r="E31" s="25">
        <v>23797</v>
      </c>
      <c r="F31" s="26">
        <v>257289.76</v>
      </c>
      <c r="G31" s="22" t="s">
        <v>21</v>
      </c>
      <c r="H31" s="36" t="s">
        <v>4256</v>
      </c>
      <c r="I31" s="19"/>
      <c r="J31" s="19"/>
      <c r="K31" s="19"/>
      <c r="L31" s="19"/>
      <c r="M31" s="19"/>
      <c r="N31" s="292" t="s">
        <v>4259</v>
      </c>
      <c r="O31" s="752">
        <f>SUM(F31:F279)</f>
        <v>13603654.949999908</v>
      </c>
    </row>
    <row r="32" spans="1:15" s="23" customFormat="1" ht="21" x14ac:dyDescent="0.35">
      <c r="A32" s="58">
        <f t="shared" si="0"/>
        <v>27</v>
      </c>
      <c r="B32" s="24" t="s">
        <v>1826</v>
      </c>
      <c r="C32" s="19" t="s">
        <v>1827</v>
      </c>
      <c r="D32" s="28" t="s">
        <v>1828</v>
      </c>
      <c r="E32" s="25">
        <v>23797</v>
      </c>
      <c r="F32" s="26">
        <v>256789.77</v>
      </c>
      <c r="G32" s="22" t="s">
        <v>21</v>
      </c>
      <c r="H32" s="36" t="s">
        <v>4256</v>
      </c>
      <c r="I32" s="19"/>
      <c r="J32" s="19"/>
      <c r="K32" s="19"/>
      <c r="L32" s="19"/>
      <c r="M32" s="19"/>
      <c r="N32" s="292" t="s">
        <v>4259</v>
      </c>
    </row>
    <row r="33" spans="1:14" s="23" customFormat="1" ht="21" x14ac:dyDescent="0.35">
      <c r="A33" s="58">
        <f t="shared" si="0"/>
        <v>28</v>
      </c>
      <c r="B33" s="24" t="s">
        <v>1829</v>
      </c>
      <c r="C33" s="19" t="s">
        <v>1830</v>
      </c>
      <c r="D33" s="28" t="s">
        <v>1831</v>
      </c>
      <c r="E33" s="25">
        <v>23797</v>
      </c>
      <c r="F33" s="26">
        <v>278289.77</v>
      </c>
      <c r="G33" s="22" t="s">
        <v>21</v>
      </c>
      <c r="H33" s="36" t="s">
        <v>4256</v>
      </c>
      <c r="I33" s="19"/>
      <c r="J33" s="19"/>
      <c r="K33" s="19"/>
      <c r="L33" s="19"/>
      <c r="M33" s="19"/>
      <c r="N33" s="292" t="s">
        <v>4259</v>
      </c>
    </row>
    <row r="34" spans="1:14" s="23" customFormat="1" ht="21" x14ac:dyDescent="0.35">
      <c r="A34" s="58">
        <f t="shared" si="0"/>
        <v>29</v>
      </c>
      <c r="B34" s="24" t="s">
        <v>1832</v>
      </c>
      <c r="C34" s="19" t="s">
        <v>1833</v>
      </c>
      <c r="D34" s="28" t="s">
        <v>1834</v>
      </c>
      <c r="E34" s="25">
        <v>23797</v>
      </c>
      <c r="F34" s="26">
        <v>264289.77</v>
      </c>
      <c r="G34" s="22" t="s">
        <v>21</v>
      </c>
      <c r="H34" s="36" t="s">
        <v>4256</v>
      </c>
      <c r="I34" s="19"/>
      <c r="J34" s="19"/>
      <c r="K34" s="19"/>
      <c r="L34" s="19"/>
      <c r="M34" s="19"/>
      <c r="N34" s="292" t="s">
        <v>4259</v>
      </c>
    </row>
    <row r="35" spans="1:14" s="23" customFormat="1" ht="21" x14ac:dyDescent="0.35">
      <c r="A35" s="58">
        <f t="shared" si="0"/>
        <v>30</v>
      </c>
      <c r="B35" s="24" t="s">
        <v>1835</v>
      </c>
      <c r="C35" s="19" t="s">
        <v>1836</v>
      </c>
      <c r="D35" s="28" t="s">
        <v>1837</v>
      </c>
      <c r="E35" s="25">
        <v>23797</v>
      </c>
      <c r="F35" s="26">
        <v>264289.77</v>
      </c>
      <c r="G35" s="22" t="s">
        <v>21</v>
      </c>
      <c r="H35" s="36" t="s">
        <v>4256</v>
      </c>
      <c r="I35" s="19"/>
      <c r="J35" s="19"/>
      <c r="K35" s="19"/>
      <c r="L35" s="19"/>
      <c r="M35" s="19"/>
      <c r="N35" s="292" t="s">
        <v>4259</v>
      </c>
    </row>
    <row r="36" spans="1:14" s="23" customFormat="1" ht="21" x14ac:dyDescent="0.35">
      <c r="A36" s="58">
        <f t="shared" si="0"/>
        <v>31</v>
      </c>
      <c r="B36" s="24" t="s">
        <v>1838</v>
      </c>
      <c r="C36" s="19" t="s">
        <v>1839</v>
      </c>
      <c r="D36" s="28" t="s">
        <v>1840</v>
      </c>
      <c r="E36" s="25">
        <v>23797</v>
      </c>
      <c r="F36" s="26">
        <v>259289.77</v>
      </c>
      <c r="G36" s="22" t="s">
        <v>21</v>
      </c>
      <c r="H36" s="36" t="s">
        <v>4256</v>
      </c>
      <c r="I36" s="19"/>
      <c r="J36" s="19"/>
      <c r="K36" s="19"/>
      <c r="L36" s="19"/>
      <c r="M36" s="19"/>
      <c r="N36" s="292" t="s">
        <v>4259</v>
      </c>
    </row>
    <row r="37" spans="1:14" s="23" customFormat="1" ht="21" x14ac:dyDescent="0.35">
      <c r="A37" s="58">
        <f t="shared" si="0"/>
        <v>32</v>
      </c>
      <c r="B37" s="24" t="s">
        <v>1841</v>
      </c>
      <c r="C37" s="19" t="s">
        <v>1842</v>
      </c>
      <c r="D37" s="28" t="s">
        <v>1843</v>
      </c>
      <c r="E37" s="25">
        <v>23797</v>
      </c>
      <c r="F37" s="26">
        <v>249789.77</v>
      </c>
      <c r="G37" s="22" t="s">
        <v>21</v>
      </c>
      <c r="H37" s="36" t="s">
        <v>4256</v>
      </c>
      <c r="I37" s="19"/>
      <c r="J37" s="19"/>
      <c r="K37" s="19"/>
      <c r="L37" s="19"/>
      <c r="M37" s="19"/>
      <c r="N37" s="292" t="s">
        <v>4259</v>
      </c>
    </row>
    <row r="38" spans="1:14" s="23" customFormat="1" ht="21" x14ac:dyDescent="0.35">
      <c r="A38" s="58">
        <f t="shared" si="0"/>
        <v>33</v>
      </c>
      <c r="B38" s="24" t="s">
        <v>1844</v>
      </c>
      <c r="C38" s="19" t="s">
        <v>1845</v>
      </c>
      <c r="D38" s="28" t="s">
        <v>1846</v>
      </c>
      <c r="E38" s="25">
        <v>23797</v>
      </c>
      <c r="F38" s="26">
        <v>239789.77</v>
      </c>
      <c r="G38" s="22" t="s">
        <v>21</v>
      </c>
      <c r="H38" s="36" t="s">
        <v>4256</v>
      </c>
      <c r="I38" s="19"/>
      <c r="J38" s="19"/>
      <c r="K38" s="19"/>
      <c r="L38" s="19"/>
      <c r="M38" s="19"/>
      <c r="N38" s="292" t="s">
        <v>4259</v>
      </c>
    </row>
    <row r="39" spans="1:14" s="23" customFormat="1" ht="21" x14ac:dyDescent="0.35">
      <c r="A39" s="58">
        <f t="shared" si="0"/>
        <v>34</v>
      </c>
      <c r="B39" s="24" t="s">
        <v>1823</v>
      </c>
      <c r="C39" s="19" t="s">
        <v>1847</v>
      </c>
      <c r="D39" s="28" t="s">
        <v>1848</v>
      </c>
      <c r="E39" s="25">
        <v>23797</v>
      </c>
      <c r="F39" s="26">
        <v>257289.76</v>
      </c>
      <c r="G39" s="22" t="s">
        <v>21</v>
      </c>
      <c r="H39" s="36" t="s">
        <v>4256</v>
      </c>
      <c r="I39" s="19"/>
      <c r="J39" s="19"/>
      <c r="K39" s="19"/>
      <c r="L39" s="19"/>
      <c r="M39" s="19"/>
      <c r="N39" s="292" t="s">
        <v>4257</v>
      </c>
    </row>
    <row r="40" spans="1:14" s="23" customFormat="1" ht="21" x14ac:dyDescent="0.35">
      <c r="A40" s="58">
        <f t="shared" si="0"/>
        <v>35</v>
      </c>
      <c r="B40" s="24" t="s">
        <v>1826</v>
      </c>
      <c r="C40" s="19" t="s">
        <v>1849</v>
      </c>
      <c r="D40" s="28" t="s">
        <v>1850</v>
      </c>
      <c r="E40" s="25">
        <v>23797</v>
      </c>
      <c r="F40" s="26">
        <v>256789.77</v>
      </c>
      <c r="G40" s="22" t="s">
        <v>21</v>
      </c>
      <c r="H40" s="36" t="s">
        <v>4256</v>
      </c>
      <c r="I40" s="19"/>
      <c r="J40" s="19"/>
      <c r="K40" s="19"/>
      <c r="L40" s="19"/>
      <c r="M40" s="19"/>
      <c r="N40" s="292" t="s">
        <v>4257</v>
      </c>
    </row>
    <row r="41" spans="1:14" s="23" customFormat="1" ht="21" x14ac:dyDescent="0.35">
      <c r="A41" s="58">
        <f t="shared" si="0"/>
        <v>36</v>
      </c>
      <c r="B41" s="24" t="s">
        <v>1829</v>
      </c>
      <c r="C41" s="19" t="s">
        <v>1851</v>
      </c>
      <c r="D41" s="28" t="s">
        <v>1852</v>
      </c>
      <c r="E41" s="25">
        <v>23797</v>
      </c>
      <c r="F41" s="26">
        <v>278289.77</v>
      </c>
      <c r="G41" s="22" t="s">
        <v>21</v>
      </c>
      <c r="H41" s="36" t="s">
        <v>4256</v>
      </c>
      <c r="I41" s="19"/>
      <c r="J41" s="19"/>
      <c r="K41" s="19"/>
      <c r="L41" s="19"/>
      <c r="M41" s="19"/>
      <c r="N41" s="292" t="s">
        <v>4257</v>
      </c>
    </row>
    <row r="42" spans="1:14" s="23" customFormat="1" ht="21" x14ac:dyDescent="0.35">
      <c r="A42" s="58">
        <f t="shared" si="0"/>
        <v>37</v>
      </c>
      <c r="B42" s="24" t="s">
        <v>1832</v>
      </c>
      <c r="C42" s="19" t="s">
        <v>1853</v>
      </c>
      <c r="D42" s="28" t="s">
        <v>1854</v>
      </c>
      <c r="E42" s="25">
        <v>23797</v>
      </c>
      <c r="F42" s="26">
        <v>264289.77</v>
      </c>
      <c r="G42" s="22" t="s">
        <v>21</v>
      </c>
      <c r="H42" s="36" t="s">
        <v>4256</v>
      </c>
      <c r="I42" s="19"/>
      <c r="J42" s="19"/>
      <c r="K42" s="19"/>
      <c r="L42" s="19"/>
      <c r="M42" s="19"/>
      <c r="N42" s="292" t="s">
        <v>4257</v>
      </c>
    </row>
    <row r="43" spans="1:14" s="23" customFormat="1" ht="21" x14ac:dyDescent="0.35">
      <c r="A43" s="58">
        <f t="shared" si="0"/>
        <v>38</v>
      </c>
      <c r="B43" s="24" t="s">
        <v>1835</v>
      </c>
      <c r="C43" s="19" t="s">
        <v>1855</v>
      </c>
      <c r="D43" s="28" t="s">
        <v>1856</v>
      </c>
      <c r="E43" s="25">
        <v>23797</v>
      </c>
      <c r="F43" s="26">
        <v>264289.77</v>
      </c>
      <c r="G43" s="22" t="s">
        <v>21</v>
      </c>
      <c r="H43" s="36" t="s">
        <v>4256</v>
      </c>
      <c r="I43" s="19"/>
      <c r="J43" s="19"/>
      <c r="K43" s="19"/>
      <c r="L43" s="19"/>
      <c r="M43" s="19"/>
      <c r="N43" s="292" t="s">
        <v>4257</v>
      </c>
    </row>
    <row r="44" spans="1:14" s="23" customFormat="1" ht="21" x14ac:dyDescent="0.35">
      <c r="A44" s="58">
        <f t="shared" si="0"/>
        <v>39</v>
      </c>
      <c r="B44" s="24" t="s">
        <v>1838</v>
      </c>
      <c r="C44" s="19" t="s">
        <v>1857</v>
      </c>
      <c r="D44" s="28" t="s">
        <v>1858</v>
      </c>
      <c r="E44" s="25">
        <v>23797</v>
      </c>
      <c r="F44" s="26">
        <v>259289.77</v>
      </c>
      <c r="G44" s="22" t="s">
        <v>21</v>
      </c>
      <c r="H44" s="36" t="s">
        <v>4256</v>
      </c>
      <c r="I44" s="19"/>
      <c r="J44" s="19"/>
      <c r="K44" s="19"/>
      <c r="L44" s="19"/>
      <c r="M44" s="19"/>
      <c r="N44" s="292" t="s">
        <v>4257</v>
      </c>
    </row>
    <row r="45" spans="1:14" s="23" customFormat="1" ht="21" x14ac:dyDescent="0.35">
      <c r="A45" s="58">
        <f t="shared" si="0"/>
        <v>40</v>
      </c>
      <c r="B45" s="24" t="s">
        <v>1841</v>
      </c>
      <c r="C45" s="19" t="s">
        <v>1859</v>
      </c>
      <c r="D45" s="28" t="s">
        <v>1860</v>
      </c>
      <c r="E45" s="25">
        <v>23797</v>
      </c>
      <c r="F45" s="26">
        <v>249789.77</v>
      </c>
      <c r="G45" s="22" t="s">
        <v>21</v>
      </c>
      <c r="H45" s="36" t="s">
        <v>4256</v>
      </c>
      <c r="I45" s="19"/>
      <c r="J45" s="19"/>
      <c r="K45" s="19"/>
      <c r="L45" s="19"/>
      <c r="M45" s="19"/>
      <c r="N45" s="292" t="s">
        <v>4257</v>
      </c>
    </row>
    <row r="46" spans="1:14" s="23" customFormat="1" ht="21" x14ac:dyDescent="0.35">
      <c r="A46" s="58">
        <f t="shared" si="0"/>
        <v>41</v>
      </c>
      <c r="B46" s="24" t="s">
        <v>1844</v>
      </c>
      <c r="C46" s="19" t="s">
        <v>1861</v>
      </c>
      <c r="D46" s="28" t="s">
        <v>1862</v>
      </c>
      <c r="E46" s="25">
        <v>23797</v>
      </c>
      <c r="F46" s="26">
        <v>239789.77</v>
      </c>
      <c r="G46" s="22" t="s">
        <v>21</v>
      </c>
      <c r="H46" s="36" t="s">
        <v>4256</v>
      </c>
      <c r="I46" s="19"/>
      <c r="J46" s="19"/>
      <c r="K46" s="19"/>
      <c r="L46" s="19"/>
      <c r="M46" s="19"/>
      <c r="N46" s="292" t="s">
        <v>4257</v>
      </c>
    </row>
    <row r="47" spans="1:14" s="23" customFormat="1" ht="21" x14ac:dyDescent="0.35">
      <c r="A47" s="58">
        <f t="shared" si="0"/>
        <v>42</v>
      </c>
      <c r="B47" s="24" t="s">
        <v>1823</v>
      </c>
      <c r="C47" s="19" t="s">
        <v>1863</v>
      </c>
      <c r="D47" s="28" t="s">
        <v>1864</v>
      </c>
      <c r="E47" s="25">
        <v>23797</v>
      </c>
      <c r="F47" s="26">
        <v>257289.76</v>
      </c>
      <c r="G47" s="22" t="s">
        <v>21</v>
      </c>
      <c r="H47" s="36" t="s">
        <v>4256</v>
      </c>
      <c r="I47" s="19"/>
      <c r="J47" s="19"/>
      <c r="K47" s="19"/>
      <c r="L47" s="19"/>
      <c r="M47" s="19"/>
      <c r="N47" s="292" t="s">
        <v>4262</v>
      </c>
    </row>
    <row r="48" spans="1:14" s="23" customFormat="1" ht="21" x14ac:dyDescent="0.35">
      <c r="A48" s="58">
        <f t="shared" si="0"/>
        <v>43</v>
      </c>
      <c r="B48" s="24" t="s">
        <v>1826</v>
      </c>
      <c r="C48" s="19" t="s">
        <v>1865</v>
      </c>
      <c r="D48" s="28" t="s">
        <v>1866</v>
      </c>
      <c r="E48" s="25">
        <v>23797</v>
      </c>
      <c r="F48" s="26">
        <v>256789.77</v>
      </c>
      <c r="G48" s="22" t="s">
        <v>21</v>
      </c>
      <c r="H48" s="36" t="s">
        <v>4256</v>
      </c>
      <c r="I48" s="19"/>
      <c r="J48" s="19"/>
      <c r="K48" s="19"/>
      <c r="L48" s="19"/>
      <c r="M48" s="19"/>
      <c r="N48" s="292" t="s">
        <v>4262</v>
      </c>
    </row>
    <row r="49" spans="1:14" s="23" customFormat="1" ht="21" x14ac:dyDescent="0.35">
      <c r="A49" s="58">
        <f t="shared" si="0"/>
        <v>44</v>
      </c>
      <c r="B49" s="24" t="s">
        <v>1829</v>
      </c>
      <c r="C49" s="19" t="s">
        <v>1867</v>
      </c>
      <c r="D49" s="28" t="s">
        <v>1868</v>
      </c>
      <c r="E49" s="25">
        <v>23797</v>
      </c>
      <c r="F49" s="26">
        <v>278289.77</v>
      </c>
      <c r="G49" s="22" t="s">
        <v>21</v>
      </c>
      <c r="H49" s="36" t="s">
        <v>4256</v>
      </c>
      <c r="I49" s="19"/>
      <c r="J49" s="19"/>
      <c r="K49" s="19"/>
      <c r="L49" s="19"/>
      <c r="M49" s="19"/>
      <c r="N49" s="292" t="s">
        <v>4262</v>
      </c>
    </row>
    <row r="50" spans="1:14" s="23" customFormat="1" ht="21" x14ac:dyDescent="0.35">
      <c r="A50" s="58">
        <f t="shared" si="0"/>
        <v>45</v>
      </c>
      <c r="B50" s="24" t="s">
        <v>1832</v>
      </c>
      <c r="C50" s="19" t="s">
        <v>1869</v>
      </c>
      <c r="D50" s="28" t="s">
        <v>1870</v>
      </c>
      <c r="E50" s="25">
        <v>23797</v>
      </c>
      <c r="F50" s="26">
        <v>264289.77</v>
      </c>
      <c r="G50" s="22" t="s">
        <v>21</v>
      </c>
      <c r="H50" s="36" t="s">
        <v>4256</v>
      </c>
      <c r="I50" s="19"/>
      <c r="J50" s="19"/>
      <c r="K50" s="19"/>
      <c r="L50" s="19"/>
      <c r="M50" s="19"/>
      <c r="N50" s="292" t="s">
        <v>4262</v>
      </c>
    </row>
    <row r="51" spans="1:14" s="23" customFormat="1" ht="21" x14ac:dyDescent="0.35">
      <c r="A51" s="58">
        <f t="shared" si="0"/>
        <v>46</v>
      </c>
      <c r="B51" s="24" t="s">
        <v>1835</v>
      </c>
      <c r="C51" s="19" t="s">
        <v>1871</v>
      </c>
      <c r="D51" s="28" t="s">
        <v>1872</v>
      </c>
      <c r="E51" s="25">
        <v>23797</v>
      </c>
      <c r="F51" s="26">
        <v>264289.77</v>
      </c>
      <c r="G51" s="22" t="s">
        <v>21</v>
      </c>
      <c r="H51" s="36" t="s">
        <v>4256</v>
      </c>
      <c r="I51" s="19"/>
      <c r="J51" s="19"/>
      <c r="K51" s="19"/>
      <c r="L51" s="19"/>
      <c r="M51" s="19"/>
      <c r="N51" s="292" t="s">
        <v>4262</v>
      </c>
    </row>
    <row r="52" spans="1:14" s="23" customFormat="1" ht="21" x14ac:dyDescent="0.35">
      <c r="A52" s="58">
        <f t="shared" si="0"/>
        <v>47</v>
      </c>
      <c r="B52" s="24" t="s">
        <v>1838</v>
      </c>
      <c r="C52" s="19" t="s">
        <v>1873</v>
      </c>
      <c r="D52" s="28" t="s">
        <v>1874</v>
      </c>
      <c r="E52" s="25">
        <v>23797</v>
      </c>
      <c r="F52" s="26">
        <v>259289.77</v>
      </c>
      <c r="G52" s="22" t="s">
        <v>21</v>
      </c>
      <c r="H52" s="36" t="s">
        <v>4256</v>
      </c>
      <c r="I52" s="19"/>
      <c r="J52" s="19"/>
      <c r="K52" s="19"/>
      <c r="L52" s="19"/>
      <c r="M52" s="19"/>
      <c r="N52" s="292" t="s">
        <v>4262</v>
      </c>
    </row>
    <row r="53" spans="1:14" s="23" customFormat="1" ht="21" x14ac:dyDescent="0.35">
      <c r="A53" s="58">
        <f t="shared" si="0"/>
        <v>48</v>
      </c>
      <c r="B53" s="24" t="s">
        <v>1841</v>
      </c>
      <c r="C53" s="19" t="s">
        <v>1875</v>
      </c>
      <c r="D53" s="28" t="s">
        <v>1876</v>
      </c>
      <c r="E53" s="25">
        <v>23797</v>
      </c>
      <c r="F53" s="26">
        <v>249789.77</v>
      </c>
      <c r="G53" s="22" t="s">
        <v>21</v>
      </c>
      <c r="H53" s="36" t="s">
        <v>4256</v>
      </c>
      <c r="I53" s="19"/>
      <c r="J53" s="19"/>
      <c r="K53" s="19"/>
      <c r="L53" s="19"/>
      <c r="M53" s="19"/>
      <c r="N53" s="292" t="s">
        <v>4262</v>
      </c>
    </row>
    <row r="54" spans="1:14" s="23" customFormat="1" ht="21" x14ac:dyDescent="0.35">
      <c r="A54" s="58">
        <f t="shared" si="0"/>
        <v>49</v>
      </c>
      <c r="B54" s="24" t="s">
        <v>1844</v>
      </c>
      <c r="C54" s="19" t="s">
        <v>1877</v>
      </c>
      <c r="D54" s="28" t="s">
        <v>1878</v>
      </c>
      <c r="E54" s="25">
        <v>23797</v>
      </c>
      <c r="F54" s="26">
        <v>239789.77</v>
      </c>
      <c r="G54" s="22" t="s">
        <v>21</v>
      </c>
      <c r="H54" s="36" t="s">
        <v>4256</v>
      </c>
      <c r="I54" s="19"/>
      <c r="J54" s="19"/>
      <c r="K54" s="19"/>
      <c r="L54" s="19"/>
      <c r="M54" s="19"/>
      <c r="N54" s="292" t="s">
        <v>4262</v>
      </c>
    </row>
    <row r="55" spans="1:14" s="23" customFormat="1" ht="21" x14ac:dyDescent="0.35">
      <c r="A55" s="58">
        <f t="shared" si="0"/>
        <v>50</v>
      </c>
      <c r="B55" s="24" t="s">
        <v>1879</v>
      </c>
      <c r="C55" s="19" t="s">
        <v>1880</v>
      </c>
      <c r="D55" s="28" t="s">
        <v>1881</v>
      </c>
      <c r="E55" s="25">
        <v>23797</v>
      </c>
      <c r="F55" s="26">
        <v>32589.78</v>
      </c>
      <c r="G55" s="22" t="s">
        <v>21</v>
      </c>
      <c r="H55" s="36" t="s">
        <v>4256</v>
      </c>
      <c r="I55" s="19"/>
      <c r="J55" s="19"/>
      <c r="K55" s="19"/>
      <c r="L55" s="19"/>
      <c r="M55" s="19"/>
      <c r="N55" s="292" t="s">
        <v>4263</v>
      </c>
    </row>
    <row r="56" spans="1:14" s="23" customFormat="1" ht="21" x14ac:dyDescent="0.35">
      <c r="A56" s="58">
        <f t="shared" si="0"/>
        <v>51</v>
      </c>
      <c r="B56" s="24" t="s">
        <v>1882</v>
      </c>
      <c r="C56" s="19" t="s">
        <v>1883</v>
      </c>
      <c r="D56" s="28" t="s">
        <v>1884</v>
      </c>
      <c r="E56" s="25">
        <v>23797</v>
      </c>
      <c r="F56" s="26">
        <v>32589.78</v>
      </c>
      <c r="G56" s="22" t="s">
        <v>21</v>
      </c>
      <c r="H56" s="36" t="s">
        <v>4256</v>
      </c>
      <c r="I56" s="19"/>
      <c r="J56" s="19"/>
      <c r="K56" s="19"/>
      <c r="L56" s="19"/>
      <c r="M56" s="19"/>
      <c r="N56" s="292" t="s">
        <v>4264</v>
      </c>
    </row>
    <row r="57" spans="1:14" s="23" customFormat="1" ht="21" x14ac:dyDescent="0.35">
      <c r="A57" s="58">
        <f t="shared" si="0"/>
        <v>52</v>
      </c>
      <c r="B57" s="24" t="s">
        <v>1885</v>
      </c>
      <c r="C57" s="19" t="s">
        <v>1886</v>
      </c>
      <c r="D57" s="28" t="s">
        <v>1887</v>
      </c>
      <c r="E57" s="25">
        <v>23797</v>
      </c>
      <c r="F57" s="26">
        <v>33189.78</v>
      </c>
      <c r="G57" s="22" t="s">
        <v>21</v>
      </c>
      <c r="H57" s="36" t="s">
        <v>4256</v>
      </c>
      <c r="I57" s="19"/>
      <c r="J57" s="19"/>
      <c r="K57" s="19"/>
      <c r="L57" s="19"/>
      <c r="M57" s="19"/>
      <c r="N57" s="292" t="s">
        <v>4263</v>
      </c>
    </row>
    <row r="58" spans="1:14" s="23" customFormat="1" ht="21" x14ac:dyDescent="0.35">
      <c r="A58" s="58">
        <f t="shared" si="0"/>
        <v>53</v>
      </c>
      <c r="B58" s="24" t="s">
        <v>1888</v>
      </c>
      <c r="C58" s="19" t="s">
        <v>1889</v>
      </c>
      <c r="D58" s="28" t="s">
        <v>1890</v>
      </c>
      <c r="E58" s="25">
        <v>23797</v>
      </c>
      <c r="F58" s="26">
        <v>32489.78</v>
      </c>
      <c r="G58" s="22" t="s">
        <v>21</v>
      </c>
      <c r="H58" s="36" t="s">
        <v>4256</v>
      </c>
      <c r="I58" s="19"/>
      <c r="J58" s="19"/>
      <c r="K58" s="19"/>
      <c r="L58" s="19"/>
      <c r="M58" s="19"/>
      <c r="N58" s="292" t="s">
        <v>4264</v>
      </c>
    </row>
    <row r="59" spans="1:14" s="23" customFormat="1" ht="21" x14ac:dyDescent="0.35">
      <c r="A59" s="58">
        <f t="shared" si="0"/>
        <v>54</v>
      </c>
      <c r="B59" s="24" t="s">
        <v>1891</v>
      </c>
      <c r="C59" s="19" t="s">
        <v>1892</v>
      </c>
      <c r="D59" s="28" t="s">
        <v>1893</v>
      </c>
      <c r="E59" s="25">
        <v>23797</v>
      </c>
      <c r="F59" s="26">
        <v>33189.78</v>
      </c>
      <c r="G59" s="22" t="s">
        <v>21</v>
      </c>
      <c r="H59" s="36" t="s">
        <v>4256</v>
      </c>
      <c r="I59" s="19"/>
      <c r="J59" s="19"/>
      <c r="K59" s="19"/>
      <c r="L59" s="19"/>
      <c r="M59" s="19"/>
      <c r="N59" s="292" t="s">
        <v>4263</v>
      </c>
    </row>
    <row r="60" spans="1:14" s="23" customFormat="1" ht="21" x14ac:dyDescent="0.35">
      <c r="A60" s="58">
        <f t="shared" si="0"/>
        <v>55</v>
      </c>
      <c r="B60" s="24" t="s">
        <v>1894</v>
      </c>
      <c r="C60" s="19" t="s">
        <v>1895</v>
      </c>
      <c r="D60" s="28" t="s">
        <v>1896</v>
      </c>
      <c r="E60" s="25">
        <v>23797</v>
      </c>
      <c r="F60" s="26">
        <v>32589.78</v>
      </c>
      <c r="G60" s="22" t="s">
        <v>21</v>
      </c>
      <c r="H60" s="36" t="s">
        <v>4256</v>
      </c>
      <c r="I60" s="19"/>
      <c r="J60" s="19"/>
      <c r="K60" s="19"/>
      <c r="L60" s="19"/>
      <c r="M60" s="19"/>
      <c r="N60" s="292" t="s">
        <v>4264</v>
      </c>
    </row>
    <row r="61" spans="1:14" s="23" customFormat="1" ht="21" x14ac:dyDescent="0.35">
      <c r="A61" s="58">
        <f t="shared" si="0"/>
        <v>56</v>
      </c>
      <c r="B61" s="24" t="s">
        <v>1897</v>
      </c>
      <c r="C61" s="19" t="s">
        <v>1898</v>
      </c>
      <c r="D61" s="28" t="s">
        <v>1899</v>
      </c>
      <c r="E61" s="25">
        <v>23797</v>
      </c>
      <c r="F61" s="26">
        <v>33589.78</v>
      </c>
      <c r="G61" s="22" t="s">
        <v>21</v>
      </c>
      <c r="H61" s="36" t="s">
        <v>4256</v>
      </c>
      <c r="I61" s="19"/>
      <c r="J61" s="19"/>
      <c r="K61" s="19"/>
      <c r="L61" s="19"/>
      <c r="M61" s="19"/>
      <c r="N61" s="292" t="s">
        <v>4263</v>
      </c>
    </row>
    <row r="62" spans="1:14" s="23" customFormat="1" ht="21" x14ac:dyDescent="0.35">
      <c r="A62" s="58">
        <f t="shared" si="0"/>
        <v>57</v>
      </c>
      <c r="B62" s="24" t="s">
        <v>1900</v>
      </c>
      <c r="C62" s="19" t="s">
        <v>1901</v>
      </c>
      <c r="D62" s="28" t="s">
        <v>1902</v>
      </c>
      <c r="E62" s="25">
        <v>23797</v>
      </c>
      <c r="F62" s="26">
        <v>31789.78</v>
      </c>
      <c r="G62" s="22" t="s">
        <v>21</v>
      </c>
      <c r="H62" s="36" t="s">
        <v>4256</v>
      </c>
      <c r="I62" s="19"/>
      <c r="J62" s="19"/>
      <c r="K62" s="19"/>
      <c r="L62" s="19"/>
      <c r="M62" s="19"/>
      <c r="N62" s="292" t="s">
        <v>4264</v>
      </c>
    </row>
    <row r="63" spans="1:14" s="23" customFormat="1" ht="21" x14ac:dyDescent="0.35">
      <c r="A63" s="58">
        <f t="shared" si="0"/>
        <v>58</v>
      </c>
      <c r="B63" s="24" t="s">
        <v>1903</v>
      </c>
      <c r="C63" s="19" t="s">
        <v>1904</v>
      </c>
      <c r="D63" s="28" t="s">
        <v>1905</v>
      </c>
      <c r="E63" s="25">
        <v>23797</v>
      </c>
      <c r="F63" s="26">
        <v>29789.78</v>
      </c>
      <c r="G63" s="22" t="s">
        <v>21</v>
      </c>
      <c r="H63" s="36" t="s">
        <v>4256</v>
      </c>
      <c r="I63" s="19"/>
      <c r="J63" s="19"/>
      <c r="K63" s="19"/>
      <c r="L63" s="19"/>
      <c r="M63" s="19"/>
      <c r="N63" s="292" t="s">
        <v>4264</v>
      </c>
    </row>
    <row r="64" spans="1:14" s="23" customFormat="1" ht="21" x14ac:dyDescent="0.35">
      <c r="A64" s="58">
        <f t="shared" si="0"/>
        <v>59</v>
      </c>
      <c r="B64" s="24" t="s">
        <v>1906</v>
      </c>
      <c r="C64" s="19" t="s">
        <v>1907</v>
      </c>
      <c r="D64" s="28" t="s">
        <v>1908</v>
      </c>
      <c r="E64" s="25">
        <v>23797</v>
      </c>
      <c r="F64" s="26">
        <v>32289.78</v>
      </c>
      <c r="G64" s="22" t="s">
        <v>21</v>
      </c>
      <c r="H64" s="36" t="s">
        <v>4256</v>
      </c>
      <c r="I64" s="19"/>
      <c r="J64" s="19"/>
      <c r="K64" s="19"/>
      <c r="L64" s="19"/>
      <c r="M64" s="19"/>
      <c r="N64" s="292" t="s">
        <v>4263</v>
      </c>
    </row>
    <row r="65" spans="1:14" s="23" customFormat="1" ht="21" x14ac:dyDescent="0.35">
      <c r="A65" s="58">
        <f t="shared" si="0"/>
        <v>60</v>
      </c>
      <c r="B65" s="24" t="s">
        <v>1909</v>
      </c>
      <c r="C65" s="19" t="s">
        <v>1910</v>
      </c>
      <c r="D65" s="28" t="s">
        <v>1911</v>
      </c>
      <c r="E65" s="25">
        <v>23797</v>
      </c>
      <c r="F65" s="26">
        <v>33789.78</v>
      </c>
      <c r="G65" s="22" t="s">
        <v>21</v>
      </c>
      <c r="H65" s="36" t="s">
        <v>4256</v>
      </c>
      <c r="I65" s="19"/>
      <c r="J65" s="19"/>
      <c r="K65" s="19"/>
      <c r="L65" s="19"/>
      <c r="M65" s="19"/>
      <c r="N65" s="292" t="s">
        <v>4263</v>
      </c>
    </row>
    <row r="66" spans="1:14" s="23" customFormat="1" ht="21" x14ac:dyDescent="0.35">
      <c r="A66" s="58">
        <f t="shared" si="0"/>
        <v>61</v>
      </c>
      <c r="B66" s="24" t="s">
        <v>1912</v>
      </c>
      <c r="C66" s="19" t="s">
        <v>1913</v>
      </c>
      <c r="D66" s="28" t="s">
        <v>1914</v>
      </c>
      <c r="E66" s="25">
        <v>23797</v>
      </c>
      <c r="F66" s="26">
        <v>34289.78</v>
      </c>
      <c r="G66" s="22" t="s">
        <v>21</v>
      </c>
      <c r="H66" s="36" t="s">
        <v>4256</v>
      </c>
      <c r="I66" s="19"/>
      <c r="J66" s="19"/>
      <c r="K66" s="19"/>
      <c r="L66" s="19"/>
      <c r="M66" s="19"/>
      <c r="N66" s="292" t="s">
        <v>4264</v>
      </c>
    </row>
    <row r="67" spans="1:14" s="23" customFormat="1" ht="21" x14ac:dyDescent="0.35">
      <c r="A67" s="58">
        <f t="shared" si="0"/>
        <v>62</v>
      </c>
      <c r="B67" s="24" t="s">
        <v>1915</v>
      </c>
      <c r="C67" s="19" t="s">
        <v>1916</v>
      </c>
      <c r="D67" s="28" t="s">
        <v>1917</v>
      </c>
      <c r="E67" s="25">
        <v>23797</v>
      </c>
      <c r="F67" s="26">
        <v>33789.78</v>
      </c>
      <c r="G67" s="22" t="s">
        <v>21</v>
      </c>
      <c r="H67" s="36" t="s">
        <v>4256</v>
      </c>
      <c r="I67" s="19"/>
      <c r="J67" s="19"/>
      <c r="K67" s="19"/>
      <c r="L67" s="19"/>
      <c r="M67" s="19"/>
      <c r="N67" s="292" t="s">
        <v>4263</v>
      </c>
    </row>
    <row r="68" spans="1:14" s="23" customFormat="1" ht="21" x14ac:dyDescent="0.35">
      <c r="A68" s="58">
        <f t="shared" si="0"/>
        <v>63</v>
      </c>
      <c r="B68" s="24" t="s">
        <v>1918</v>
      </c>
      <c r="C68" s="19" t="s">
        <v>1919</v>
      </c>
      <c r="D68" s="28" t="s">
        <v>1920</v>
      </c>
      <c r="E68" s="25">
        <v>23797</v>
      </c>
      <c r="F68" s="26">
        <v>32789.78</v>
      </c>
      <c r="G68" s="22" t="s">
        <v>21</v>
      </c>
      <c r="H68" s="36" t="s">
        <v>4256</v>
      </c>
      <c r="I68" s="19"/>
      <c r="J68" s="19"/>
      <c r="K68" s="19"/>
      <c r="L68" s="19"/>
      <c r="M68" s="19"/>
      <c r="N68" s="292" t="s">
        <v>4264</v>
      </c>
    </row>
    <row r="69" spans="1:14" s="23" customFormat="1" ht="21" x14ac:dyDescent="0.35">
      <c r="A69" s="58">
        <f t="shared" si="0"/>
        <v>64</v>
      </c>
      <c r="B69" s="24" t="s">
        <v>1921</v>
      </c>
      <c r="C69" s="19" t="s">
        <v>1922</v>
      </c>
      <c r="D69" s="28" t="s">
        <v>1923</v>
      </c>
      <c r="E69" s="25">
        <v>23797</v>
      </c>
      <c r="F69" s="26">
        <v>34189.78</v>
      </c>
      <c r="G69" s="22" t="s">
        <v>21</v>
      </c>
      <c r="H69" s="36" t="s">
        <v>4256</v>
      </c>
      <c r="I69" s="19"/>
      <c r="J69" s="19"/>
      <c r="K69" s="19"/>
      <c r="L69" s="19"/>
      <c r="M69" s="19"/>
      <c r="N69" s="292" t="s">
        <v>4264</v>
      </c>
    </row>
    <row r="70" spans="1:14" s="23" customFormat="1" ht="21" x14ac:dyDescent="0.35">
      <c r="A70" s="58">
        <f t="shared" si="0"/>
        <v>65</v>
      </c>
      <c r="B70" s="24" t="s">
        <v>1879</v>
      </c>
      <c r="C70" s="19" t="s">
        <v>1924</v>
      </c>
      <c r="D70" s="28" t="s">
        <v>1925</v>
      </c>
      <c r="E70" s="25">
        <v>23797</v>
      </c>
      <c r="F70" s="26">
        <v>32589.78</v>
      </c>
      <c r="G70" s="22" t="s">
        <v>21</v>
      </c>
      <c r="H70" s="36" t="s">
        <v>4256</v>
      </c>
      <c r="I70" s="19"/>
      <c r="J70" s="19"/>
      <c r="K70" s="19"/>
      <c r="L70" s="19"/>
      <c r="M70" s="19"/>
      <c r="N70" s="715" t="s">
        <v>4265</v>
      </c>
    </row>
    <row r="71" spans="1:14" s="23" customFormat="1" ht="21" x14ac:dyDescent="0.35">
      <c r="A71" s="58">
        <f t="shared" si="0"/>
        <v>66</v>
      </c>
      <c r="B71" s="24" t="s">
        <v>1882</v>
      </c>
      <c r="C71" s="19" t="s">
        <v>1926</v>
      </c>
      <c r="D71" s="28" t="s">
        <v>1927</v>
      </c>
      <c r="E71" s="25">
        <v>23797</v>
      </c>
      <c r="F71" s="26">
        <v>32589.78</v>
      </c>
      <c r="G71" s="22" t="s">
        <v>21</v>
      </c>
      <c r="H71" s="36" t="s">
        <v>4256</v>
      </c>
      <c r="I71" s="19"/>
      <c r="J71" s="19"/>
      <c r="K71" s="19"/>
      <c r="L71" s="19"/>
      <c r="M71" s="19"/>
      <c r="N71" s="292" t="s">
        <v>4266</v>
      </c>
    </row>
    <row r="72" spans="1:14" s="23" customFormat="1" ht="21" x14ac:dyDescent="0.35">
      <c r="A72" s="58">
        <f t="shared" si="0"/>
        <v>67</v>
      </c>
      <c r="B72" s="24" t="s">
        <v>1885</v>
      </c>
      <c r="C72" s="19" t="s">
        <v>1928</v>
      </c>
      <c r="D72" s="28" t="s">
        <v>1929</v>
      </c>
      <c r="E72" s="25">
        <v>23797</v>
      </c>
      <c r="F72" s="26">
        <v>33189.78</v>
      </c>
      <c r="G72" s="22" t="s">
        <v>21</v>
      </c>
      <c r="H72" s="36" t="s">
        <v>4256</v>
      </c>
      <c r="I72" s="19"/>
      <c r="J72" s="19"/>
      <c r="K72" s="19"/>
      <c r="L72" s="19"/>
      <c r="M72" s="19"/>
      <c r="N72" s="715" t="s">
        <v>4265</v>
      </c>
    </row>
    <row r="73" spans="1:14" s="23" customFormat="1" ht="21" x14ac:dyDescent="0.35">
      <c r="A73" s="58">
        <f t="shared" si="0"/>
        <v>68</v>
      </c>
      <c r="B73" s="24" t="s">
        <v>1888</v>
      </c>
      <c r="C73" s="19" t="s">
        <v>1930</v>
      </c>
      <c r="D73" s="28" t="s">
        <v>1931</v>
      </c>
      <c r="E73" s="25">
        <v>23797</v>
      </c>
      <c r="F73" s="26">
        <v>32489.78</v>
      </c>
      <c r="G73" s="22" t="s">
        <v>21</v>
      </c>
      <c r="H73" s="36" t="s">
        <v>4256</v>
      </c>
      <c r="I73" s="19"/>
      <c r="J73" s="19"/>
      <c r="K73" s="19"/>
      <c r="L73" s="19"/>
      <c r="M73" s="19"/>
      <c r="N73" s="292" t="s">
        <v>4266</v>
      </c>
    </row>
    <row r="74" spans="1:14" s="23" customFormat="1" ht="21" x14ac:dyDescent="0.35">
      <c r="A74" s="58">
        <f t="shared" si="0"/>
        <v>69</v>
      </c>
      <c r="B74" s="24" t="s">
        <v>1891</v>
      </c>
      <c r="C74" s="19" t="s">
        <v>1932</v>
      </c>
      <c r="D74" s="28" t="s">
        <v>1933</v>
      </c>
      <c r="E74" s="25">
        <v>23797</v>
      </c>
      <c r="F74" s="26">
        <v>33189.78</v>
      </c>
      <c r="G74" s="22" t="s">
        <v>21</v>
      </c>
      <c r="H74" s="36" t="s">
        <v>4256</v>
      </c>
      <c r="I74" s="19"/>
      <c r="J74" s="19"/>
      <c r="K74" s="19"/>
      <c r="L74" s="19"/>
      <c r="M74" s="19"/>
      <c r="N74" s="715" t="s">
        <v>4265</v>
      </c>
    </row>
    <row r="75" spans="1:14" s="23" customFormat="1" ht="21" x14ac:dyDescent="0.35">
      <c r="A75" s="58">
        <f t="shared" si="0"/>
        <v>70</v>
      </c>
      <c r="B75" s="24" t="s">
        <v>1894</v>
      </c>
      <c r="C75" s="19" t="s">
        <v>1934</v>
      </c>
      <c r="D75" s="28" t="s">
        <v>1935</v>
      </c>
      <c r="E75" s="25">
        <v>23797</v>
      </c>
      <c r="F75" s="26">
        <v>32589.78</v>
      </c>
      <c r="G75" s="22" t="s">
        <v>21</v>
      </c>
      <c r="H75" s="36" t="s">
        <v>4256</v>
      </c>
      <c r="I75" s="19"/>
      <c r="J75" s="19"/>
      <c r="K75" s="19"/>
      <c r="L75" s="19"/>
      <c r="M75" s="19"/>
      <c r="N75" s="292" t="s">
        <v>4267</v>
      </c>
    </row>
    <row r="76" spans="1:14" s="23" customFormat="1" ht="21" x14ac:dyDescent="0.35">
      <c r="A76" s="58">
        <f t="shared" si="0"/>
        <v>71</v>
      </c>
      <c r="B76" s="24" t="s">
        <v>1897</v>
      </c>
      <c r="C76" s="19" t="s">
        <v>1936</v>
      </c>
      <c r="D76" s="28" t="s">
        <v>1937</v>
      </c>
      <c r="E76" s="25">
        <v>23797</v>
      </c>
      <c r="F76" s="26">
        <v>33589.78</v>
      </c>
      <c r="G76" s="22" t="s">
        <v>21</v>
      </c>
      <c r="H76" s="36" t="s">
        <v>4256</v>
      </c>
      <c r="I76" s="19"/>
      <c r="J76" s="19"/>
      <c r="K76" s="19"/>
      <c r="L76" s="19"/>
      <c r="M76" s="19"/>
      <c r="N76" s="715" t="s">
        <v>4265</v>
      </c>
    </row>
    <row r="77" spans="1:14" s="23" customFormat="1" ht="21" x14ac:dyDescent="0.35">
      <c r="A77" s="58">
        <f t="shared" si="0"/>
        <v>72</v>
      </c>
      <c r="B77" s="24" t="s">
        <v>1900</v>
      </c>
      <c r="C77" s="19" t="s">
        <v>1938</v>
      </c>
      <c r="D77" s="28" t="s">
        <v>1939</v>
      </c>
      <c r="E77" s="25">
        <v>23797</v>
      </c>
      <c r="F77" s="26">
        <v>31789.78</v>
      </c>
      <c r="G77" s="22" t="s">
        <v>21</v>
      </c>
      <c r="H77" s="36" t="s">
        <v>4256</v>
      </c>
      <c r="I77" s="19"/>
      <c r="J77" s="19"/>
      <c r="K77" s="19"/>
      <c r="L77" s="19"/>
      <c r="M77" s="19"/>
      <c r="N77" s="292" t="s">
        <v>4267</v>
      </c>
    </row>
    <row r="78" spans="1:14" s="23" customFormat="1" ht="21" x14ac:dyDescent="0.35">
      <c r="A78" s="58">
        <f t="shared" si="0"/>
        <v>73</v>
      </c>
      <c r="B78" s="24" t="s">
        <v>1903</v>
      </c>
      <c r="C78" s="19" t="s">
        <v>1940</v>
      </c>
      <c r="D78" s="28" t="s">
        <v>1941</v>
      </c>
      <c r="E78" s="25">
        <v>23797</v>
      </c>
      <c r="F78" s="26">
        <v>29789.78</v>
      </c>
      <c r="G78" s="22" t="s">
        <v>21</v>
      </c>
      <c r="H78" s="36" t="s">
        <v>4256</v>
      </c>
      <c r="I78" s="19"/>
      <c r="J78" s="19"/>
      <c r="K78" s="19"/>
      <c r="L78" s="19"/>
      <c r="M78" s="19"/>
      <c r="N78" s="292" t="s">
        <v>4268</v>
      </c>
    </row>
    <row r="79" spans="1:14" s="23" customFormat="1" ht="21" x14ac:dyDescent="0.35">
      <c r="A79" s="58">
        <f t="shared" ref="A79:A142" si="2">ROW()-ROW($A$6)+1</f>
        <v>74</v>
      </c>
      <c r="B79" s="24" t="s">
        <v>1906</v>
      </c>
      <c r="C79" s="19" t="s">
        <v>1942</v>
      </c>
      <c r="D79" s="28" t="s">
        <v>1943</v>
      </c>
      <c r="E79" s="25">
        <v>23797</v>
      </c>
      <c r="F79" s="26">
        <v>32289.78</v>
      </c>
      <c r="G79" s="22" t="s">
        <v>21</v>
      </c>
      <c r="H79" s="36" t="s">
        <v>4256</v>
      </c>
      <c r="I79" s="19"/>
      <c r="J79" s="19"/>
      <c r="K79" s="19"/>
      <c r="L79" s="19"/>
      <c r="M79" s="19"/>
      <c r="N79" s="715" t="s">
        <v>4265</v>
      </c>
    </row>
    <row r="80" spans="1:14" s="23" customFormat="1" ht="21" x14ac:dyDescent="0.35">
      <c r="A80" s="58">
        <f t="shared" si="2"/>
        <v>75</v>
      </c>
      <c r="B80" s="24" t="s">
        <v>1909</v>
      </c>
      <c r="C80" s="19" t="s">
        <v>1944</v>
      </c>
      <c r="D80" s="28" t="s">
        <v>1945</v>
      </c>
      <c r="E80" s="25">
        <v>23797</v>
      </c>
      <c r="F80" s="26">
        <v>33789.78</v>
      </c>
      <c r="G80" s="22" t="s">
        <v>21</v>
      </c>
      <c r="H80" s="36" t="s">
        <v>4256</v>
      </c>
      <c r="I80" s="19"/>
      <c r="J80" s="19"/>
      <c r="K80" s="19"/>
      <c r="L80" s="19"/>
      <c r="M80" s="19"/>
      <c r="N80" s="715" t="s">
        <v>4265</v>
      </c>
    </row>
    <row r="81" spans="1:14" s="23" customFormat="1" ht="21" x14ac:dyDescent="0.35">
      <c r="A81" s="58">
        <f t="shared" si="2"/>
        <v>76</v>
      </c>
      <c r="B81" s="24" t="s">
        <v>1912</v>
      </c>
      <c r="C81" s="19" t="s">
        <v>1946</v>
      </c>
      <c r="D81" s="28" t="s">
        <v>1947</v>
      </c>
      <c r="E81" s="25">
        <v>23797</v>
      </c>
      <c r="F81" s="26">
        <v>34289.78</v>
      </c>
      <c r="G81" s="22" t="s">
        <v>21</v>
      </c>
      <c r="H81" s="36" t="s">
        <v>4256</v>
      </c>
      <c r="I81" s="19"/>
      <c r="J81" s="19"/>
      <c r="K81" s="19"/>
      <c r="L81" s="19"/>
      <c r="M81" s="19"/>
      <c r="N81" s="292" t="s">
        <v>4267</v>
      </c>
    </row>
    <row r="82" spans="1:14" s="23" customFormat="1" ht="21" x14ac:dyDescent="0.35">
      <c r="A82" s="58">
        <f t="shared" si="2"/>
        <v>77</v>
      </c>
      <c r="B82" s="24" t="s">
        <v>1915</v>
      </c>
      <c r="C82" s="19" t="s">
        <v>1948</v>
      </c>
      <c r="D82" s="28" t="s">
        <v>1949</v>
      </c>
      <c r="E82" s="25">
        <v>23797</v>
      </c>
      <c r="F82" s="26">
        <v>33789.78</v>
      </c>
      <c r="G82" s="22" t="s">
        <v>21</v>
      </c>
      <c r="H82" s="36" t="s">
        <v>4256</v>
      </c>
      <c r="I82" s="19"/>
      <c r="J82" s="19"/>
      <c r="K82" s="19"/>
      <c r="L82" s="19"/>
      <c r="M82" s="19"/>
      <c r="N82" s="715" t="s">
        <v>4265</v>
      </c>
    </row>
    <row r="83" spans="1:14" s="23" customFormat="1" ht="21" x14ac:dyDescent="0.35">
      <c r="A83" s="58">
        <f t="shared" si="2"/>
        <v>78</v>
      </c>
      <c r="B83" s="24" t="s">
        <v>1918</v>
      </c>
      <c r="C83" s="19" t="s">
        <v>1950</v>
      </c>
      <c r="D83" s="28" t="s">
        <v>1951</v>
      </c>
      <c r="E83" s="25">
        <v>23797</v>
      </c>
      <c r="F83" s="26">
        <v>32789.78</v>
      </c>
      <c r="G83" s="22" t="s">
        <v>21</v>
      </c>
      <c r="H83" s="36" t="s">
        <v>4256</v>
      </c>
      <c r="I83" s="19"/>
      <c r="J83" s="19"/>
      <c r="K83" s="19"/>
      <c r="L83" s="19"/>
      <c r="M83" s="19"/>
      <c r="N83" s="292" t="s">
        <v>4267</v>
      </c>
    </row>
    <row r="84" spans="1:14" s="23" customFormat="1" ht="21" x14ac:dyDescent="0.35">
      <c r="A84" s="58">
        <f t="shared" si="2"/>
        <v>79</v>
      </c>
      <c r="B84" s="24" t="s">
        <v>1921</v>
      </c>
      <c r="C84" s="19" t="s">
        <v>1952</v>
      </c>
      <c r="D84" s="28" t="s">
        <v>1953</v>
      </c>
      <c r="E84" s="25">
        <v>23797</v>
      </c>
      <c r="F84" s="26">
        <v>34189.78</v>
      </c>
      <c r="G84" s="22" t="s">
        <v>21</v>
      </c>
      <c r="H84" s="36" t="s">
        <v>4256</v>
      </c>
      <c r="I84" s="19"/>
      <c r="J84" s="19"/>
      <c r="K84" s="19"/>
      <c r="L84" s="19"/>
      <c r="M84" s="19"/>
      <c r="N84" s="292" t="s">
        <v>4268</v>
      </c>
    </row>
    <row r="85" spans="1:14" s="23" customFormat="1" ht="21" x14ac:dyDescent="0.35">
      <c r="A85" s="58">
        <f t="shared" si="2"/>
        <v>80</v>
      </c>
      <c r="B85" s="24" t="s">
        <v>1879</v>
      </c>
      <c r="C85" s="19" t="s">
        <v>1954</v>
      </c>
      <c r="D85" s="28" t="s">
        <v>1955</v>
      </c>
      <c r="E85" s="25">
        <v>23797</v>
      </c>
      <c r="F85" s="26">
        <v>32589.78</v>
      </c>
      <c r="G85" s="22" t="s">
        <v>21</v>
      </c>
      <c r="H85" s="36" t="s">
        <v>4256</v>
      </c>
      <c r="I85" s="19"/>
      <c r="J85" s="19"/>
      <c r="K85" s="19"/>
      <c r="L85" s="19"/>
      <c r="M85" s="19"/>
      <c r="N85" s="292" t="s">
        <v>4266</v>
      </c>
    </row>
    <row r="86" spans="1:14" s="23" customFormat="1" ht="21" x14ac:dyDescent="0.35">
      <c r="A86" s="58">
        <f t="shared" si="2"/>
        <v>81</v>
      </c>
      <c r="B86" s="24" t="s">
        <v>1882</v>
      </c>
      <c r="C86" s="19" t="s">
        <v>1956</v>
      </c>
      <c r="D86" s="28" t="s">
        <v>1957</v>
      </c>
      <c r="E86" s="25">
        <v>23797</v>
      </c>
      <c r="F86" s="26">
        <v>32589.78</v>
      </c>
      <c r="G86" s="22" t="s">
        <v>21</v>
      </c>
      <c r="H86" s="36" t="s">
        <v>4256</v>
      </c>
      <c r="I86" s="19"/>
      <c r="J86" s="19"/>
      <c r="K86" s="19"/>
      <c r="L86" s="19"/>
      <c r="M86" s="19"/>
      <c r="N86" s="292" t="s">
        <v>4268</v>
      </c>
    </row>
    <row r="87" spans="1:14" s="23" customFormat="1" ht="21" x14ac:dyDescent="0.35">
      <c r="A87" s="58">
        <f t="shared" si="2"/>
        <v>82</v>
      </c>
      <c r="B87" s="24" t="s">
        <v>1885</v>
      </c>
      <c r="C87" s="19" t="s">
        <v>1958</v>
      </c>
      <c r="D87" s="28" t="s">
        <v>1959</v>
      </c>
      <c r="E87" s="25">
        <v>23797</v>
      </c>
      <c r="F87" s="26">
        <v>33189.78</v>
      </c>
      <c r="G87" s="22" t="s">
        <v>21</v>
      </c>
      <c r="H87" s="36" t="s">
        <v>4256</v>
      </c>
      <c r="I87" s="19"/>
      <c r="J87" s="19"/>
      <c r="K87" s="19"/>
      <c r="L87" s="19"/>
      <c r="M87" s="19"/>
      <c r="N87" s="292" t="s">
        <v>4269</v>
      </c>
    </row>
    <row r="88" spans="1:14" s="23" customFormat="1" ht="21" x14ac:dyDescent="0.35">
      <c r="A88" s="58">
        <f t="shared" si="2"/>
        <v>83</v>
      </c>
      <c r="B88" s="24" t="s">
        <v>1888</v>
      </c>
      <c r="C88" s="19" t="s">
        <v>1960</v>
      </c>
      <c r="D88" s="28" t="s">
        <v>1961</v>
      </c>
      <c r="E88" s="25">
        <v>23797</v>
      </c>
      <c r="F88" s="26">
        <v>32489.78</v>
      </c>
      <c r="G88" s="22" t="s">
        <v>21</v>
      </c>
      <c r="H88" s="36" t="s">
        <v>4256</v>
      </c>
      <c r="I88" s="19"/>
      <c r="J88" s="19"/>
      <c r="K88" s="19"/>
      <c r="L88" s="19"/>
      <c r="M88" s="19"/>
      <c r="N88" s="292" t="s">
        <v>4268</v>
      </c>
    </row>
    <row r="89" spans="1:14" s="23" customFormat="1" ht="21" x14ac:dyDescent="0.35">
      <c r="A89" s="58">
        <f t="shared" si="2"/>
        <v>84</v>
      </c>
      <c r="B89" s="24" t="s">
        <v>1891</v>
      </c>
      <c r="C89" s="19" t="s">
        <v>1962</v>
      </c>
      <c r="D89" s="28" t="s">
        <v>1963</v>
      </c>
      <c r="E89" s="25">
        <v>23797</v>
      </c>
      <c r="F89" s="26">
        <v>33189.78</v>
      </c>
      <c r="G89" s="22" t="s">
        <v>21</v>
      </c>
      <c r="H89" s="36" t="s">
        <v>4256</v>
      </c>
      <c r="I89" s="19"/>
      <c r="J89" s="19"/>
      <c r="K89" s="19"/>
      <c r="L89" s="19"/>
      <c r="M89" s="19"/>
      <c r="N89" s="292" t="s">
        <v>4266</v>
      </c>
    </row>
    <row r="90" spans="1:14" s="23" customFormat="1" ht="21" x14ac:dyDescent="0.35">
      <c r="A90" s="58">
        <f t="shared" si="2"/>
        <v>85</v>
      </c>
      <c r="B90" s="24" t="s">
        <v>1894</v>
      </c>
      <c r="C90" s="19" t="s">
        <v>1964</v>
      </c>
      <c r="D90" s="28" t="s">
        <v>1965</v>
      </c>
      <c r="E90" s="25">
        <v>23797</v>
      </c>
      <c r="F90" s="26">
        <v>32589.78</v>
      </c>
      <c r="G90" s="22" t="s">
        <v>21</v>
      </c>
      <c r="H90" s="36" t="s">
        <v>4256</v>
      </c>
      <c r="I90" s="19"/>
      <c r="J90" s="19"/>
      <c r="K90" s="19"/>
      <c r="L90" s="19"/>
      <c r="M90" s="19"/>
      <c r="N90" s="292" t="s">
        <v>4268</v>
      </c>
    </row>
    <row r="91" spans="1:14" s="23" customFormat="1" ht="21" x14ac:dyDescent="0.35">
      <c r="A91" s="58">
        <f t="shared" si="2"/>
        <v>86</v>
      </c>
      <c r="B91" s="24" t="s">
        <v>1897</v>
      </c>
      <c r="C91" s="19" t="s">
        <v>1966</v>
      </c>
      <c r="D91" s="28" t="s">
        <v>1967</v>
      </c>
      <c r="E91" s="25">
        <v>23797</v>
      </c>
      <c r="F91" s="26">
        <v>33589.78</v>
      </c>
      <c r="G91" s="22" t="s">
        <v>21</v>
      </c>
      <c r="H91" s="36" t="s">
        <v>4256</v>
      </c>
      <c r="I91" s="19"/>
      <c r="J91" s="19"/>
      <c r="K91" s="19"/>
      <c r="L91" s="19"/>
      <c r="M91" s="19"/>
      <c r="N91" s="292" t="s">
        <v>4266</v>
      </c>
    </row>
    <row r="92" spans="1:14" s="23" customFormat="1" ht="21" x14ac:dyDescent="0.35">
      <c r="A92" s="58">
        <f t="shared" si="2"/>
        <v>87</v>
      </c>
      <c r="B92" s="24" t="s">
        <v>1900</v>
      </c>
      <c r="C92" s="19" t="s">
        <v>1968</v>
      </c>
      <c r="D92" s="28" t="s">
        <v>1969</v>
      </c>
      <c r="E92" s="25">
        <v>23797</v>
      </c>
      <c r="F92" s="26">
        <v>31789.78</v>
      </c>
      <c r="G92" s="22" t="s">
        <v>21</v>
      </c>
      <c r="H92" s="36" t="s">
        <v>4256</v>
      </c>
      <c r="I92" s="19"/>
      <c r="J92" s="19"/>
      <c r="K92" s="19"/>
      <c r="L92" s="19"/>
      <c r="M92" s="19"/>
      <c r="N92" s="292" t="s">
        <v>4268</v>
      </c>
    </row>
    <row r="93" spans="1:14" s="23" customFormat="1" ht="21" x14ac:dyDescent="0.35">
      <c r="A93" s="58">
        <f t="shared" si="2"/>
        <v>88</v>
      </c>
      <c r="B93" s="24" t="s">
        <v>1903</v>
      </c>
      <c r="C93" s="19" t="s">
        <v>1970</v>
      </c>
      <c r="D93" s="28" t="s">
        <v>1971</v>
      </c>
      <c r="E93" s="25">
        <v>23797</v>
      </c>
      <c r="F93" s="26">
        <v>29789.78</v>
      </c>
      <c r="G93" s="22" t="s">
        <v>21</v>
      </c>
      <c r="H93" s="36" t="s">
        <v>4256</v>
      </c>
      <c r="I93" s="19"/>
      <c r="J93" s="19"/>
      <c r="K93" s="19"/>
      <c r="L93" s="19"/>
      <c r="M93" s="19"/>
      <c r="N93" s="715" t="s">
        <v>4270</v>
      </c>
    </row>
    <row r="94" spans="1:14" s="23" customFormat="1" ht="21" x14ac:dyDescent="0.35">
      <c r="A94" s="58">
        <f t="shared" si="2"/>
        <v>89</v>
      </c>
      <c r="B94" s="24" t="s">
        <v>1906</v>
      </c>
      <c r="C94" s="19" t="s">
        <v>1972</v>
      </c>
      <c r="D94" s="28" t="s">
        <v>1973</v>
      </c>
      <c r="E94" s="25">
        <v>23797</v>
      </c>
      <c r="F94" s="26">
        <v>32289.78</v>
      </c>
      <c r="G94" s="22" t="s">
        <v>21</v>
      </c>
      <c r="H94" s="36" t="s">
        <v>4256</v>
      </c>
      <c r="I94" s="19"/>
      <c r="J94" s="19"/>
      <c r="K94" s="19"/>
      <c r="L94" s="19"/>
      <c r="M94" s="19"/>
      <c r="N94" s="292" t="s">
        <v>4266</v>
      </c>
    </row>
    <row r="95" spans="1:14" s="23" customFormat="1" ht="21" x14ac:dyDescent="0.35">
      <c r="A95" s="58">
        <f t="shared" si="2"/>
        <v>90</v>
      </c>
      <c r="B95" s="24" t="s">
        <v>1909</v>
      </c>
      <c r="C95" s="19" t="s">
        <v>1974</v>
      </c>
      <c r="D95" s="28" t="s">
        <v>1975</v>
      </c>
      <c r="E95" s="25">
        <v>23797</v>
      </c>
      <c r="F95" s="26">
        <v>33789.78</v>
      </c>
      <c r="G95" s="22" t="s">
        <v>21</v>
      </c>
      <c r="H95" s="36" t="s">
        <v>4256</v>
      </c>
      <c r="I95" s="19"/>
      <c r="J95" s="19"/>
      <c r="K95" s="19"/>
      <c r="L95" s="19"/>
      <c r="M95" s="19"/>
      <c r="N95" s="292" t="s">
        <v>4266</v>
      </c>
    </row>
    <row r="96" spans="1:14" s="23" customFormat="1" ht="21" x14ac:dyDescent="0.35">
      <c r="A96" s="58">
        <f t="shared" si="2"/>
        <v>91</v>
      </c>
      <c r="B96" s="24" t="s">
        <v>1912</v>
      </c>
      <c r="C96" s="19" t="s">
        <v>1976</v>
      </c>
      <c r="D96" s="28" t="s">
        <v>1977</v>
      </c>
      <c r="E96" s="25">
        <v>23797</v>
      </c>
      <c r="F96" s="26">
        <v>34289.78</v>
      </c>
      <c r="G96" s="22" t="s">
        <v>21</v>
      </c>
      <c r="H96" s="36" t="s">
        <v>4256</v>
      </c>
      <c r="I96" s="19"/>
      <c r="J96" s="19"/>
      <c r="K96" s="19"/>
      <c r="L96" s="19"/>
      <c r="M96" s="19"/>
      <c r="N96" s="292" t="s">
        <v>4268</v>
      </c>
    </row>
    <row r="97" spans="1:14" s="23" customFormat="1" ht="21" x14ac:dyDescent="0.35">
      <c r="A97" s="58">
        <f t="shared" si="2"/>
        <v>92</v>
      </c>
      <c r="B97" s="24" t="s">
        <v>1915</v>
      </c>
      <c r="C97" s="19" t="s">
        <v>1978</v>
      </c>
      <c r="D97" s="28" t="s">
        <v>1979</v>
      </c>
      <c r="E97" s="25">
        <v>23797</v>
      </c>
      <c r="F97" s="26">
        <v>33789.78</v>
      </c>
      <c r="G97" s="22" t="s">
        <v>21</v>
      </c>
      <c r="H97" s="36" t="s">
        <v>4256</v>
      </c>
      <c r="I97" s="19"/>
      <c r="J97" s="19"/>
      <c r="K97" s="19"/>
      <c r="L97" s="19"/>
      <c r="M97" s="19"/>
      <c r="N97" s="292" t="s">
        <v>4266</v>
      </c>
    </row>
    <row r="98" spans="1:14" s="23" customFormat="1" ht="21" x14ac:dyDescent="0.35">
      <c r="A98" s="58">
        <f t="shared" si="2"/>
        <v>93</v>
      </c>
      <c r="B98" s="24" t="s">
        <v>1918</v>
      </c>
      <c r="C98" s="19" t="s">
        <v>1980</v>
      </c>
      <c r="D98" s="28" t="s">
        <v>1981</v>
      </c>
      <c r="E98" s="25">
        <v>23797</v>
      </c>
      <c r="F98" s="26">
        <v>32789.78</v>
      </c>
      <c r="G98" s="22" t="s">
        <v>21</v>
      </c>
      <c r="H98" s="36" t="s">
        <v>4256</v>
      </c>
      <c r="I98" s="19"/>
      <c r="J98" s="19"/>
      <c r="K98" s="19"/>
      <c r="L98" s="19"/>
      <c r="M98" s="19"/>
      <c r="N98" s="292" t="s">
        <v>4268</v>
      </c>
    </row>
    <row r="99" spans="1:14" s="23" customFormat="1" ht="21" x14ac:dyDescent="0.35">
      <c r="A99" s="58">
        <f t="shared" si="2"/>
        <v>94</v>
      </c>
      <c r="B99" s="24" t="s">
        <v>1921</v>
      </c>
      <c r="C99" s="19" t="s">
        <v>1982</v>
      </c>
      <c r="D99" s="28" t="s">
        <v>1983</v>
      </c>
      <c r="E99" s="25">
        <v>23797</v>
      </c>
      <c r="F99" s="26">
        <v>34189.78</v>
      </c>
      <c r="G99" s="22" t="s">
        <v>21</v>
      </c>
      <c r="H99" s="36" t="s">
        <v>4256</v>
      </c>
      <c r="I99" s="19"/>
      <c r="J99" s="19"/>
      <c r="K99" s="19"/>
      <c r="L99" s="19"/>
      <c r="M99" s="19"/>
      <c r="N99" s="292" t="s">
        <v>4271</v>
      </c>
    </row>
    <row r="100" spans="1:14" s="23" customFormat="1" ht="21" x14ac:dyDescent="0.35">
      <c r="A100" s="58">
        <f t="shared" si="2"/>
        <v>95</v>
      </c>
      <c r="B100" s="24" t="s">
        <v>1879</v>
      </c>
      <c r="C100" s="19" t="s">
        <v>1984</v>
      </c>
      <c r="D100" s="28" t="s">
        <v>1985</v>
      </c>
      <c r="E100" s="25">
        <v>23797</v>
      </c>
      <c r="F100" s="26">
        <v>32589.78</v>
      </c>
      <c r="G100" s="22" t="s">
        <v>21</v>
      </c>
      <c r="H100" s="36" t="s">
        <v>4256</v>
      </c>
      <c r="I100" s="19"/>
      <c r="J100" s="19"/>
      <c r="K100" s="19"/>
      <c r="L100" s="19"/>
      <c r="M100" s="19"/>
      <c r="N100" s="292" t="s">
        <v>4272</v>
      </c>
    </row>
    <row r="101" spans="1:14" s="23" customFormat="1" ht="21" x14ac:dyDescent="0.35">
      <c r="A101" s="58">
        <f t="shared" si="2"/>
        <v>96</v>
      </c>
      <c r="B101" s="24" t="s">
        <v>1882</v>
      </c>
      <c r="C101" s="19" t="s">
        <v>1986</v>
      </c>
      <c r="D101" s="28" t="s">
        <v>1987</v>
      </c>
      <c r="E101" s="25">
        <v>23797</v>
      </c>
      <c r="F101" s="26">
        <v>32589.78</v>
      </c>
      <c r="G101" s="22" t="s">
        <v>21</v>
      </c>
      <c r="H101" s="36" t="s">
        <v>4256</v>
      </c>
      <c r="I101" s="19"/>
      <c r="J101" s="19"/>
      <c r="K101" s="19"/>
      <c r="L101" s="19"/>
      <c r="M101" s="19"/>
      <c r="N101" s="292" t="s">
        <v>4269</v>
      </c>
    </row>
    <row r="102" spans="1:14" s="23" customFormat="1" ht="21" x14ac:dyDescent="0.35">
      <c r="A102" s="58">
        <f t="shared" si="2"/>
        <v>97</v>
      </c>
      <c r="B102" s="24" t="s">
        <v>1885</v>
      </c>
      <c r="C102" s="19" t="s">
        <v>1988</v>
      </c>
      <c r="D102" s="28" t="s">
        <v>1989</v>
      </c>
      <c r="E102" s="25">
        <v>23797</v>
      </c>
      <c r="F102" s="26">
        <v>33189.78</v>
      </c>
      <c r="G102" s="22" t="s">
        <v>21</v>
      </c>
      <c r="H102" s="36" t="s">
        <v>4256</v>
      </c>
      <c r="I102" s="19"/>
      <c r="J102" s="19"/>
      <c r="K102" s="19"/>
      <c r="L102" s="19"/>
      <c r="M102" s="19"/>
      <c r="N102" s="292" t="s">
        <v>4269</v>
      </c>
    </row>
    <row r="103" spans="1:14" s="23" customFormat="1" ht="21" x14ac:dyDescent="0.35">
      <c r="A103" s="58">
        <f t="shared" si="2"/>
        <v>98</v>
      </c>
      <c r="B103" s="24" t="s">
        <v>1888</v>
      </c>
      <c r="C103" s="19" t="s">
        <v>1990</v>
      </c>
      <c r="D103" s="28" t="s">
        <v>1991</v>
      </c>
      <c r="E103" s="25">
        <v>23797</v>
      </c>
      <c r="F103" s="26">
        <v>32489.78</v>
      </c>
      <c r="G103" s="22" t="s">
        <v>21</v>
      </c>
      <c r="H103" s="36" t="s">
        <v>4256</v>
      </c>
      <c r="I103" s="19"/>
      <c r="J103" s="19"/>
      <c r="K103" s="19"/>
      <c r="L103" s="19"/>
      <c r="M103" s="19"/>
      <c r="N103" s="292" t="s">
        <v>4271</v>
      </c>
    </row>
    <row r="104" spans="1:14" s="23" customFormat="1" ht="21" x14ac:dyDescent="0.35">
      <c r="A104" s="58">
        <f t="shared" si="2"/>
        <v>99</v>
      </c>
      <c r="B104" s="24" t="s">
        <v>1891</v>
      </c>
      <c r="C104" s="19" t="s">
        <v>1992</v>
      </c>
      <c r="D104" s="28" t="s">
        <v>1993</v>
      </c>
      <c r="E104" s="25">
        <v>23797</v>
      </c>
      <c r="F104" s="26">
        <v>33189.78</v>
      </c>
      <c r="G104" s="22" t="s">
        <v>21</v>
      </c>
      <c r="H104" s="36" t="s">
        <v>4256</v>
      </c>
      <c r="I104" s="19"/>
      <c r="J104" s="19"/>
      <c r="K104" s="19"/>
      <c r="L104" s="19"/>
      <c r="M104" s="19"/>
      <c r="N104" s="292" t="s">
        <v>4269</v>
      </c>
    </row>
    <row r="105" spans="1:14" s="23" customFormat="1" ht="21" x14ac:dyDescent="0.35">
      <c r="A105" s="58">
        <f t="shared" si="2"/>
        <v>100</v>
      </c>
      <c r="B105" s="24" t="s">
        <v>1894</v>
      </c>
      <c r="C105" s="19" t="s">
        <v>1994</v>
      </c>
      <c r="D105" s="28" t="s">
        <v>1995</v>
      </c>
      <c r="E105" s="25">
        <v>23797</v>
      </c>
      <c r="F105" s="26">
        <v>32589.78</v>
      </c>
      <c r="G105" s="22" t="s">
        <v>21</v>
      </c>
      <c r="H105" s="36" t="s">
        <v>4256</v>
      </c>
      <c r="I105" s="19"/>
      <c r="J105" s="19"/>
      <c r="K105" s="19"/>
      <c r="L105" s="19"/>
      <c r="M105" s="19"/>
      <c r="N105" s="292" t="s">
        <v>4271</v>
      </c>
    </row>
    <row r="106" spans="1:14" s="23" customFormat="1" ht="21" x14ac:dyDescent="0.35">
      <c r="A106" s="58">
        <f t="shared" si="2"/>
        <v>101</v>
      </c>
      <c r="B106" s="24" t="s">
        <v>1897</v>
      </c>
      <c r="C106" s="19" t="s">
        <v>1996</v>
      </c>
      <c r="D106" s="28" t="s">
        <v>1997</v>
      </c>
      <c r="E106" s="25">
        <v>23797</v>
      </c>
      <c r="F106" s="26">
        <v>33589.78</v>
      </c>
      <c r="G106" s="22" t="s">
        <v>21</v>
      </c>
      <c r="H106" s="36" t="s">
        <v>4256</v>
      </c>
      <c r="I106" s="19"/>
      <c r="J106" s="19"/>
      <c r="K106" s="19"/>
      <c r="L106" s="19"/>
      <c r="M106" s="19"/>
      <c r="N106" s="292" t="s">
        <v>4272</v>
      </c>
    </row>
    <row r="107" spans="1:14" s="23" customFormat="1" ht="21" x14ac:dyDescent="0.35">
      <c r="A107" s="58">
        <f t="shared" si="2"/>
        <v>102</v>
      </c>
      <c r="B107" s="24" t="s">
        <v>1900</v>
      </c>
      <c r="C107" s="19" t="s">
        <v>1998</v>
      </c>
      <c r="D107" s="28" t="s">
        <v>1999</v>
      </c>
      <c r="E107" s="25">
        <v>23797</v>
      </c>
      <c r="F107" s="26">
        <v>31789.78</v>
      </c>
      <c r="G107" s="22" t="s">
        <v>21</v>
      </c>
      <c r="H107" s="36" t="s">
        <v>4256</v>
      </c>
      <c r="I107" s="19"/>
      <c r="J107" s="19"/>
      <c r="K107" s="19"/>
      <c r="L107" s="19"/>
      <c r="M107" s="19"/>
      <c r="N107" s="292" t="s">
        <v>4273</v>
      </c>
    </row>
    <row r="108" spans="1:14" s="23" customFormat="1" ht="21" x14ac:dyDescent="0.35">
      <c r="A108" s="58">
        <f t="shared" si="2"/>
        <v>103</v>
      </c>
      <c r="B108" s="24" t="s">
        <v>1903</v>
      </c>
      <c r="C108" s="19" t="s">
        <v>2000</v>
      </c>
      <c r="D108" s="28" t="s">
        <v>2001</v>
      </c>
      <c r="E108" s="25">
        <v>23797</v>
      </c>
      <c r="F108" s="26">
        <v>29789.78</v>
      </c>
      <c r="G108" s="22" t="s">
        <v>21</v>
      </c>
      <c r="H108" s="36" t="s">
        <v>4256</v>
      </c>
      <c r="I108" s="19"/>
      <c r="J108" s="19"/>
      <c r="K108" s="19"/>
      <c r="L108" s="19"/>
      <c r="M108" s="19"/>
      <c r="N108" s="292" t="s">
        <v>4273</v>
      </c>
    </row>
    <row r="109" spans="1:14" s="23" customFormat="1" ht="21" x14ac:dyDescent="0.35">
      <c r="A109" s="58">
        <f t="shared" si="2"/>
        <v>104</v>
      </c>
      <c r="B109" s="24" t="s">
        <v>1906</v>
      </c>
      <c r="C109" s="19" t="s">
        <v>2002</v>
      </c>
      <c r="D109" s="28" t="s">
        <v>2003</v>
      </c>
      <c r="E109" s="25">
        <v>23797</v>
      </c>
      <c r="F109" s="26">
        <v>32289.78</v>
      </c>
      <c r="G109" s="22" t="s">
        <v>21</v>
      </c>
      <c r="H109" s="36" t="s">
        <v>4256</v>
      </c>
      <c r="I109" s="19"/>
      <c r="J109" s="19"/>
      <c r="K109" s="19"/>
      <c r="L109" s="19"/>
      <c r="M109" s="19"/>
      <c r="N109" s="292" t="s">
        <v>4271</v>
      </c>
    </row>
    <row r="110" spans="1:14" s="23" customFormat="1" ht="21" x14ac:dyDescent="0.35">
      <c r="A110" s="58">
        <f t="shared" si="2"/>
        <v>105</v>
      </c>
      <c r="B110" s="24" t="s">
        <v>1909</v>
      </c>
      <c r="C110" s="19" t="s">
        <v>2004</v>
      </c>
      <c r="D110" s="28" t="s">
        <v>2005</v>
      </c>
      <c r="E110" s="25">
        <v>23797</v>
      </c>
      <c r="F110" s="26">
        <v>33789.78</v>
      </c>
      <c r="G110" s="22" t="s">
        <v>21</v>
      </c>
      <c r="H110" s="36" t="s">
        <v>4256</v>
      </c>
      <c r="I110" s="19"/>
      <c r="J110" s="19"/>
      <c r="K110" s="19"/>
      <c r="L110" s="19"/>
      <c r="M110" s="19"/>
      <c r="N110" s="292" t="s">
        <v>4271</v>
      </c>
    </row>
    <row r="111" spans="1:14" s="23" customFormat="1" ht="21" x14ac:dyDescent="0.35">
      <c r="A111" s="58">
        <f t="shared" si="2"/>
        <v>106</v>
      </c>
      <c r="B111" s="24" t="s">
        <v>1912</v>
      </c>
      <c r="C111" s="19" t="s">
        <v>2006</v>
      </c>
      <c r="D111" s="28" t="s">
        <v>2007</v>
      </c>
      <c r="E111" s="25">
        <v>23797</v>
      </c>
      <c r="F111" s="26">
        <v>34289.78</v>
      </c>
      <c r="G111" s="22" t="s">
        <v>21</v>
      </c>
      <c r="H111" s="36" t="s">
        <v>4256</v>
      </c>
      <c r="I111" s="19"/>
      <c r="J111" s="19"/>
      <c r="K111" s="19"/>
      <c r="L111" s="19"/>
      <c r="M111" s="19"/>
      <c r="N111" s="715" t="s">
        <v>4270</v>
      </c>
    </row>
    <row r="112" spans="1:14" s="23" customFormat="1" ht="21" x14ac:dyDescent="0.35">
      <c r="A112" s="58">
        <f t="shared" si="2"/>
        <v>107</v>
      </c>
      <c r="B112" s="24" t="s">
        <v>1915</v>
      </c>
      <c r="C112" s="19" t="s">
        <v>2008</v>
      </c>
      <c r="D112" s="28" t="s">
        <v>2009</v>
      </c>
      <c r="E112" s="25">
        <v>23797</v>
      </c>
      <c r="F112" s="26">
        <v>33789.78</v>
      </c>
      <c r="G112" s="22" t="s">
        <v>21</v>
      </c>
      <c r="H112" s="36" t="s">
        <v>4256</v>
      </c>
      <c r="I112" s="19"/>
      <c r="J112" s="19"/>
      <c r="K112" s="19"/>
      <c r="L112" s="19"/>
      <c r="M112" s="19"/>
      <c r="N112" s="715" t="s">
        <v>4270</v>
      </c>
    </row>
    <row r="113" spans="1:14" s="23" customFormat="1" ht="21" x14ac:dyDescent="0.35">
      <c r="A113" s="58">
        <f t="shared" si="2"/>
        <v>108</v>
      </c>
      <c r="B113" s="24" t="s">
        <v>1918</v>
      </c>
      <c r="C113" s="19" t="s">
        <v>2010</v>
      </c>
      <c r="D113" s="28" t="s">
        <v>2011</v>
      </c>
      <c r="E113" s="25">
        <v>23797</v>
      </c>
      <c r="F113" s="26">
        <v>32789.78</v>
      </c>
      <c r="G113" s="22" t="s">
        <v>21</v>
      </c>
      <c r="H113" s="36" t="s">
        <v>4256</v>
      </c>
      <c r="I113" s="19"/>
      <c r="J113" s="19"/>
      <c r="K113" s="19"/>
      <c r="L113" s="19"/>
      <c r="M113" s="19"/>
      <c r="N113" s="292" t="s">
        <v>4274</v>
      </c>
    </row>
    <row r="114" spans="1:14" s="23" customFormat="1" ht="21" x14ac:dyDescent="0.35">
      <c r="A114" s="58">
        <f t="shared" si="2"/>
        <v>109</v>
      </c>
      <c r="B114" s="24" t="s">
        <v>1921</v>
      </c>
      <c r="C114" s="19" t="s">
        <v>2012</v>
      </c>
      <c r="D114" s="28" t="s">
        <v>2013</v>
      </c>
      <c r="E114" s="25">
        <v>23797</v>
      </c>
      <c r="F114" s="26">
        <v>34189.78</v>
      </c>
      <c r="G114" s="22" t="s">
        <v>21</v>
      </c>
      <c r="H114" s="36" t="s">
        <v>4256</v>
      </c>
      <c r="I114" s="19"/>
      <c r="J114" s="19"/>
      <c r="K114" s="19"/>
      <c r="L114" s="19"/>
      <c r="M114" s="19"/>
      <c r="N114" s="292" t="s">
        <v>4269</v>
      </c>
    </row>
    <row r="115" spans="1:14" s="23" customFormat="1" ht="21" x14ac:dyDescent="0.35">
      <c r="A115" s="58">
        <f t="shared" si="2"/>
        <v>110</v>
      </c>
      <c r="B115" s="24" t="s">
        <v>1879</v>
      </c>
      <c r="C115" s="19" t="s">
        <v>2014</v>
      </c>
      <c r="D115" s="28" t="s">
        <v>2015</v>
      </c>
      <c r="E115" s="25">
        <v>23797</v>
      </c>
      <c r="F115" s="26">
        <v>32589.78</v>
      </c>
      <c r="G115" s="22" t="s">
        <v>21</v>
      </c>
      <c r="H115" s="36" t="s">
        <v>4256</v>
      </c>
      <c r="I115" s="19"/>
      <c r="J115" s="19"/>
      <c r="K115" s="19"/>
      <c r="L115" s="19"/>
      <c r="M115" s="19"/>
      <c r="N115" s="292" t="s">
        <v>4275</v>
      </c>
    </row>
    <row r="116" spans="1:14" s="23" customFormat="1" ht="21" x14ac:dyDescent="0.35">
      <c r="A116" s="58">
        <f t="shared" si="2"/>
        <v>111</v>
      </c>
      <c r="B116" s="24" t="s">
        <v>1882</v>
      </c>
      <c r="C116" s="19" t="s">
        <v>2016</v>
      </c>
      <c r="D116" s="28" t="s">
        <v>2017</v>
      </c>
      <c r="E116" s="25">
        <v>23797</v>
      </c>
      <c r="F116" s="26">
        <v>32589.78</v>
      </c>
      <c r="G116" s="22" t="s">
        <v>21</v>
      </c>
      <c r="H116" s="36" t="s">
        <v>4256</v>
      </c>
      <c r="I116" s="19"/>
      <c r="J116" s="19"/>
      <c r="K116" s="19"/>
      <c r="L116" s="19"/>
      <c r="M116" s="19"/>
      <c r="N116" s="715" t="s">
        <v>4270</v>
      </c>
    </row>
    <row r="117" spans="1:14" s="23" customFormat="1" ht="21" x14ac:dyDescent="0.35">
      <c r="A117" s="58">
        <f t="shared" si="2"/>
        <v>112</v>
      </c>
      <c r="B117" s="24" t="s">
        <v>1885</v>
      </c>
      <c r="C117" s="19" t="s">
        <v>2018</v>
      </c>
      <c r="D117" s="28" t="s">
        <v>2019</v>
      </c>
      <c r="E117" s="25">
        <v>23797</v>
      </c>
      <c r="F117" s="26">
        <v>33189.78</v>
      </c>
      <c r="G117" s="22" t="s">
        <v>21</v>
      </c>
      <c r="H117" s="36" t="s">
        <v>4256</v>
      </c>
      <c r="I117" s="19"/>
      <c r="J117" s="19"/>
      <c r="K117" s="19"/>
      <c r="L117" s="19"/>
      <c r="M117" s="19"/>
      <c r="N117" s="292" t="s">
        <v>4275</v>
      </c>
    </row>
    <row r="118" spans="1:14" s="23" customFormat="1" ht="21" x14ac:dyDescent="0.35">
      <c r="A118" s="58">
        <f t="shared" si="2"/>
        <v>113</v>
      </c>
      <c r="B118" s="24" t="s">
        <v>1888</v>
      </c>
      <c r="C118" s="19" t="s">
        <v>2020</v>
      </c>
      <c r="D118" s="28" t="s">
        <v>2021</v>
      </c>
      <c r="E118" s="25">
        <v>23797</v>
      </c>
      <c r="F118" s="26">
        <v>32489.78</v>
      </c>
      <c r="G118" s="22" t="s">
        <v>21</v>
      </c>
      <c r="H118" s="36" t="s">
        <v>4256</v>
      </c>
      <c r="I118" s="19"/>
      <c r="J118" s="19"/>
      <c r="K118" s="19"/>
      <c r="L118" s="19"/>
      <c r="M118" s="19"/>
      <c r="N118" s="292" t="s">
        <v>4269</v>
      </c>
    </row>
    <row r="119" spans="1:14" s="23" customFormat="1" ht="21" x14ac:dyDescent="0.35">
      <c r="A119" s="58">
        <f t="shared" si="2"/>
        <v>114</v>
      </c>
      <c r="B119" s="24" t="s">
        <v>1891</v>
      </c>
      <c r="C119" s="19" t="s">
        <v>2022</v>
      </c>
      <c r="D119" s="28" t="s">
        <v>2023</v>
      </c>
      <c r="E119" s="25">
        <v>23797</v>
      </c>
      <c r="F119" s="26">
        <v>33189.78</v>
      </c>
      <c r="G119" s="22" t="s">
        <v>21</v>
      </c>
      <c r="H119" s="36" t="s">
        <v>4256</v>
      </c>
      <c r="I119" s="19"/>
      <c r="J119" s="19"/>
      <c r="K119" s="19"/>
      <c r="L119" s="19"/>
      <c r="M119" s="19"/>
      <c r="N119" s="292" t="s">
        <v>4275</v>
      </c>
    </row>
    <row r="120" spans="1:14" s="23" customFormat="1" ht="21" x14ac:dyDescent="0.35">
      <c r="A120" s="58">
        <f t="shared" si="2"/>
        <v>115</v>
      </c>
      <c r="B120" s="24" t="s">
        <v>1894</v>
      </c>
      <c r="C120" s="19" t="s">
        <v>2024</v>
      </c>
      <c r="D120" s="28" t="s">
        <v>2025</v>
      </c>
      <c r="E120" s="25">
        <v>23797</v>
      </c>
      <c r="F120" s="26">
        <v>32589.78</v>
      </c>
      <c r="G120" s="22" t="s">
        <v>21</v>
      </c>
      <c r="H120" s="36" t="s">
        <v>4256</v>
      </c>
      <c r="I120" s="19"/>
      <c r="J120" s="19"/>
      <c r="K120" s="19"/>
      <c r="L120" s="19"/>
      <c r="M120" s="19"/>
      <c r="N120" s="292" t="s">
        <v>4269</v>
      </c>
    </row>
    <row r="121" spans="1:14" s="23" customFormat="1" ht="21" x14ac:dyDescent="0.35">
      <c r="A121" s="58">
        <f t="shared" si="2"/>
        <v>116</v>
      </c>
      <c r="B121" s="24" t="s">
        <v>1897</v>
      </c>
      <c r="C121" s="19" t="s">
        <v>2026</v>
      </c>
      <c r="D121" s="28" t="s">
        <v>2027</v>
      </c>
      <c r="E121" s="25">
        <v>23797</v>
      </c>
      <c r="F121" s="26">
        <v>33589.78</v>
      </c>
      <c r="G121" s="22" t="s">
        <v>21</v>
      </c>
      <c r="H121" s="36" t="s">
        <v>4256</v>
      </c>
      <c r="I121" s="19"/>
      <c r="J121" s="19"/>
      <c r="K121" s="19"/>
      <c r="L121" s="19"/>
      <c r="M121" s="19"/>
      <c r="N121" s="292" t="s">
        <v>4275</v>
      </c>
    </row>
    <row r="122" spans="1:14" s="23" customFormat="1" ht="21" x14ac:dyDescent="0.35">
      <c r="A122" s="58">
        <f t="shared" si="2"/>
        <v>117</v>
      </c>
      <c r="B122" s="24" t="s">
        <v>1900</v>
      </c>
      <c r="C122" s="19" t="s">
        <v>2028</v>
      </c>
      <c r="D122" s="28" t="s">
        <v>2029</v>
      </c>
      <c r="E122" s="25">
        <v>23797</v>
      </c>
      <c r="F122" s="26">
        <v>31789.78</v>
      </c>
      <c r="G122" s="22" t="s">
        <v>21</v>
      </c>
      <c r="H122" s="36" t="s">
        <v>4256</v>
      </c>
      <c r="I122" s="19"/>
      <c r="J122" s="19"/>
      <c r="K122" s="19"/>
      <c r="L122" s="19"/>
      <c r="M122" s="19"/>
      <c r="N122" s="292" t="s">
        <v>4269</v>
      </c>
    </row>
    <row r="123" spans="1:14" s="23" customFormat="1" ht="21" x14ac:dyDescent="0.35">
      <c r="A123" s="58">
        <f t="shared" si="2"/>
        <v>118</v>
      </c>
      <c r="B123" s="24" t="s">
        <v>1903</v>
      </c>
      <c r="C123" s="19" t="s">
        <v>2030</v>
      </c>
      <c r="D123" s="28" t="s">
        <v>2031</v>
      </c>
      <c r="E123" s="25">
        <v>23797</v>
      </c>
      <c r="F123" s="26">
        <v>29789.78</v>
      </c>
      <c r="G123" s="22" t="s">
        <v>21</v>
      </c>
      <c r="H123" s="36" t="s">
        <v>4256</v>
      </c>
      <c r="I123" s="19"/>
      <c r="J123" s="19"/>
      <c r="K123" s="19"/>
      <c r="L123" s="19"/>
      <c r="M123" s="19"/>
      <c r="N123" s="292" t="s">
        <v>4276</v>
      </c>
    </row>
    <row r="124" spans="1:14" s="23" customFormat="1" ht="21" x14ac:dyDescent="0.35">
      <c r="A124" s="58">
        <f t="shared" si="2"/>
        <v>119</v>
      </c>
      <c r="B124" s="24" t="s">
        <v>1906</v>
      </c>
      <c r="C124" s="19" t="s">
        <v>2032</v>
      </c>
      <c r="D124" s="28" t="s">
        <v>2033</v>
      </c>
      <c r="E124" s="25">
        <v>23797</v>
      </c>
      <c r="F124" s="26">
        <v>32289.78</v>
      </c>
      <c r="G124" s="22" t="s">
        <v>21</v>
      </c>
      <c r="H124" s="36" t="s">
        <v>4256</v>
      </c>
      <c r="I124" s="19"/>
      <c r="J124" s="19"/>
      <c r="K124" s="19"/>
      <c r="L124" s="19"/>
      <c r="M124" s="19"/>
      <c r="N124" s="292" t="s">
        <v>4275</v>
      </c>
    </row>
    <row r="125" spans="1:14" s="23" customFormat="1" ht="21" x14ac:dyDescent="0.35">
      <c r="A125" s="58">
        <f t="shared" si="2"/>
        <v>120</v>
      </c>
      <c r="B125" s="24" t="s">
        <v>1909</v>
      </c>
      <c r="C125" s="19" t="s">
        <v>2034</v>
      </c>
      <c r="D125" s="28" t="s">
        <v>2035</v>
      </c>
      <c r="E125" s="25">
        <v>23797</v>
      </c>
      <c r="F125" s="26">
        <v>33789.78</v>
      </c>
      <c r="G125" s="22" t="s">
        <v>21</v>
      </c>
      <c r="H125" s="36" t="s">
        <v>4256</v>
      </c>
      <c r="I125" s="19"/>
      <c r="J125" s="19"/>
      <c r="K125" s="19"/>
      <c r="L125" s="19"/>
      <c r="M125" s="19"/>
      <c r="N125" s="292" t="s">
        <v>4275</v>
      </c>
    </row>
    <row r="126" spans="1:14" s="23" customFormat="1" ht="21" x14ac:dyDescent="0.35">
      <c r="A126" s="58">
        <f t="shared" si="2"/>
        <v>121</v>
      </c>
      <c r="B126" s="24" t="s">
        <v>1912</v>
      </c>
      <c r="C126" s="19" t="s">
        <v>2036</v>
      </c>
      <c r="D126" s="28" t="s">
        <v>2037</v>
      </c>
      <c r="E126" s="25">
        <v>23797</v>
      </c>
      <c r="F126" s="26">
        <v>34289.78</v>
      </c>
      <c r="G126" s="22" t="s">
        <v>21</v>
      </c>
      <c r="H126" s="36" t="s">
        <v>4256</v>
      </c>
      <c r="I126" s="19"/>
      <c r="J126" s="19"/>
      <c r="K126" s="19"/>
      <c r="L126" s="19"/>
      <c r="M126" s="19"/>
      <c r="N126" s="292" t="s">
        <v>4277</v>
      </c>
    </row>
    <row r="127" spans="1:14" s="23" customFormat="1" ht="21" x14ac:dyDescent="0.35">
      <c r="A127" s="58">
        <f t="shared" si="2"/>
        <v>122</v>
      </c>
      <c r="B127" s="24" t="s">
        <v>1915</v>
      </c>
      <c r="C127" s="19" t="s">
        <v>2038</v>
      </c>
      <c r="D127" s="28" t="s">
        <v>2039</v>
      </c>
      <c r="E127" s="25">
        <v>23797</v>
      </c>
      <c r="F127" s="26">
        <v>33789.78</v>
      </c>
      <c r="G127" s="22" t="s">
        <v>21</v>
      </c>
      <c r="H127" s="36" t="s">
        <v>4256</v>
      </c>
      <c r="I127" s="19"/>
      <c r="J127" s="19"/>
      <c r="K127" s="19"/>
      <c r="L127" s="19"/>
      <c r="M127" s="19"/>
      <c r="N127" s="292" t="s">
        <v>4269</v>
      </c>
    </row>
    <row r="128" spans="1:14" s="23" customFormat="1" ht="21" x14ac:dyDescent="0.35">
      <c r="A128" s="58">
        <f t="shared" si="2"/>
        <v>123</v>
      </c>
      <c r="B128" s="24" t="s">
        <v>1918</v>
      </c>
      <c r="C128" s="19" t="s">
        <v>2040</v>
      </c>
      <c r="D128" s="28" t="s">
        <v>2041</v>
      </c>
      <c r="E128" s="25">
        <v>23797</v>
      </c>
      <c r="F128" s="26">
        <v>32789.78</v>
      </c>
      <c r="G128" s="22" t="s">
        <v>21</v>
      </c>
      <c r="H128" s="36" t="s">
        <v>4256</v>
      </c>
      <c r="I128" s="19"/>
      <c r="J128" s="19"/>
      <c r="K128" s="19"/>
      <c r="L128" s="19"/>
      <c r="M128" s="19"/>
      <c r="N128" s="292" t="s">
        <v>4272</v>
      </c>
    </row>
    <row r="129" spans="1:14" s="23" customFormat="1" ht="21" x14ac:dyDescent="0.35">
      <c r="A129" s="58">
        <f t="shared" si="2"/>
        <v>124</v>
      </c>
      <c r="B129" s="24" t="s">
        <v>1921</v>
      </c>
      <c r="C129" s="19" t="s">
        <v>2042</v>
      </c>
      <c r="D129" s="28" t="s">
        <v>2043</v>
      </c>
      <c r="E129" s="25">
        <v>23797</v>
      </c>
      <c r="F129" s="26">
        <v>34189.78</v>
      </c>
      <c r="G129" s="22" t="s">
        <v>21</v>
      </c>
      <c r="H129" s="36" t="s">
        <v>4256</v>
      </c>
      <c r="I129" s="19"/>
      <c r="J129" s="19"/>
      <c r="K129" s="19"/>
      <c r="L129" s="19"/>
      <c r="M129" s="19"/>
      <c r="N129" s="292" t="s">
        <v>4272</v>
      </c>
    </row>
    <row r="130" spans="1:14" s="23" customFormat="1" ht="21" x14ac:dyDescent="0.35">
      <c r="A130" s="58">
        <f t="shared" si="2"/>
        <v>125</v>
      </c>
      <c r="B130" s="24" t="s">
        <v>1879</v>
      </c>
      <c r="C130" s="19" t="s">
        <v>2044</v>
      </c>
      <c r="D130" s="28" t="s">
        <v>2045</v>
      </c>
      <c r="E130" s="25">
        <v>23797</v>
      </c>
      <c r="F130" s="26">
        <v>32589.78</v>
      </c>
      <c r="G130" s="22" t="s">
        <v>21</v>
      </c>
      <c r="H130" s="36" t="s">
        <v>4256</v>
      </c>
      <c r="I130" s="19"/>
      <c r="J130" s="19"/>
      <c r="K130" s="19"/>
      <c r="L130" s="19"/>
      <c r="M130" s="19"/>
      <c r="N130" s="292" t="s">
        <v>4278</v>
      </c>
    </row>
    <row r="131" spans="1:14" s="23" customFormat="1" ht="21" x14ac:dyDescent="0.35">
      <c r="A131" s="58">
        <f t="shared" si="2"/>
        <v>126</v>
      </c>
      <c r="B131" s="24" t="s">
        <v>1882</v>
      </c>
      <c r="C131" s="19" t="s">
        <v>2046</v>
      </c>
      <c r="D131" s="28" t="s">
        <v>2047</v>
      </c>
      <c r="E131" s="25">
        <v>23797</v>
      </c>
      <c r="F131" s="26">
        <v>32589.78</v>
      </c>
      <c r="G131" s="22" t="s">
        <v>21</v>
      </c>
      <c r="H131" s="36" t="s">
        <v>4256</v>
      </c>
      <c r="I131" s="19"/>
      <c r="J131" s="19"/>
      <c r="K131" s="19"/>
      <c r="L131" s="19"/>
      <c r="M131" s="19"/>
      <c r="N131" s="715" t="s">
        <v>4270</v>
      </c>
    </row>
    <row r="132" spans="1:14" s="23" customFormat="1" ht="21" x14ac:dyDescent="0.35">
      <c r="A132" s="58">
        <f t="shared" si="2"/>
        <v>127</v>
      </c>
      <c r="B132" s="24" t="s">
        <v>1885</v>
      </c>
      <c r="C132" s="19" t="s">
        <v>2048</v>
      </c>
      <c r="D132" s="28" t="s">
        <v>2049</v>
      </c>
      <c r="E132" s="25">
        <v>23797</v>
      </c>
      <c r="F132" s="26">
        <v>33189.78</v>
      </c>
      <c r="G132" s="22" t="s">
        <v>21</v>
      </c>
      <c r="H132" s="36" t="s">
        <v>4256</v>
      </c>
      <c r="I132" s="19"/>
      <c r="J132" s="19"/>
      <c r="K132" s="19"/>
      <c r="L132" s="19"/>
      <c r="M132" s="19"/>
      <c r="N132" s="292" t="s">
        <v>4274</v>
      </c>
    </row>
    <row r="133" spans="1:14" s="23" customFormat="1" ht="21" x14ac:dyDescent="0.35">
      <c r="A133" s="58">
        <f t="shared" si="2"/>
        <v>128</v>
      </c>
      <c r="B133" s="24" t="s">
        <v>1888</v>
      </c>
      <c r="C133" s="19" t="s">
        <v>2050</v>
      </c>
      <c r="D133" s="28" t="s">
        <v>2051</v>
      </c>
      <c r="E133" s="25">
        <v>23797</v>
      </c>
      <c r="F133" s="26">
        <v>32489.78</v>
      </c>
      <c r="G133" s="22" t="s">
        <v>21</v>
      </c>
      <c r="H133" s="36" t="s">
        <v>4256</v>
      </c>
      <c r="I133" s="19"/>
      <c r="J133" s="19"/>
      <c r="K133" s="19"/>
      <c r="L133" s="19"/>
      <c r="M133" s="19"/>
      <c r="N133" s="292" t="s">
        <v>4272</v>
      </c>
    </row>
    <row r="134" spans="1:14" s="23" customFormat="1" ht="21" x14ac:dyDescent="0.35">
      <c r="A134" s="58">
        <f t="shared" si="2"/>
        <v>129</v>
      </c>
      <c r="B134" s="24" t="s">
        <v>1891</v>
      </c>
      <c r="C134" s="19" t="s">
        <v>2052</v>
      </c>
      <c r="D134" s="28" t="s">
        <v>2053</v>
      </c>
      <c r="E134" s="25">
        <v>23797</v>
      </c>
      <c r="F134" s="26">
        <v>33189.78</v>
      </c>
      <c r="G134" s="22" t="s">
        <v>21</v>
      </c>
      <c r="H134" s="36" t="s">
        <v>4256</v>
      </c>
      <c r="I134" s="19"/>
      <c r="J134" s="19"/>
      <c r="K134" s="19"/>
      <c r="L134" s="19"/>
      <c r="M134" s="19"/>
      <c r="N134" s="292" t="s">
        <v>4274</v>
      </c>
    </row>
    <row r="135" spans="1:14" s="23" customFormat="1" ht="21" x14ac:dyDescent="0.35">
      <c r="A135" s="58">
        <f t="shared" si="2"/>
        <v>130</v>
      </c>
      <c r="B135" s="24" t="s">
        <v>1894</v>
      </c>
      <c r="C135" s="19" t="s">
        <v>2054</v>
      </c>
      <c r="D135" s="28" t="s">
        <v>2055</v>
      </c>
      <c r="E135" s="25">
        <v>23797</v>
      </c>
      <c r="F135" s="26">
        <v>32589.78</v>
      </c>
      <c r="G135" s="22" t="s">
        <v>21</v>
      </c>
      <c r="H135" s="36" t="s">
        <v>4256</v>
      </c>
      <c r="I135" s="19"/>
      <c r="J135" s="19"/>
      <c r="K135" s="19"/>
      <c r="L135" s="19"/>
      <c r="M135" s="19"/>
      <c r="N135" s="715" t="s">
        <v>4270</v>
      </c>
    </row>
    <row r="136" spans="1:14" s="23" customFormat="1" ht="21" x14ac:dyDescent="0.35">
      <c r="A136" s="58">
        <f t="shared" si="2"/>
        <v>131</v>
      </c>
      <c r="B136" s="24" t="s">
        <v>1897</v>
      </c>
      <c r="C136" s="19" t="s">
        <v>2056</v>
      </c>
      <c r="D136" s="28" t="s">
        <v>2057</v>
      </c>
      <c r="E136" s="25">
        <v>23797</v>
      </c>
      <c r="F136" s="26">
        <v>33589.78</v>
      </c>
      <c r="G136" s="22" t="s">
        <v>21</v>
      </c>
      <c r="H136" s="36" t="s">
        <v>4256</v>
      </c>
      <c r="I136" s="19"/>
      <c r="J136" s="19"/>
      <c r="K136" s="19"/>
      <c r="L136" s="19"/>
      <c r="M136" s="19"/>
      <c r="N136" s="292" t="s">
        <v>4278</v>
      </c>
    </row>
    <row r="137" spans="1:14" s="23" customFormat="1" ht="21" x14ac:dyDescent="0.35">
      <c r="A137" s="58">
        <f t="shared" si="2"/>
        <v>132</v>
      </c>
      <c r="B137" s="24" t="s">
        <v>1900</v>
      </c>
      <c r="C137" s="19" t="s">
        <v>2058</v>
      </c>
      <c r="D137" s="28" t="s">
        <v>2059</v>
      </c>
      <c r="E137" s="25">
        <v>23797</v>
      </c>
      <c r="F137" s="26">
        <v>31789.78</v>
      </c>
      <c r="G137" s="22" t="s">
        <v>21</v>
      </c>
      <c r="H137" s="36" t="s">
        <v>4256</v>
      </c>
      <c r="I137" s="19"/>
      <c r="J137" s="19"/>
      <c r="K137" s="19"/>
      <c r="L137" s="19"/>
      <c r="M137" s="19"/>
      <c r="N137" s="715" t="s">
        <v>4270</v>
      </c>
    </row>
    <row r="138" spans="1:14" s="23" customFormat="1" ht="21" x14ac:dyDescent="0.35">
      <c r="A138" s="58">
        <f t="shared" si="2"/>
        <v>133</v>
      </c>
      <c r="B138" s="24" t="s">
        <v>1903</v>
      </c>
      <c r="C138" s="19" t="s">
        <v>2060</v>
      </c>
      <c r="D138" s="28" t="s">
        <v>2061</v>
      </c>
      <c r="E138" s="25">
        <v>23797</v>
      </c>
      <c r="F138" s="26">
        <v>29789.78</v>
      </c>
      <c r="G138" s="22" t="s">
        <v>21</v>
      </c>
      <c r="H138" s="36" t="s">
        <v>4256</v>
      </c>
      <c r="I138" s="19"/>
      <c r="J138" s="19"/>
      <c r="K138" s="19"/>
      <c r="L138" s="19"/>
      <c r="M138" s="19"/>
      <c r="N138" s="292" t="s">
        <v>4279</v>
      </c>
    </row>
    <row r="139" spans="1:14" s="23" customFormat="1" ht="21" x14ac:dyDescent="0.35">
      <c r="A139" s="58">
        <f t="shared" si="2"/>
        <v>134</v>
      </c>
      <c r="B139" s="24" t="s">
        <v>1906</v>
      </c>
      <c r="C139" s="19" t="s">
        <v>2062</v>
      </c>
      <c r="D139" s="28" t="s">
        <v>2063</v>
      </c>
      <c r="E139" s="25">
        <v>23797</v>
      </c>
      <c r="F139" s="26">
        <v>32289.78</v>
      </c>
      <c r="G139" s="22" t="s">
        <v>21</v>
      </c>
      <c r="H139" s="36" t="s">
        <v>4256</v>
      </c>
      <c r="I139" s="19"/>
      <c r="J139" s="19"/>
      <c r="K139" s="19"/>
      <c r="L139" s="19"/>
      <c r="M139" s="19"/>
      <c r="N139" s="292" t="s">
        <v>4278</v>
      </c>
    </row>
    <row r="140" spans="1:14" s="23" customFormat="1" ht="21" x14ac:dyDescent="0.35">
      <c r="A140" s="58">
        <f t="shared" si="2"/>
        <v>135</v>
      </c>
      <c r="B140" s="24" t="s">
        <v>1909</v>
      </c>
      <c r="C140" s="19" t="s">
        <v>2064</v>
      </c>
      <c r="D140" s="28" t="s">
        <v>2065</v>
      </c>
      <c r="E140" s="25">
        <v>23797</v>
      </c>
      <c r="F140" s="26">
        <v>33789.78</v>
      </c>
      <c r="G140" s="22" t="s">
        <v>21</v>
      </c>
      <c r="H140" s="36" t="s">
        <v>4256</v>
      </c>
      <c r="I140" s="19"/>
      <c r="J140" s="19"/>
      <c r="K140" s="19"/>
      <c r="L140" s="19"/>
      <c r="M140" s="19"/>
      <c r="N140" s="292" t="s">
        <v>4278</v>
      </c>
    </row>
    <row r="141" spans="1:14" s="23" customFormat="1" ht="21" x14ac:dyDescent="0.35">
      <c r="A141" s="58">
        <f t="shared" si="2"/>
        <v>136</v>
      </c>
      <c r="B141" s="24" t="s">
        <v>1912</v>
      </c>
      <c r="C141" s="19" t="s">
        <v>2066</v>
      </c>
      <c r="D141" s="28" t="s">
        <v>2067</v>
      </c>
      <c r="E141" s="25">
        <v>23797</v>
      </c>
      <c r="F141" s="26">
        <v>34289.78</v>
      </c>
      <c r="G141" s="22" t="s">
        <v>21</v>
      </c>
      <c r="H141" s="36" t="s">
        <v>4256</v>
      </c>
      <c r="I141" s="19"/>
      <c r="J141" s="19"/>
      <c r="K141" s="19"/>
      <c r="L141" s="19"/>
      <c r="M141" s="19"/>
      <c r="N141" s="715" t="s">
        <v>4270</v>
      </c>
    </row>
    <row r="142" spans="1:14" s="23" customFormat="1" ht="21" x14ac:dyDescent="0.35">
      <c r="A142" s="58">
        <f t="shared" si="2"/>
        <v>137</v>
      </c>
      <c r="B142" s="24" t="s">
        <v>1915</v>
      </c>
      <c r="C142" s="19" t="s">
        <v>2068</v>
      </c>
      <c r="D142" s="28" t="s">
        <v>2069</v>
      </c>
      <c r="E142" s="25">
        <v>23797</v>
      </c>
      <c r="F142" s="26">
        <v>33789.78</v>
      </c>
      <c r="G142" s="22" t="s">
        <v>21</v>
      </c>
      <c r="H142" s="36" t="s">
        <v>4256</v>
      </c>
      <c r="I142" s="19"/>
      <c r="J142" s="19"/>
      <c r="K142" s="19"/>
      <c r="L142" s="19"/>
      <c r="M142" s="19"/>
      <c r="N142" s="292" t="s">
        <v>4269</v>
      </c>
    </row>
    <row r="143" spans="1:14" s="23" customFormat="1" ht="21" x14ac:dyDescent="0.35">
      <c r="A143" s="58">
        <f t="shared" ref="A143:A206" si="3">ROW()-ROW($A$6)+1</f>
        <v>138</v>
      </c>
      <c r="B143" s="24" t="s">
        <v>1918</v>
      </c>
      <c r="C143" s="19" t="s">
        <v>2070</v>
      </c>
      <c r="D143" s="28" t="s">
        <v>2071</v>
      </c>
      <c r="E143" s="25">
        <v>23797</v>
      </c>
      <c r="F143" s="26">
        <v>32789.78</v>
      </c>
      <c r="G143" s="22" t="s">
        <v>21</v>
      </c>
      <c r="H143" s="36" t="s">
        <v>4256</v>
      </c>
      <c r="I143" s="19"/>
      <c r="J143" s="19"/>
      <c r="K143" s="19"/>
      <c r="L143" s="19"/>
      <c r="M143" s="19"/>
      <c r="N143" s="292" t="s">
        <v>4276</v>
      </c>
    </row>
    <row r="144" spans="1:14" s="23" customFormat="1" ht="21" x14ac:dyDescent="0.35">
      <c r="A144" s="58">
        <f t="shared" si="3"/>
        <v>139</v>
      </c>
      <c r="B144" s="24" t="s">
        <v>1921</v>
      </c>
      <c r="C144" s="19" t="s">
        <v>2072</v>
      </c>
      <c r="D144" s="28" t="s">
        <v>2073</v>
      </c>
      <c r="E144" s="25">
        <v>23797</v>
      </c>
      <c r="F144" s="26">
        <v>34189.78</v>
      </c>
      <c r="G144" s="22" t="s">
        <v>21</v>
      </c>
      <c r="H144" s="36" t="s">
        <v>4256</v>
      </c>
      <c r="I144" s="19"/>
      <c r="J144" s="19"/>
      <c r="K144" s="19"/>
      <c r="L144" s="19"/>
      <c r="M144" s="19"/>
      <c r="N144" s="292" t="s">
        <v>4276</v>
      </c>
    </row>
    <row r="145" spans="1:14" s="23" customFormat="1" ht="21" x14ac:dyDescent="0.35">
      <c r="A145" s="58">
        <f t="shared" si="3"/>
        <v>140</v>
      </c>
      <c r="B145" s="24" t="s">
        <v>1879</v>
      </c>
      <c r="C145" s="19" t="s">
        <v>2074</v>
      </c>
      <c r="D145" s="28" t="s">
        <v>2075</v>
      </c>
      <c r="E145" s="25">
        <v>23797</v>
      </c>
      <c r="F145" s="26">
        <v>32589.78</v>
      </c>
      <c r="G145" s="22" t="s">
        <v>21</v>
      </c>
      <c r="H145" s="36" t="s">
        <v>4256</v>
      </c>
      <c r="I145" s="19"/>
      <c r="J145" s="19"/>
      <c r="K145" s="19"/>
      <c r="L145" s="19"/>
      <c r="M145" s="19"/>
      <c r="N145" s="292" t="s">
        <v>4280</v>
      </c>
    </row>
    <row r="146" spans="1:14" s="23" customFormat="1" ht="21" x14ac:dyDescent="0.35">
      <c r="A146" s="58">
        <f t="shared" si="3"/>
        <v>141</v>
      </c>
      <c r="B146" s="24" t="s">
        <v>1882</v>
      </c>
      <c r="C146" s="19" t="s">
        <v>2076</v>
      </c>
      <c r="D146" s="28" t="s">
        <v>2077</v>
      </c>
      <c r="E146" s="25">
        <v>23797</v>
      </c>
      <c r="F146" s="26">
        <v>32589.78</v>
      </c>
      <c r="G146" s="22" t="s">
        <v>21</v>
      </c>
      <c r="H146" s="36" t="s">
        <v>4256</v>
      </c>
      <c r="I146" s="19"/>
      <c r="J146" s="19"/>
      <c r="K146" s="19"/>
      <c r="L146" s="19"/>
      <c r="M146" s="19"/>
      <c r="N146" s="292" t="s">
        <v>4277</v>
      </c>
    </row>
    <row r="147" spans="1:14" s="23" customFormat="1" ht="21" x14ac:dyDescent="0.35">
      <c r="A147" s="58">
        <f t="shared" si="3"/>
        <v>142</v>
      </c>
      <c r="B147" s="24" t="s">
        <v>1885</v>
      </c>
      <c r="C147" s="19" t="s">
        <v>2078</v>
      </c>
      <c r="D147" s="28" t="s">
        <v>2079</v>
      </c>
      <c r="E147" s="25">
        <v>23797</v>
      </c>
      <c r="F147" s="26">
        <v>33189.78</v>
      </c>
      <c r="G147" s="22" t="s">
        <v>21</v>
      </c>
      <c r="H147" s="36" t="s">
        <v>4256</v>
      </c>
      <c r="I147" s="19"/>
      <c r="J147" s="19"/>
      <c r="K147" s="19"/>
      <c r="L147" s="19"/>
      <c r="M147" s="19"/>
      <c r="N147" s="292" t="s">
        <v>4278</v>
      </c>
    </row>
    <row r="148" spans="1:14" s="23" customFormat="1" ht="21" x14ac:dyDescent="0.35">
      <c r="A148" s="58">
        <f t="shared" si="3"/>
        <v>143</v>
      </c>
      <c r="B148" s="24" t="s">
        <v>1888</v>
      </c>
      <c r="C148" s="19" t="s">
        <v>2080</v>
      </c>
      <c r="D148" s="28" t="s">
        <v>2081</v>
      </c>
      <c r="E148" s="25">
        <v>23797</v>
      </c>
      <c r="F148" s="26">
        <v>32489.78</v>
      </c>
      <c r="G148" s="22" t="s">
        <v>21</v>
      </c>
      <c r="H148" s="36" t="s">
        <v>4256</v>
      </c>
      <c r="I148" s="19"/>
      <c r="J148" s="19"/>
      <c r="K148" s="19"/>
      <c r="L148" s="19"/>
      <c r="M148" s="19"/>
      <c r="N148" s="292" t="s">
        <v>4269</v>
      </c>
    </row>
    <row r="149" spans="1:14" s="23" customFormat="1" ht="21" x14ac:dyDescent="0.35">
      <c r="A149" s="58">
        <f t="shared" si="3"/>
        <v>144</v>
      </c>
      <c r="B149" s="24" t="s">
        <v>1891</v>
      </c>
      <c r="C149" s="19" t="s">
        <v>2082</v>
      </c>
      <c r="D149" s="28" t="s">
        <v>2083</v>
      </c>
      <c r="E149" s="25">
        <v>23797</v>
      </c>
      <c r="F149" s="26">
        <v>33189.78</v>
      </c>
      <c r="G149" s="22" t="s">
        <v>21</v>
      </c>
      <c r="H149" s="36" t="s">
        <v>4256</v>
      </c>
      <c r="I149" s="19"/>
      <c r="J149" s="19"/>
      <c r="K149" s="19"/>
      <c r="L149" s="19"/>
      <c r="M149" s="19"/>
      <c r="N149" s="292" t="s">
        <v>4280</v>
      </c>
    </row>
    <row r="150" spans="1:14" s="23" customFormat="1" ht="21" x14ac:dyDescent="0.35">
      <c r="A150" s="58">
        <f t="shared" si="3"/>
        <v>145</v>
      </c>
      <c r="B150" s="24" t="s">
        <v>1894</v>
      </c>
      <c r="C150" s="19" t="s">
        <v>2084</v>
      </c>
      <c r="D150" s="28" t="s">
        <v>2085</v>
      </c>
      <c r="E150" s="25">
        <v>23797</v>
      </c>
      <c r="F150" s="26">
        <v>32589.78</v>
      </c>
      <c r="G150" s="22" t="s">
        <v>21</v>
      </c>
      <c r="H150" s="36" t="s">
        <v>4256</v>
      </c>
      <c r="I150" s="19"/>
      <c r="J150" s="19"/>
      <c r="K150" s="19"/>
      <c r="L150" s="19"/>
      <c r="M150" s="19"/>
      <c r="N150" s="292" t="s">
        <v>4272</v>
      </c>
    </row>
    <row r="151" spans="1:14" s="23" customFormat="1" ht="21" x14ac:dyDescent="0.35">
      <c r="A151" s="58">
        <f t="shared" si="3"/>
        <v>146</v>
      </c>
      <c r="B151" s="24" t="s">
        <v>1897</v>
      </c>
      <c r="C151" s="19" t="s">
        <v>2086</v>
      </c>
      <c r="D151" s="28" t="s">
        <v>2087</v>
      </c>
      <c r="E151" s="25">
        <v>23797</v>
      </c>
      <c r="F151" s="26">
        <v>33589.78</v>
      </c>
      <c r="G151" s="22" t="s">
        <v>21</v>
      </c>
      <c r="H151" s="36" t="s">
        <v>4256</v>
      </c>
      <c r="I151" s="19"/>
      <c r="J151" s="19"/>
      <c r="K151" s="19"/>
      <c r="L151" s="19"/>
      <c r="M151" s="19"/>
      <c r="N151" s="292" t="s">
        <v>4276</v>
      </c>
    </row>
    <row r="152" spans="1:14" s="23" customFormat="1" ht="21" x14ac:dyDescent="0.35">
      <c r="A152" s="58">
        <f t="shared" si="3"/>
        <v>147</v>
      </c>
      <c r="B152" s="24" t="s">
        <v>1900</v>
      </c>
      <c r="C152" s="19" t="s">
        <v>2088</v>
      </c>
      <c r="D152" s="28" t="s">
        <v>2089</v>
      </c>
      <c r="E152" s="25">
        <v>23797</v>
      </c>
      <c r="F152" s="26">
        <v>31789.78</v>
      </c>
      <c r="G152" s="22" t="s">
        <v>21</v>
      </c>
      <c r="H152" s="36" t="s">
        <v>4256</v>
      </c>
      <c r="I152" s="19"/>
      <c r="J152" s="19"/>
      <c r="K152" s="19"/>
      <c r="L152" s="19"/>
      <c r="M152" s="19"/>
      <c r="N152" s="292" t="s">
        <v>4272</v>
      </c>
    </row>
    <row r="153" spans="1:14" s="23" customFormat="1" ht="21" x14ac:dyDescent="0.35">
      <c r="A153" s="58">
        <f t="shared" si="3"/>
        <v>148</v>
      </c>
      <c r="B153" s="24" t="s">
        <v>1903</v>
      </c>
      <c r="C153" s="19" t="s">
        <v>2090</v>
      </c>
      <c r="D153" s="28" t="s">
        <v>2091</v>
      </c>
      <c r="E153" s="25">
        <v>23797</v>
      </c>
      <c r="F153" s="26">
        <v>29789.78</v>
      </c>
      <c r="G153" s="22" t="s">
        <v>21</v>
      </c>
      <c r="H153" s="36" t="s">
        <v>4256</v>
      </c>
      <c r="I153" s="19"/>
      <c r="J153" s="19"/>
      <c r="K153" s="19"/>
      <c r="L153" s="19"/>
      <c r="M153" s="19"/>
      <c r="N153" s="292" t="s">
        <v>4281</v>
      </c>
    </row>
    <row r="154" spans="1:14" s="23" customFormat="1" ht="21" x14ac:dyDescent="0.35">
      <c r="A154" s="58">
        <f t="shared" si="3"/>
        <v>149</v>
      </c>
      <c r="B154" s="24" t="s">
        <v>1906</v>
      </c>
      <c r="C154" s="19" t="s">
        <v>2092</v>
      </c>
      <c r="D154" s="28" t="s">
        <v>2093</v>
      </c>
      <c r="E154" s="25">
        <v>23797</v>
      </c>
      <c r="F154" s="26">
        <v>32289.78</v>
      </c>
      <c r="G154" s="22" t="s">
        <v>21</v>
      </c>
      <c r="H154" s="36" t="s">
        <v>4256</v>
      </c>
      <c r="I154" s="19"/>
      <c r="J154" s="19"/>
      <c r="K154" s="19"/>
      <c r="L154" s="19"/>
      <c r="M154" s="19"/>
      <c r="N154" s="292" t="s">
        <v>4280</v>
      </c>
    </row>
    <row r="155" spans="1:14" s="23" customFormat="1" ht="21" x14ac:dyDescent="0.35">
      <c r="A155" s="58">
        <f t="shared" si="3"/>
        <v>150</v>
      </c>
      <c r="B155" s="24" t="s">
        <v>1909</v>
      </c>
      <c r="C155" s="19" t="s">
        <v>2094</v>
      </c>
      <c r="D155" s="28" t="s">
        <v>2095</v>
      </c>
      <c r="E155" s="25">
        <v>23797</v>
      </c>
      <c r="F155" s="26">
        <v>33789.78</v>
      </c>
      <c r="G155" s="22" t="s">
        <v>21</v>
      </c>
      <c r="H155" s="36" t="s">
        <v>4256</v>
      </c>
      <c r="I155" s="19"/>
      <c r="J155" s="19"/>
      <c r="K155" s="19"/>
      <c r="L155" s="19"/>
      <c r="M155" s="19"/>
      <c r="N155" s="292" t="s">
        <v>4276</v>
      </c>
    </row>
    <row r="156" spans="1:14" s="23" customFormat="1" ht="21" x14ac:dyDescent="0.35">
      <c r="A156" s="58">
        <f t="shared" si="3"/>
        <v>151</v>
      </c>
      <c r="B156" s="24" t="s">
        <v>1912</v>
      </c>
      <c r="C156" s="19" t="s">
        <v>2096</v>
      </c>
      <c r="D156" s="28" t="s">
        <v>2097</v>
      </c>
      <c r="E156" s="25">
        <v>23797</v>
      </c>
      <c r="F156" s="26">
        <v>34289.78</v>
      </c>
      <c r="G156" s="22" t="s">
        <v>21</v>
      </c>
      <c r="H156" s="36" t="s">
        <v>4256</v>
      </c>
      <c r="I156" s="19"/>
      <c r="J156" s="19"/>
      <c r="K156" s="19"/>
      <c r="L156" s="19"/>
      <c r="M156" s="19"/>
      <c r="N156" s="292" t="s">
        <v>4276</v>
      </c>
    </row>
    <row r="157" spans="1:14" s="23" customFormat="1" ht="21" x14ac:dyDescent="0.35">
      <c r="A157" s="58">
        <f t="shared" si="3"/>
        <v>152</v>
      </c>
      <c r="B157" s="24" t="s">
        <v>1915</v>
      </c>
      <c r="C157" s="19" t="s">
        <v>2098</v>
      </c>
      <c r="D157" s="28" t="s">
        <v>2099</v>
      </c>
      <c r="E157" s="25">
        <v>23797</v>
      </c>
      <c r="F157" s="26">
        <v>33789.78</v>
      </c>
      <c r="G157" s="22" t="s">
        <v>21</v>
      </c>
      <c r="H157" s="36" t="s">
        <v>4256</v>
      </c>
      <c r="I157" s="19"/>
      <c r="J157" s="19"/>
      <c r="K157" s="19"/>
      <c r="L157" s="19"/>
      <c r="M157" s="19"/>
      <c r="N157" s="292" t="s">
        <v>4275</v>
      </c>
    </row>
    <row r="158" spans="1:14" s="23" customFormat="1" ht="21" x14ac:dyDescent="0.35">
      <c r="A158" s="58">
        <f t="shared" si="3"/>
        <v>153</v>
      </c>
      <c r="B158" s="24" t="s">
        <v>1918</v>
      </c>
      <c r="C158" s="19" t="s">
        <v>2100</v>
      </c>
      <c r="D158" s="28" t="s">
        <v>2101</v>
      </c>
      <c r="E158" s="25">
        <v>23797</v>
      </c>
      <c r="F158" s="26">
        <v>32789.78</v>
      </c>
      <c r="G158" s="22" t="s">
        <v>21</v>
      </c>
      <c r="H158" s="36" t="s">
        <v>4256</v>
      </c>
      <c r="I158" s="19"/>
      <c r="J158" s="19"/>
      <c r="K158" s="19"/>
      <c r="L158" s="19"/>
      <c r="M158" s="19"/>
      <c r="N158" s="292" t="s">
        <v>4277</v>
      </c>
    </row>
    <row r="159" spans="1:14" s="23" customFormat="1" ht="21" x14ac:dyDescent="0.35">
      <c r="A159" s="58">
        <f t="shared" si="3"/>
        <v>154</v>
      </c>
      <c r="B159" s="24" t="s">
        <v>1921</v>
      </c>
      <c r="C159" s="19" t="s">
        <v>2102</v>
      </c>
      <c r="D159" s="28" t="s">
        <v>2103</v>
      </c>
      <c r="E159" s="25">
        <v>23797</v>
      </c>
      <c r="F159" s="26">
        <v>34189.78</v>
      </c>
      <c r="G159" s="22" t="s">
        <v>21</v>
      </c>
      <c r="H159" s="36" t="s">
        <v>4256</v>
      </c>
      <c r="I159" s="19"/>
      <c r="J159" s="19"/>
      <c r="K159" s="19"/>
      <c r="L159" s="19"/>
      <c r="M159" s="19"/>
      <c r="N159" s="292" t="s">
        <v>4279</v>
      </c>
    </row>
    <row r="160" spans="1:14" s="23" customFormat="1" ht="21" x14ac:dyDescent="0.35">
      <c r="A160" s="58">
        <f t="shared" si="3"/>
        <v>155</v>
      </c>
      <c r="B160" s="24" t="s">
        <v>1879</v>
      </c>
      <c r="C160" s="19" t="s">
        <v>2104</v>
      </c>
      <c r="D160" s="28" t="s">
        <v>2105</v>
      </c>
      <c r="E160" s="25">
        <v>23797</v>
      </c>
      <c r="F160" s="26">
        <v>32589.78</v>
      </c>
      <c r="G160" s="22" t="s">
        <v>21</v>
      </c>
      <c r="H160" s="36" t="s">
        <v>4256</v>
      </c>
      <c r="I160" s="19"/>
      <c r="J160" s="19"/>
      <c r="K160" s="19"/>
      <c r="L160" s="19"/>
      <c r="M160" s="19"/>
      <c r="N160" s="292" t="s">
        <v>4282</v>
      </c>
    </row>
    <row r="161" spans="1:14" s="23" customFormat="1" ht="21" x14ac:dyDescent="0.35">
      <c r="A161" s="58">
        <f t="shared" si="3"/>
        <v>156</v>
      </c>
      <c r="B161" s="24" t="s">
        <v>1882</v>
      </c>
      <c r="C161" s="19" t="s">
        <v>2106</v>
      </c>
      <c r="D161" s="28" t="s">
        <v>2107</v>
      </c>
      <c r="E161" s="25">
        <v>23797</v>
      </c>
      <c r="F161" s="26">
        <v>32589.78</v>
      </c>
      <c r="G161" s="22" t="s">
        <v>21</v>
      </c>
      <c r="H161" s="36" t="s">
        <v>4256</v>
      </c>
      <c r="I161" s="19"/>
      <c r="J161" s="19"/>
      <c r="K161" s="19"/>
      <c r="L161" s="19"/>
      <c r="M161" s="19"/>
      <c r="N161" s="292" t="s">
        <v>4279</v>
      </c>
    </row>
    <row r="162" spans="1:14" s="23" customFormat="1" ht="21" x14ac:dyDescent="0.35">
      <c r="A162" s="58">
        <f t="shared" si="3"/>
        <v>157</v>
      </c>
      <c r="B162" s="24" t="s">
        <v>1885</v>
      </c>
      <c r="C162" s="19" t="s">
        <v>2108</v>
      </c>
      <c r="D162" s="28" t="s">
        <v>2109</v>
      </c>
      <c r="E162" s="25">
        <v>23797</v>
      </c>
      <c r="F162" s="26">
        <v>33189.78</v>
      </c>
      <c r="G162" s="22" t="s">
        <v>21</v>
      </c>
      <c r="H162" s="36" t="s">
        <v>4256</v>
      </c>
      <c r="I162" s="19"/>
      <c r="J162" s="19"/>
      <c r="K162" s="19"/>
      <c r="L162" s="19"/>
      <c r="M162" s="19"/>
      <c r="N162" s="292" t="s">
        <v>4282</v>
      </c>
    </row>
    <row r="163" spans="1:14" s="23" customFormat="1" ht="21" x14ac:dyDescent="0.35">
      <c r="A163" s="58">
        <f t="shared" si="3"/>
        <v>158</v>
      </c>
      <c r="B163" s="24" t="s">
        <v>1888</v>
      </c>
      <c r="C163" s="19" t="s">
        <v>2110</v>
      </c>
      <c r="D163" s="28" t="s">
        <v>2111</v>
      </c>
      <c r="E163" s="25">
        <v>23797</v>
      </c>
      <c r="F163" s="26">
        <v>32489.78</v>
      </c>
      <c r="G163" s="22" t="s">
        <v>21</v>
      </c>
      <c r="H163" s="36" t="s">
        <v>4256</v>
      </c>
      <c r="I163" s="19"/>
      <c r="J163" s="19"/>
      <c r="K163" s="19"/>
      <c r="L163" s="19"/>
      <c r="M163" s="19"/>
      <c r="N163" s="292" t="s">
        <v>4277</v>
      </c>
    </row>
    <row r="164" spans="1:14" s="23" customFormat="1" ht="21" x14ac:dyDescent="0.35">
      <c r="A164" s="58">
        <f t="shared" si="3"/>
        <v>159</v>
      </c>
      <c r="B164" s="24" t="s">
        <v>1891</v>
      </c>
      <c r="C164" s="19" t="s">
        <v>2112</v>
      </c>
      <c r="D164" s="28" t="s">
        <v>2113</v>
      </c>
      <c r="E164" s="25">
        <v>23797</v>
      </c>
      <c r="F164" s="26">
        <v>33189.78</v>
      </c>
      <c r="G164" s="22" t="s">
        <v>21</v>
      </c>
      <c r="H164" s="36" t="s">
        <v>4256</v>
      </c>
      <c r="I164" s="19"/>
      <c r="J164" s="19"/>
      <c r="K164" s="19"/>
      <c r="L164" s="19"/>
      <c r="M164" s="19"/>
      <c r="N164" s="292" t="s">
        <v>4282</v>
      </c>
    </row>
    <row r="165" spans="1:14" s="23" customFormat="1" ht="21" x14ac:dyDescent="0.35">
      <c r="A165" s="58">
        <f t="shared" si="3"/>
        <v>160</v>
      </c>
      <c r="B165" s="24" t="s">
        <v>1894</v>
      </c>
      <c r="C165" s="19" t="s">
        <v>2114</v>
      </c>
      <c r="D165" s="28" t="s">
        <v>2115</v>
      </c>
      <c r="E165" s="25">
        <v>23797</v>
      </c>
      <c r="F165" s="26">
        <v>32589.78</v>
      </c>
      <c r="G165" s="22" t="s">
        <v>21</v>
      </c>
      <c r="H165" s="36" t="s">
        <v>4256</v>
      </c>
      <c r="I165" s="19"/>
      <c r="J165" s="19"/>
      <c r="K165" s="19"/>
      <c r="L165" s="19"/>
      <c r="M165" s="19"/>
      <c r="N165" s="292" t="s">
        <v>4277</v>
      </c>
    </row>
    <row r="166" spans="1:14" s="23" customFormat="1" ht="21" x14ac:dyDescent="0.35">
      <c r="A166" s="58">
        <f t="shared" si="3"/>
        <v>161</v>
      </c>
      <c r="B166" s="24" t="s">
        <v>1897</v>
      </c>
      <c r="C166" s="19" t="s">
        <v>2116</v>
      </c>
      <c r="D166" s="28" t="s">
        <v>2117</v>
      </c>
      <c r="E166" s="25">
        <v>23797</v>
      </c>
      <c r="F166" s="26">
        <v>33589.78</v>
      </c>
      <c r="G166" s="22" t="s">
        <v>21</v>
      </c>
      <c r="H166" s="36" t="s">
        <v>4256</v>
      </c>
      <c r="I166" s="19"/>
      <c r="J166" s="19"/>
      <c r="K166" s="19"/>
      <c r="L166" s="19"/>
      <c r="M166" s="19"/>
      <c r="N166" s="292" t="s">
        <v>4280</v>
      </c>
    </row>
    <row r="167" spans="1:14" s="23" customFormat="1" ht="21" x14ac:dyDescent="0.35">
      <c r="A167" s="58">
        <f t="shared" si="3"/>
        <v>162</v>
      </c>
      <c r="B167" s="24" t="s">
        <v>1900</v>
      </c>
      <c r="C167" s="19" t="s">
        <v>2118</v>
      </c>
      <c r="D167" s="28" t="s">
        <v>2119</v>
      </c>
      <c r="E167" s="25">
        <v>23797</v>
      </c>
      <c r="F167" s="26">
        <v>31789.78</v>
      </c>
      <c r="G167" s="22" t="s">
        <v>21</v>
      </c>
      <c r="H167" s="36" t="s">
        <v>4256</v>
      </c>
      <c r="I167" s="19"/>
      <c r="J167" s="19"/>
      <c r="K167" s="19"/>
      <c r="L167" s="19"/>
      <c r="M167" s="19"/>
      <c r="N167" s="292" t="s">
        <v>4277</v>
      </c>
    </row>
    <row r="168" spans="1:14" s="23" customFormat="1" ht="21" x14ac:dyDescent="0.35">
      <c r="A168" s="58">
        <f t="shared" si="3"/>
        <v>163</v>
      </c>
      <c r="B168" s="24" t="s">
        <v>1903</v>
      </c>
      <c r="C168" s="19" t="s">
        <v>2120</v>
      </c>
      <c r="D168" s="28" t="s">
        <v>2121</v>
      </c>
      <c r="E168" s="25">
        <v>23797</v>
      </c>
      <c r="F168" s="26">
        <v>29789.78</v>
      </c>
      <c r="G168" s="22" t="s">
        <v>21</v>
      </c>
      <c r="H168" s="36" t="s">
        <v>4256</v>
      </c>
      <c r="I168" s="19"/>
      <c r="J168" s="19"/>
      <c r="K168" s="19"/>
      <c r="L168" s="19"/>
      <c r="M168" s="19"/>
      <c r="N168" s="292" t="s">
        <v>4283</v>
      </c>
    </row>
    <row r="169" spans="1:14" s="23" customFormat="1" ht="21" x14ac:dyDescent="0.35">
      <c r="A169" s="58">
        <f t="shared" si="3"/>
        <v>164</v>
      </c>
      <c r="B169" s="24" t="s">
        <v>1906</v>
      </c>
      <c r="C169" s="19" t="s">
        <v>2122</v>
      </c>
      <c r="D169" s="28" t="s">
        <v>2123</v>
      </c>
      <c r="E169" s="25">
        <v>23797</v>
      </c>
      <c r="F169" s="26">
        <v>32289.78</v>
      </c>
      <c r="G169" s="22" t="s">
        <v>21</v>
      </c>
      <c r="H169" s="36" t="s">
        <v>4256</v>
      </c>
      <c r="I169" s="19"/>
      <c r="J169" s="19"/>
      <c r="K169" s="19"/>
      <c r="L169" s="19"/>
      <c r="M169" s="19"/>
      <c r="N169" s="292" t="s">
        <v>4282</v>
      </c>
    </row>
    <row r="170" spans="1:14" s="23" customFormat="1" ht="21" x14ac:dyDescent="0.35">
      <c r="A170" s="58">
        <f t="shared" si="3"/>
        <v>165</v>
      </c>
      <c r="B170" s="24" t="s">
        <v>1909</v>
      </c>
      <c r="C170" s="19" t="s">
        <v>2124</v>
      </c>
      <c r="D170" s="28" t="s">
        <v>2125</v>
      </c>
      <c r="E170" s="25">
        <v>23797</v>
      </c>
      <c r="F170" s="26">
        <v>33789.78</v>
      </c>
      <c r="G170" s="22" t="s">
        <v>21</v>
      </c>
      <c r="H170" s="36" t="s">
        <v>4256</v>
      </c>
      <c r="I170" s="19"/>
      <c r="J170" s="19"/>
      <c r="K170" s="19"/>
      <c r="L170" s="19"/>
      <c r="M170" s="19"/>
      <c r="N170" s="292" t="s">
        <v>4280</v>
      </c>
    </row>
    <row r="171" spans="1:14" s="23" customFormat="1" ht="21" x14ac:dyDescent="0.35">
      <c r="A171" s="58">
        <f t="shared" si="3"/>
        <v>166</v>
      </c>
      <c r="B171" s="24" t="s">
        <v>1912</v>
      </c>
      <c r="C171" s="19" t="s">
        <v>2126</v>
      </c>
      <c r="D171" s="28" t="s">
        <v>2127</v>
      </c>
      <c r="E171" s="25">
        <v>23797</v>
      </c>
      <c r="F171" s="26">
        <v>34289.78</v>
      </c>
      <c r="G171" s="22" t="s">
        <v>21</v>
      </c>
      <c r="H171" s="36" t="s">
        <v>4256</v>
      </c>
      <c r="I171" s="19"/>
      <c r="J171" s="19"/>
      <c r="K171" s="19"/>
      <c r="L171" s="19"/>
      <c r="M171" s="19"/>
      <c r="N171" s="292" t="s">
        <v>4279</v>
      </c>
    </row>
    <row r="172" spans="1:14" s="23" customFormat="1" ht="21" x14ac:dyDescent="0.35">
      <c r="A172" s="58">
        <f t="shared" si="3"/>
        <v>167</v>
      </c>
      <c r="B172" s="24" t="s">
        <v>1915</v>
      </c>
      <c r="C172" s="19" t="s">
        <v>2128</v>
      </c>
      <c r="D172" s="28" t="s">
        <v>2129</v>
      </c>
      <c r="E172" s="25">
        <v>23797</v>
      </c>
      <c r="F172" s="26">
        <v>33789.78</v>
      </c>
      <c r="G172" s="22" t="s">
        <v>21</v>
      </c>
      <c r="H172" s="36" t="s">
        <v>4256</v>
      </c>
      <c r="I172" s="19"/>
      <c r="J172" s="19"/>
      <c r="K172" s="19"/>
      <c r="L172" s="19"/>
      <c r="M172" s="19"/>
      <c r="N172" s="292" t="s">
        <v>4278</v>
      </c>
    </row>
    <row r="173" spans="1:14" s="23" customFormat="1" ht="21" x14ac:dyDescent="0.35">
      <c r="A173" s="58">
        <f t="shared" si="3"/>
        <v>168</v>
      </c>
      <c r="B173" s="24" t="s">
        <v>1918</v>
      </c>
      <c r="C173" s="19" t="s">
        <v>2130</v>
      </c>
      <c r="D173" s="28" t="s">
        <v>2131</v>
      </c>
      <c r="E173" s="25">
        <v>23797</v>
      </c>
      <c r="F173" s="26">
        <v>32789.78</v>
      </c>
      <c r="G173" s="22" t="s">
        <v>21</v>
      </c>
      <c r="H173" s="36" t="s">
        <v>4256</v>
      </c>
      <c r="I173" s="19"/>
      <c r="J173" s="19"/>
      <c r="K173" s="19"/>
      <c r="L173" s="19"/>
      <c r="M173" s="19"/>
      <c r="N173" s="292" t="s">
        <v>4279</v>
      </c>
    </row>
    <row r="174" spans="1:14" s="23" customFormat="1" ht="21" x14ac:dyDescent="0.35">
      <c r="A174" s="58">
        <f t="shared" si="3"/>
        <v>169</v>
      </c>
      <c r="B174" s="24" t="s">
        <v>1921</v>
      </c>
      <c r="C174" s="19" t="s">
        <v>2132</v>
      </c>
      <c r="D174" s="28" t="s">
        <v>2133</v>
      </c>
      <c r="E174" s="25">
        <v>23797</v>
      </c>
      <c r="F174" s="26">
        <v>34189.78</v>
      </c>
      <c r="G174" s="22" t="s">
        <v>21</v>
      </c>
      <c r="H174" s="36" t="s">
        <v>4256</v>
      </c>
      <c r="I174" s="19"/>
      <c r="J174" s="19"/>
      <c r="K174" s="19"/>
      <c r="L174" s="19"/>
      <c r="M174" s="19"/>
      <c r="N174" s="292" t="s">
        <v>4281</v>
      </c>
    </row>
    <row r="175" spans="1:14" s="23" customFormat="1" ht="21" x14ac:dyDescent="0.35">
      <c r="A175" s="58">
        <f t="shared" si="3"/>
        <v>170</v>
      </c>
      <c r="B175" s="24" t="s">
        <v>1879</v>
      </c>
      <c r="C175" s="19" t="s">
        <v>2134</v>
      </c>
      <c r="D175" s="28" t="s">
        <v>2135</v>
      </c>
      <c r="E175" s="25">
        <v>23797</v>
      </c>
      <c r="F175" s="26">
        <v>32589.78</v>
      </c>
      <c r="G175" s="22" t="s">
        <v>21</v>
      </c>
      <c r="H175" s="36" t="s">
        <v>4256</v>
      </c>
      <c r="I175" s="19"/>
      <c r="J175" s="19"/>
      <c r="K175" s="19"/>
      <c r="L175" s="19"/>
      <c r="M175" s="19"/>
      <c r="N175" s="292" t="s">
        <v>4284</v>
      </c>
    </row>
    <row r="176" spans="1:14" s="23" customFormat="1" ht="21" x14ac:dyDescent="0.35">
      <c r="A176" s="58">
        <f t="shared" si="3"/>
        <v>171</v>
      </c>
      <c r="B176" s="24" t="s">
        <v>1882</v>
      </c>
      <c r="C176" s="19" t="s">
        <v>2136</v>
      </c>
      <c r="D176" s="28" t="s">
        <v>2137</v>
      </c>
      <c r="E176" s="25">
        <v>23797</v>
      </c>
      <c r="F176" s="26">
        <v>32589.78</v>
      </c>
      <c r="G176" s="22" t="s">
        <v>21</v>
      </c>
      <c r="H176" s="36" t="s">
        <v>4256</v>
      </c>
      <c r="I176" s="19"/>
      <c r="J176" s="19"/>
      <c r="K176" s="19"/>
      <c r="L176" s="19"/>
      <c r="M176" s="19"/>
      <c r="N176" s="292" t="s">
        <v>4281</v>
      </c>
    </row>
    <row r="177" spans="1:14" s="23" customFormat="1" ht="21" x14ac:dyDescent="0.35">
      <c r="A177" s="58">
        <f t="shared" si="3"/>
        <v>172</v>
      </c>
      <c r="B177" s="24" t="s">
        <v>1885</v>
      </c>
      <c r="C177" s="19" t="s">
        <v>2138</v>
      </c>
      <c r="D177" s="28" t="s">
        <v>2139</v>
      </c>
      <c r="E177" s="25">
        <v>23797</v>
      </c>
      <c r="F177" s="26">
        <v>33189.78</v>
      </c>
      <c r="G177" s="22" t="s">
        <v>21</v>
      </c>
      <c r="H177" s="36" t="s">
        <v>4256</v>
      </c>
      <c r="I177" s="19"/>
      <c r="J177" s="19"/>
      <c r="K177" s="19"/>
      <c r="L177" s="19"/>
      <c r="M177" s="19"/>
      <c r="N177" s="292" t="s">
        <v>4285</v>
      </c>
    </row>
    <row r="178" spans="1:14" s="23" customFormat="1" ht="21" x14ac:dyDescent="0.35">
      <c r="A178" s="58">
        <f t="shared" si="3"/>
        <v>173</v>
      </c>
      <c r="B178" s="24" t="s">
        <v>1888</v>
      </c>
      <c r="C178" s="19" t="s">
        <v>2140</v>
      </c>
      <c r="D178" s="28" t="s">
        <v>2141</v>
      </c>
      <c r="E178" s="25">
        <v>23797</v>
      </c>
      <c r="F178" s="26">
        <v>32489.78</v>
      </c>
      <c r="G178" s="22" t="s">
        <v>21</v>
      </c>
      <c r="H178" s="36" t="s">
        <v>4256</v>
      </c>
      <c r="I178" s="19"/>
      <c r="J178" s="19"/>
      <c r="K178" s="19"/>
      <c r="L178" s="19"/>
      <c r="M178" s="19"/>
      <c r="N178" s="292" t="s">
        <v>4279</v>
      </c>
    </row>
    <row r="179" spans="1:14" s="23" customFormat="1" ht="21" x14ac:dyDescent="0.35">
      <c r="A179" s="58">
        <f t="shared" si="3"/>
        <v>174</v>
      </c>
      <c r="B179" s="24" t="s">
        <v>1891</v>
      </c>
      <c r="C179" s="19" t="s">
        <v>2142</v>
      </c>
      <c r="D179" s="28" t="s">
        <v>2143</v>
      </c>
      <c r="E179" s="25">
        <v>23797</v>
      </c>
      <c r="F179" s="26">
        <v>33189.78</v>
      </c>
      <c r="G179" s="22" t="s">
        <v>21</v>
      </c>
      <c r="H179" s="36" t="s">
        <v>4256</v>
      </c>
      <c r="I179" s="19"/>
      <c r="J179" s="19"/>
      <c r="K179" s="19"/>
      <c r="L179" s="19"/>
      <c r="M179" s="19"/>
      <c r="N179" s="292" t="s">
        <v>4286</v>
      </c>
    </row>
    <row r="180" spans="1:14" s="23" customFormat="1" ht="21" x14ac:dyDescent="0.35">
      <c r="A180" s="58">
        <f t="shared" si="3"/>
        <v>175</v>
      </c>
      <c r="B180" s="24" t="s">
        <v>1894</v>
      </c>
      <c r="C180" s="19" t="s">
        <v>2144</v>
      </c>
      <c r="D180" s="28" t="s">
        <v>2145</v>
      </c>
      <c r="E180" s="25">
        <v>23797</v>
      </c>
      <c r="F180" s="26">
        <v>32589.78</v>
      </c>
      <c r="G180" s="22" t="s">
        <v>21</v>
      </c>
      <c r="H180" s="36" t="s">
        <v>4256</v>
      </c>
      <c r="I180" s="19"/>
      <c r="J180" s="19"/>
      <c r="K180" s="19"/>
      <c r="L180" s="19"/>
      <c r="M180" s="19"/>
      <c r="N180" s="292" t="s">
        <v>4279</v>
      </c>
    </row>
    <row r="181" spans="1:14" s="23" customFormat="1" ht="21" x14ac:dyDescent="0.35">
      <c r="A181" s="58">
        <f t="shared" si="3"/>
        <v>176</v>
      </c>
      <c r="B181" s="24" t="s">
        <v>1897</v>
      </c>
      <c r="C181" s="19" t="s">
        <v>2146</v>
      </c>
      <c r="D181" s="28" t="s">
        <v>2147</v>
      </c>
      <c r="E181" s="25">
        <v>23797</v>
      </c>
      <c r="F181" s="26">
        <v>33589.78</v>
      </c>
      <c r="G181" s="22" t="s">
        <v>21</v>
      </c>
      <c r="H181" s="36" t="s">
        <v>4256</v>
      </c>
      <c r="I181" s="19"/>
      <c r="J181" s="19"/>
      <c r="K181" s="19"/>
      <c r="L181" s="19"/>
      <c r="M181" s="19"/>
      <c r="N181" s="292" t="s">
        <v>4285</v>
      </c>
    </row>
    <row r="182" spans="1:14" s="23" customFormat="1" ht="21" x14ac:dyDescent="0.35">
      <c r="A182" s="58">
        <f t="shared" si="3"/>
        <v>177</v>
      </c>
      <c r="B182" s="24" t="s">
        <v>1900</v>
      </c>
      <c r="C182" s="19" t="s">
        <v>2148</v>
      </c>
      <c r="D182" s="28" t="s">
        <v>2149</v>
      </c>
      <c r="E182" s="25">
        <v>23797</v>
      </c>
      <c r="F182" s="26">
        <v>31789.78</v>
      </c>
      <c r="G182" s="22" t="s">
        <v>21</v>
      </c>
      <c r="H182" s="36" t="s">
        <v>4256</v>
      </c>
      <c r="I182" s="19"/>
      <c r="J182" s="19"/>
      <c r="K182" s="19"/>
      <c r="L182" s="19"/>
      <c r="M182" s="19"/>
      <c r="N182" s="292" t="s">
        <v>4279</v>
      </c>
    </row>
    <row r="183" spans="1:14" s="23" customFormat="1" ht="21" x14ac:dyDescent="0.35">
      <c r="A183" s="58">
        <f t="shared" si="3"/>
        <v>178</v>
      </c>
      <c r="B183" s="24" t="s">
        <v>1903</v>
      </c>
      <c r="C183" s="19" t="s">
        <v>2150</v>
      </c>
      <c r="D183" s="28" t="s">
        <v>2151</v>
      </c>
      <c r="E183" s="25">
        <v>23797</v>
      </c>
      <c r="F183" s="26">
        <v>29789.78</v>
      </c>
      <c r="G183" s="22" t="s">
        <v>21</v>
      </c>
      <c r="H183" s="36" t="s">
        <v>4256</v>
      </c>
      <c r="I183" s="19"/>
      <c r="J183" s="19"/>
      <c r="K183" s="19"/>
      <c r="L183" s="19"/>
      <c r="M183" s="19"/>
      <c r="N183" s="292" t="s">
        <v>4283</v>
      </c>
    </row>
    <row r="184" spans="1:14" s="23" customFormat="1" ht="21" x14ac:dyDescent="0.35">
      <c r="A184" s="58">
        <f t="shared" si="3"/>
        <v>179</v>
      </c>
      <c r="B184" s="24" t="s">
        <v>1897</v>
      </c>
      <c r="C184" s="19" t="s">
        <v>2152</v>
      </c>
      <c r="D184" s="28" t="s">
        <v>2153</v>
      </c>
      <c r="E184" s="25">
        <v>23797</v>
      </c>
      <c r="F184" s="26">
        <v>33589.78</v>
      </c>
      <c r="G184" s="22" t="s">
        <v>21</v>
      </c>
      <c r="H184" s="36" t="s">
        <v>4256</v>
      </c>
      <c r="I184" s="19"/>
      <c r="J184" s="19"/>
      <c r="K184" s="19"/>
      <c r="L184" s="19"/>
      <c r="M184" s="19"/>
      <c r="N184" s="292" t="s">
        <v>4282</v>
      </c>
    </row>
    <row r="185" spans="1:14" s="23" customFormat="1" ht="21" x14ac:dyDescent="0.35">
      <c r="A185" s="58">
        <f t="shared" si="3"/>
        <v>180</v>
      </c>
      <c r="B185" s="24" t="s">
        <v>1909</v>
      </c>
      <c r="C185" s="19" t="s">
        <v>2154</v>
      </c>
      <c r="D185" s="28" t="s">
        <v>2155</v>
      </c>
      <c r="E185" s="25">
        <v>23797</v>
      </c>
      <c r="F185" s="26">
        <v>33789.78</v>
      </c>
      <c r="G185" s="22" t="s">
        <v>21</v>
      </c>
      <c r="H185" s="36" t="s">
        <v>4256</v>
      </c>
      <c r="I185" s="19"/>
      <c r="J185" s="19"/>
      <c r="K185" s="19"/>
      <c r="L185" s="19"/>
      <c r="M185" s="19"/>
      <c r="N185" s="292" t="s">
        <v>4282</v>
      </c>
    </row>
    <row r="186" spans="1:14" s="23" customFormat="1" ht="21" x14ac:dyDescent="0.35">
      <c r="A186" s="58">
        <f t="shared" si="3"/>
        <v>181</v>
      </c>
      <c r="B186" s="24" t="s">
        <v>1912</v>
      </c>
      <c r="C186" s="19" t="s">
        <v>2156</v>
      </c>
      <c r="D186" s="28" t="s">
        <v>2157</v>
      </c>
      <c r="E186" s="25">
        <v>23797</v>
      </c>
      <c r="F186" s="26">
        <v>34289.78</v>
      </c>
      <c r="G186" s="22" t="s">
        <v>21</v>
      </c>
      <c r="H186" s="36" t="s">
        <v>4256</v>
      </c>
      <c r="I186" s="19"/>
      <c r="J186" s="19"/>
      <c r="K186" s="19"/>
      <c r="L186" s="19"/>
      <c r="M186" s="19"/>
      <c r="N186" s="292" t="s">
        <v>4281</v>
      </c>
    </row>
    <row r="187" spans="1:14" s="23" customFormat="1" ht="21" x14ac:dyDescent="0.35">
      <c r="A187" s="58">
        <f t="shared" si="3"/>
        <v>182</v>
      </c>
      <c r="B187" s="24" t="s">
        <v>1915</v>
      </c>
      <c r="C187" s="19" t="s">
        <v>2158</v>
      </c>
      <c r="D187" s="28" t="s">
        <v>2159</v>
      </c>
      <c r="E187" s="25">
        <v>23797</v>
      </c>
      <c r="F187" s="26">
        <v>33789.78</v>
      </c>
      <c r="G187" s="22" t="s">
        <v>21</v>
      </c>
      <c r="H187" s="36" t="s">
        <v>4256</v>
      </c>
      <c r="I187" s="19"/>
      <c r="J187" s="19"/>
      <c r="K187" s="19"/>
      <c r="L187" s="19"/>
      <c r="M187" s="19"/>
      <c r="N187" s="292" t="s">
        <v>4280</v>
      </c>
    </row>
    <row r="188" spans="1:14" s="23" customFormat="1" ht="21" x14ac:dyDescent="0.35">
      <c r="A188" s="58">
        <f t="shared" si="3"/>
        <v>183</v>
      </c>
      <c r="B188" s="24" t="s">
        <v>1918</v>
      </c>
      <c r="C188" s="19" t="s">
        <v>2160</v>
      </c>
      <c r="D188" s="28" t="s">
        <v>2161</v>
      </c>
      <c r="E188" s="25">
        <v>23797</v>
      </c>
      <c r="F188" s="26">
        <v>32789.78</v>
      </c>
      <c r="G188" s="22" t="s">
        <v>21</v>
      </c>
      <c r="H188" s="36" t="s">
        <v>4256</v>
      </c>
      <c r="I188" s="19"/>
      <c r="J188" s="19"/>
      <c r="K188" s="19"/>
      <c r="L188" s="19"/>
      <c r="M188" s="19"/>
      <c r="N188" s="292" t="s">
        <v>4281</v>
      </c>
    </row>
    <row r="189" spans="1:14" s="23" customFormat="1" ht="21" x14ac:dyDescent="0.35">
      <c r="A189" s="58">
        <f t="shared" si="3"/>
        <v>184</v>
      </c>
      <c r="B189" s="24" t="s">
        <v>1921</v>
      </c>
      <c r="C189" s="19" t="s">
        <v>2162</v>
      </c>
      <c r="D189" s="28" t="s">
        <v>2163</v>
      </c>
      <c r="E189" s="25">
        <v>23797</v>
      </c>
      <c r="F189" s="26">
        <v>34189.78</v>
      </c>
      <c r="G189" s="22" t="s">
        <v>21</v>
      </c>
      <c r="H189" s="36" t="s">
        <v>4256</v>
      </c>
      <c r="I189" s="19"/>
      <c r="J189" s="19"/>
      <c r="K189" s="19"/>
      <c r="L189" s="19"/>
      <c r="M189" s="19"/>
      <c r="N189" s="292" t="s">
        <v>4283</v>
      </c>
    </row>
    <row r="190" spans="1:14" s="23" customFormat="1" ht="21" x14ac:dyDescent="0.35">
      <c r="A190" s="58">
        <f t="shared" si="3"/>
        <v>185</v>
      </c>
      <c r="B190" s="24" t="s">
        <v>1879</v>
      </c>
      <c r="C190" s="19" t="s">
        <v>2164</v>
      </c>
      <c r="D190" s="28" t="s">
        <v>2165</v>
      </c>
      <c r="E190" s="25">
        <v>23797</v>
      </c>
      <c r="F190" s="26">
        <v>32589.78</v>
      </c>
      <c r="G190" s="22" t="s">
        <v>21</v>
      </c>
      <c r="H190" s="36" t="s">
        <v>4256</v>
      </c>
      <c r="I190" s="19"/>
      <c r="J190" s="19"/>
      <c r="K190" s="19"/>
      <c r="L190" s="19"/>
      <c r="M190" s="19"/>
      <c r="N190" s="292" t="s">
        <v>4287</v>
      </c>
    </row>
    <row r="191" spans="1:14" s="23" customFormat="1" ht="21" x14ac:dyDescent="0.35">
      <c r="A191" s="58">
        <f t="shared" si="3"/>
        <v>186</v>
      </c>
      <c r="B191" s="24" t="s">
        <v>1882</v>
      </c>
      <c r="C191" s="19" t="s">
        <v>2166</v>
      </c>
      <c r="D191" s="28" t="s">
        <v>2167</v>
      </c>
      <c r="E191" s="25">
        <v>23797</v>
      </c>
      <c r="F191" s="26">
        <v>32589.78</v>
      </c>
      <c r="G191" s="22" t="s">
        <v>21</v>
      </c>
      <c r="H191" s="36" t="s">
        <v>4256</v>
      </c>
      <c r="I191" s="19"/>
      <c r="J191" s="19"/>
      <c r="K191" s="19"/>
      <c r="L191" s="19"/>
      <c r="M191" s="19"/>
      <c r="N191" s="292" t="s">
        <v>4283</v>
      </c>
    </row>
    <row r="192" spans="1:14" s="23" customFormat="1" ht="21" x14ac:dyDescent="0.35">
      <c r="A192" s="58">
        <f t="shared" si="3"/>
        <v>187</v>
      </c>
      <c r="B192" s="24" t="s">
        <v>1885</v>
      </c>
      <c r="C192" s="19" t="s">
        <v>2168</v>
      </c>
      <c r="D192" s="28" t="s">
        <v>2169</v>
      </c>
      <c r="E192" s="25">
        <v>23797</v>
      </c>
      <c r="F192" s="26">
        <v>33189.78</v>
      </c>
      <c r="G192" s="22" t="s">
        <v>21</v>
      </c>
      <c r="H192" s="36" t="s">
        <v>4256</v>
      </c>
      <c r="I192" s="19"/>
      <c r="J192" s="19"/>
      <c r="K192" s="19"/>
      <c r="L192" s="19"/>
      <c r="M192" s="19"/>
      <c r="N192" s="292" t="s">
        <v>4287</v>
      </c>
    </row>
    <row r="193" spans="1:14" s="23" customFormat="1" ht="21" x14ac:dyDescent="0.35">
      <c r="A193" s="58">
        <f t="shared" si="3"/>
        <v>188</v>
      </c>
      <c r="B193" s="24" t="s">
        <v>1888</v>
      </c>
      <c r="C193" s="19" t="s">
        <v>2170</v>
      </c>
      <c r="D193" s="28" t="s">
        <v>2171</v>
      </c>
      <c r="E193" s="25">
        <v>23797</v>
      </c>
      <c r="F193" s="26">
        <v>32489.78</v>
      </c>
      <c r="G193" s="22" t="s">
        <v>21</v>
      </c>
      <c r="H193" s="36" t="s">
        <v>4256</v>
      </c>
      <c r="I193" s="19"/>
      <c r="J193" s="19"/>
      <c r="K193" s="19"/>
      <c r="L193" s="19"/>
      <c r="M193" s="19"/>
      <c r="N193" s="292" t="s">
        <v>4281</v>
      </c>
    </row>
    <row r="194" spans="1:14" s="23" customFormat="1" ht="21" x14ac:dyDescent="0.35">
      <c r="A194" s="58">
        <f t="shared" si="3"/>
        <v>189</v>
      </c>
      <c r="B194" s="24" t="s">
        <v>1891</v>
      </c>
      <c r="C194" s="19" t="s">
        <v>2172</v>
      </c>
      <c r="D194" s="28" t="s">
        <v>2173</v>
      </c>
      <c r="E194" s="25">
        <v>23797</v>
      </c>
      <c r="F194" s="26">
        <v>33189.78</v>
      </c>
      <c r="G194" s="22" t="s">
        <v>21</v>
      </c>
      <c r="H194" s="36" t="s">
        <v>4256</v>
      </c>
      <c r="I194" s="19"/>
      <c r="J194" s="19"/>
      <c r="K194" s="19"/>
      <c r="L194" s="19"/>
      <c r="M194" s="19"/>
      <c r="N194" s="292" t="s">
        <v>4287</v>
      </c>
    </row>
    <row r="195" spans="1:14" s="23" customFormat="1" ht="21" x14ac:dyDescent="0.35">
      <c r="A195" s="58">
        <f t="shared" si="3"/>
        <v>190</v>
      </c>
      <c r="B195" s="24" t="s">
        <v>1894</v>
      </c>
      <c r="C195" s="19" t="s">
        <v>2174</v>
      </c>
      <c r="D195" s="28" t="s">
        <v>2175</v>
      </c>
      <c r="E195" s="25">
        <v>23797</v>
      </c>
      <c r="F195" s="26">
        <v>32589.78</v>
      </c>
      <c r="G195" s="22" t="s">
        <v>21</v>
      </c>
      <c r="H195" s="36" t="s">
        <v>4256</v>
      </c>
      <c r="I195" s="19"/>
      <c r="J195" s="19"/>
      <c r="K195" s="19"/>
      <c r="L195" s="19"/>
      <c r="M195" s="19"/>
      <c r="N195" s="292" t="s">
        <v>4281</v>
      </c>
    </row>
    <row r="196" spans="1:14" s="23" customFormat="1" ht="21" x14ac:dyDescent="0.35">
      <c r="A196" s="58">
        <f t="shared" si="3"/>
        <v>191</v>
      </c>
      <c r="B196" s="24" t="s">
        <v>1897</v>
      </c>
      <c r="C196" s="19" t="s">
        <v>2176</v>
      </c>
      <c r="D196" s="28" t="s">
        <v>2177</v>
      </c>
      <c r="E196" s="25">
        <v>23797</v>
      </c>
      <c r="F196" s="26">
        <v>33589.78</v>
      </c>
      <c r="G196" s="22" t="s">
        <v>21</v>
      </c>
      <c r="H196" s="36" t="s">
        <v>4256</v>
      </c>
      <c r="I196" s="19"/>
      <c r="J196" s="19"/>
      <c r="K196" s="19"/>
      <c r="L196" s="19"/>
      <c r="M196" s="19"/>
      <c r="N196" s="292" t="s">
        <v>4287</v>
      </c>
    </row>
    <row r="197" spans="1:14" s="23" customFormat="1" ht="21" x14ac:dyDescent="0.35">
      <c r="A197" s="58">
        <f t="shared" si="3"/>
        <v>192</v>
      </c>
      <c r="B197" s="24" t="s">
        <v>1900</v>
      </c>
      <c r="C197" s="19" t="s">
        <v>2178</v>
      </c>
      <c r="D197" s="28" t="s">
        <v>2179</v>
      </c>
      <c r="E197" s="25">
        <v>23797</v>
      </c>
      <c r="F197" s="26">
        <v>31789.78</v>
      </c>
      <c r="G197" s="22" t="s">
        <v>21</v>
      </c>
      <c r="H197" s="36" t="s">
        <v>4256</v>
      </c>
      <c r="I197" s="19"/>
      <c r="J197" s="19"/>
      <c r="K197" s="19"/>
      <c r="L197" s="19"/>
      <c r="M197" s="19"/>
      <c r="N197" s="292" t="s">
        <v>4281</v>
      </c>
    </row>
    <row r="198" spans="1:14" s="23" customFormat="1" ht="21" x14ac:dyDescent="0.35">
      <c r="A198" s="58">
        <f t="shared" si="3"/>
        <v>193</v>
      </c>
      <c r="B198" s="27" t="s">
        <v>2180</v>
      </c>
      <c r="C198" s="19" t="s">
        <v>2181</v>
      </c>
      <c r="D198" s="28" t="s">
        <v>2182</v>
      </c>
      <c r="E198" s="25">
        <v>23797</v>
      </c>
      <c r="F198" s="26">
        <v>32489.78</v>
      </c>
      <c r="G198" s="22" t="s">
        <v>21</v>
      </c>
      <c r="H198" s="36" t="s">
        <v>4256</v>
      </c>
      <c r="I198" s="19"/>
      <c r="J198" s="19"/>
      <c r="K198" s="19"/>
      <c r="L198" s="19"/>
      <c r="M198" s="19"/>
      <c r="N198" s="292" t="s">
        <v>4287</v>
      </c>
    </row>
    <row r="199" spans="1:14" s="23" customFormat="1" ht="21" x14ac:dyDescent="0.35">
      <c r="A199" s="58">
        <f t="shared" si="3"/>
        <v>194</v>
      </c>
      <c r="B199" s="24" t="s">
        <v>1906</v>
      </c>
      <c r="C199" s="19" t="s">
        <v>2183</v>
      </c>
      <c r="D199" s="28" t="s">
        <v>2184</v>
      </c>
      <c r="E199" s="25">
        <v>23797</v>
      </c>
      <c r="F199" s="26">
        <v>32289.78</v>
      </c>
      <c r="G199" s="22" t="s">
        <v>21</v>
      </c>
      <c r="H199" s="36" t="s">
        <v>4256</v>
      </c>
      <c r="I199" s="19"/>
      <c r="J199" s="19"/>
      <c r="K199" s="19"/>
      <c r="L199" s="19"/>
      <c r="M199" s="19"/>
      <c r="N199" s="292" t="s">
        <v>4284</v>
      </c>
    </row>
    <row r="200" spans="1:14" s="23" customFormat="1" ht="21" x14ac:dyDescent="0.35">
      <c r="A200" s="58">
        <f t="shared" si="3"/>
        <v>195</v>
      </c>
      <c r="B200" s="24" t="s">
        <v>1909</v>
      </c>
      <c r="C200" s="19" t="s">
        <v>2185</v>
      </c>
      <c r="D200" s="28" t="s">
        <v>2186</v>
      </c>
      <c r="E200" s="25">
        <v>23797</v>
      </c>
      <c r="F200" s="26">
        <v>33789.78</v>
      </c>
      <c r="G200" s="22" t="s">
        <v>21</v>
      </c>
      <c r="H200" s="36" t="s">
        <v>4256</v>
      </c>
      <c r="I200" s="19"/>
      <c r="J200" s="19"/>
      <c r="K200" s="19"/>
      <c r="L200" s="19"/>
      <c r="M200" s="19"/>
      <c r="N200" s="292" t="s">
        <v>4284</v>
      </c>
    </row>
    <row r="201" spans="1:14" s="23" customFormat="1" ht="21" x14ac:dyDescent="0.35">
      <c r="A201" s="58">
        <f t="shared" si="3"/>
        <v>196</v>
      </c>
      <c r="B201" s="24" t="s">
        <v>1912</v>
      </c>
      <c r="C201" s="19" t="s">
        <v>2187</v>
      </c>
      <c r="D201" s="28" t="s">
        <v>2188</v>
      </c>
      <c r="E201" s="25">
        <v>23797</v>
      </c>
      <c r="F201" s="26">
        <v>34289.78</v>
      </c>
      <c r="G201" s="22" t="s">
        <v>21</v>
      </c>
      <c r="H201" s="36" t="s">
        <v>4256</v>
      </c>
      <c r="I201" s="19"/>
      <c r="J201" s="19"/>
      <c r="K201" s="19"/>
      <c r="L201" s="19"/>
      <c r="M201" s="19"/>
      <c r="N201" s="292" t="s">
        <v>4283</v>
      </c>
    </row>
    <row r="202" spans="1:14" s="23" customFormat="1" ht="21" x14ac:dyDescent="0.35">
      <c r="A202" s="58">
        <f t="shared" si="3"/>
        <v>197</v>
      </c>
      <c r="B202" s="24" t="s">
        <v>1915</v>
      </c>
      <c r="C202" s="19" t="s">
        <v>2189</v>
      </c>
      <c r="D202" s="28" t="s">
        <v>2190</v>
      </c>
      <c r="E202" s="25">
        <v>23797</v>
      </c>
      <c r="F202" s="26">
        <v>33789.78</v>
      </c>
      <c r="G202" s="22" t="s">
        <v>21</v>
      </c>
      <c r="H202" s="36" t="s">
        <v>4256</v>
      </c>
      <c r="I202" s="19"/>
      <c r="J202" s="19"/>
      <c r="K202" s="19"/>
      <c r="L202" s="19"/>
      <c r="M202" s="19"/>
      <c r="N202" s="292" t="s">
        <v>4282</v>
      </c>
    </row>
    <row r="203" spans="1:14" s="23" customFormat="1" ht="21" x14ac:dyDescent="0.35">
      <c r="A203" s="58">
        <f t="shared" si="3"/>
        <v>198</v>
      </c>
      <c r="B203" s="24" t="s">
        <v>1918</v>
      </c>
      <c r="C203" s="19" t="s">
        <v>2191</v>
      </c>
      <c r="D203" s="28" t="s">
        <v>2192</v>
      </c>
      <c r="E203" s="25">
        <v>23797</v>
      </c>
      <c r="F203" s="26">
        <v>32789.78</v>
      </c>
      <c r="G203" s="22" t="s">
        <v>21</v>
      </c>
      <c r="H203" s="36" t="s">
        <v>4256</v>
      </c>
      <c r="I203" s="19"/>
      <c r="J203" s="19"/>
      <c r="K203" s="19"/>
      <c r="L203" s="19"/>
      <c r="M203" s="19"/>
      <c r="N203" s="292" t="s">
        <v>4283</v>
      </c>
    </row>
    <row r="204" spans="1:14" s="23" customFormat="1" ht="21" x14ac:dyDescent="0.35">
      <c r="A204" s="58">
        <f t="shared" si="3"/>
        <v>199</v>
      </c>
      <c r="B204" s="24" t="s">
        <v>1921</v>
      </c>
      <c r="C204" s="19" t="s">
        <v>2193</v>
      </c>
      <c r="D204" s="28" t="s">
        <v>2194</v>
      </c>
      <c r="E204" s="25">
        <v>23797</v>
      </c>
      <c r="F204" s="26">
        <v>34189.78</v>
      </c>
      <c r="G204" s="22" t="s">
        <v>21</v>
      </c>
      <c r="H204" s="36" t="s">
        <v>4256</v>
      </c>
      <c r="I204" s="19"/>
      <c r="J204" s="19"/>
      <c r="K204" s="19"/>
      <c r="L204" s="19"/>
      <c r="M204" s="19"/>
      <c r="N204" s="292" t="s">
        <v>4288</v>
      </c>
    </row>
    <row r="205" spans="1:14" s="23" customFormat="1" ht="21" x14ac:dyDescent="0.35">
      <c r="A205" s="58">
        <f t="shared" si="3"/>
        <v>200</v>
      </c>
      <c r="B205" s="24" t="s">
        <v>1879</v>
      </c>
      <c r="C205" s="19" t="s">
        <v>2195</v>
      </c>
      <c r="D205" s="28" t="s">
        <v>2196</v>
      </c>
      <c r="E205" s="25">
        <v>23797</v>
      </c>
      <c r="F205" s="26">
        <v>32589.78</v>
      </c>
      <c r="G205" s="22" t="s">
        <v>21</v>
      </c>
      <c r="H205" s="36" t="s">
        <v>4256</v>
      </c>
      <c r="I205" s="19"/>
      <c r="J205" s="19"/>
      <c r="K205" s="19"/>
      <c r="L205" s="19"/>
      <c r="M205" s="19"/>
      <c r="N205" s="292" t="s">
        <v>4289</v>
      </c>
    </row>
    <row r="206" spans="1:14" s="23" customFormat="1" ht="21" x14ac:dyDescent="0.35">
      <c r="A206" s="58">
        <f t="shared" si="3"/>
        <v>201</v>
      </c>
      <c r="B206" s="24" t="s">
        <v>1882</v>
      </c>
      <c r="C206" s="19" t="s">
        <v>2197</v>
      </c>
      <c r="D206" s="28" t="s">
        <v>2198</v>
      </c>
      <c r="E206" s="25">
        <v>23797</v>
      </c>
      <c r="F206" s="26">
        <v>32589.78</v>
      </c>
      <c r="G206" s="22" t="s">
        <v>21</v>
      </c>
      <c r="H206" s="36" t="s">
        <v>4256</v>
      </c>
      <c r="I206" s="19"/>
      <c r="J206" s="19"/>
      <c r="K206" s="19"/>
      <c r="L206" s="19"/>
      <c r="M206" s="19"/>
      <c r="N206" s="292" t="s">
        <v>4287</v>
      </c>
    </row>
    <row r="207" spans="1:14" s="23" customFormat="1" ht="21" x14ac:dyDescent="0.35">
      <c r="A207" s="58">
        <f t="shared" ref="A207:A270" si="4">ROW()-ROW($A$6)+1</f>
        <v>202</v>
      </c>
      <c r="B207" s="24" t="s">
        <v>1885</v>
      </c>
      <c r="C207" s="19" t="s">
        <v>2199</v>
      </c>
      <c r="D207" s="28" t="s">
        <v>2200</v>
      </c>
      <c r="E207" s="25">
        <v>23797</v>
      </c>
      <c r="F207" s="26">
        <v>33189.78</v>
      </c>
      <c r="G207" s="22" t="s">
        <v>21</v>
      </c>
      <c r="H207" s="36" t="s">
        <v>4256</v>
      </c>
      <c r="I207" s="19"/>
      <c r="J207" s="19"/>
      <c r="K207" s="19"/>
      <c r="L207" s="19"/>
      <c r="M207" s="19"/>
      <c r="N207" s="292" t="s">
        <v>4289</v>
      </c>
    </row>
    <row r="208" spans="1:14" s="23" customFormat="1" ht="21" x14ac:dyDescent="0.35">
      <c r="A208" s="58">
        <f t="shared" si="4"/>
        <v>203</v>
      </c>
      <c r="B208" s="24" t="s">
        <v>1888</v>
      </c>
      <c r="C208" s="19" t="s">
        <v>2201</v>
      </c>
      <c r="D208" s="28" t="s">
        <v>2202</v>
      </c>
      <c r="E208" s="25">
        <v>23797</v>
      </c>
      <c r="F208" s="26">
        <v>32489.78</v>
      </c>
      <c r="G208" s="22" t="s">
        <v>21</v>
      </c>
      <c r="H208" s="36" t="s">
        <v>4256</v>
      </c>
      <c r="I208" s="19"/>
      <c r="J208" s="19"/>
      <c r="K208" s="19"/>
      <c r="L208" s="19"/>
      <c r="M208" s="19"/>
      <c r="N208" s="292" t="s">
        <v>4288</v>
      </c>
    </row>
    <row r="209" spans="1:14" s="23" customFormat="1" ht="21" x14ac:dyDescent="0.35">
      <c r="A209" s="58">
        <f t="shared" si="4"/>
        <v>204</v>
      </c>
      <c r="B209" s="24" t="s">
        <v>1891</v>
      </c>
      <c r="C209" s="19" t="s">
        <v>2203</v>
      </c>
      <c r="D209" s="28" t="s">
        <v>2204</v>
      </c>
      <c r="E209" s="25">
        <v>23797</v>
      </c>
      <c r="F209" s="26">
        <v>33189.78</v>
      </c>
      <c r="G209" s="22" t="s">
        <v>21</v>
      </c>
      <c r="H209" s="36" t="s">
        <v>4256</v>
      </c>
      <c r="I209" s="19"/>
      <c r="J209" s="19"/>
      <c r="K209" s="19"/>
      <c r="L209" s="19"/>
      <c r="M209" s="19"/>
      <c r="N209" s="292" t="s">
        <v>4289</v>
      </c>
    </row>
    <row r="210" spans="1:14" s="23" customFormat="1" ht="21" x14ac:dyDescent="0.35">
      <c r="A210" s="58">
        <f t="shared" si="4"/>
        <v>205</v>
      </c>
      <c r="B210" s="24" t="s">
        <v>1894</v>
      </c>
      <c r="C210" s="19" t="s">
        <v>2205</v>
      </c>
      <c r="D210" s="28" t="s">
        <v>2206</v>
      </c>
      <c r="E210" s="25">
        <v>23797</v>
      </c>
      <c r="F210" s="26">
        <v>32589.78</v>
      </c>
      <c r="G210" s="22" t="s">
        <v>21</v>
      </c>
      <c r="H210" s="36" t="s">
        <v>4256</v>
      </c>
      <c r="I210" s="19"/>
      <c r="J210" s="19"/>
      <c r="K210" s="19"/>
      <c r="L210" s="19"/>
      <c r="M210" s="19"/>
      <c r="N210" s="292" t="s">
        <v>4283</v>
      </c>
    </row>
    <row r="211" spans="1:14" s="23" customFormat="1" ht="21" x14ac:dyDescent="0.35">
      <c r="A211" s="58">
        <f t="shared" si="4"/>
        <v>206</v>
      </c>
      <c r="B211" s="24" t="s">
        <v>1897</v>
      </c>
      <c r="C211" s="19" t="s">
        <v>2207</v>
      </c>
      <c r="D211" s="28" t="s">
        <v>2208</v>
      </c>
      <c r="E211" s="25">
        <v>23797</v>
      </c>
      <c r="F211" s="26">
        <v>33589.78</v>
      </c>
      <c r="G211" s="22" t="s">
        <v>21</v>
      </c>
      <c r="H211" s="36" t="s">
        <v>4256</v>
      </c>
      <c r="I211" s="19"/>
      <c r="J211" s="19"/>
      <c r="K211" s="19"/>
      <c r="L211" s="19"/>
      <c r="M211" s="19"/>
      <c r="N211" s="292" t="s">
        <v>4289</v>
      </c>
    </row>
    <row r="212" spans="1:14" s="23" customFormat="1" ht="21" x14ac:dyDescent="0.35">
      <c r="A212" s="58">
        <f t="shared" si="4"/>
        <v>207</v>
      </c>
      <c r="B212" s="24" t="s">
        <v>1900</v>
      </c>
      <c r="C212" s="19" t="s">
        <v>2209</v>
      </c>
      <c r="D212" s="28" t="s">
        <v>2210</v>
      </c>
      <c r="E212" s="25">
        <v>23797</v>
      </c>
      <c r="F212" s="26">
        <v>31789.78</v>
      </c>
      <c r="G212" s="22" t="s">
        <v>21</v>
      </c>
      <c r="H212" s="36" t="s">
        <v>4256</v>
      </c>
      <c r="I212" s="19"/>
      <c r="J212" s="19"/>
      <c r="K212" s="19"/>
      <c r="L212" s="19"/>
      <c r="M212" s="19"/>
      <c r="N212" s="292" t="s">
        <v>4283</v>
      </c>
    </row>
    <row r="213" spans="1:14" s="23" customFormat="1" ht="21" x14ac:dyDescent="0.35">
      <c r="A213" s="58">
        <f t="shared" si="4"/>
        <v>208</v>
      </c>
      <c r="B213" s="24" t="s">
        <v>1903</v>
      </c>
      <c r="C213" s="19" t="s">
        <v>2211</v>
      </c>
      <c r="D213" s="28" t="s">
        <v>2212</v>
      </c>
      <c r="E213" s="25">
        <v>23797</v>
      </c>
      <c r="F213" s="26">
        <v>29789.78</v>
      </c>
      <c r="G213" s="22" t="s">
        <v>21</v>
      </c>
      <c r="H213" s="36" t="s">
        <v>4256</v>
      </c>
      <c r="I213" s="19"/>
      <c r="J213" s="19"/>
      <c r="K213" s="19"/>
      <c r="L213" s="19"/>
      <c r="M213" s="19"/>
      <c r="N213" s="292" t="s">
        <v>4288</v>
      </c>
    </row>
    <row r="214" spans="1:14" s="23" customFormat="1" ht="21" x14ac:dyDescent="0.35">
      <c r="A214" s="58">
        <f t="shared" si="4"/>
        <v>209</v>
      </c>
      <c r="B214" s="24" t="s">
        <v>1906</v>
      </c>
      <c r="C214" s="19" t="s">
        <v>2213</v>
      </c>
      <c r="D214" s="28" t="s">
        <v>2214</v>
      </c>
      <c r="E214" s="25">
        <v>23797</v>
      </c>
      <c r="F214" s="26">
        <v>32289.78</v>
      </c>
      <c r="G214" s="22" t="s">
        <v>21</v>
      </c>
      <c r="H214" s="36" t="s">
        <v>4256</v>
      </c>
      <c r="I214" s="19"/>
      <c r="J214" s="19"/>
      <c r="K214" s="19"/>
      <c r="L214" s="19"/>
      <c r="M214" s="19"/>
      <c r="N214" s="292" t="s">
        <v>4287</v>
      </c>
    </row>
    <row r="215" spans="1:14" s="23" customFormat="1" ht="21" x14ac:dyDescent="0.35">
      <c r="A215" s="58">
        <f t="shared" si="4"/>
        <v>210</v>
      </c>
      <c r="B215" s="24" t="s">
        <v>1909</v>
      </c>
      <c r="C215" s="19" t="s">
        <v>2215</v>
      </c>
      <c r="D215" s="28" t="s">
        <v>2216</v>
      </c>
      <c r="E215" s="25">
        <v>23797</v>
      </c>
      <c r="F215" s="26">
        <v>33789.78</v>
      </c>
      <c r="G215" s="22" t="s">
        <v>21</v>
      </c>
      <c r="H215" s="36" t="s">
        <v>4256</v>
      </c>
      <c r="I215" s="19"/>
      <c r="J215" s="19"/>
      <c r="K215" s="19"/>
      <c r="L215" s="19"/>
      <c r="M215" s="19"/>
      <c r="N215" s="292" t="s">
        <v>4287</v>
      </c>
    </row>
    <row r="216" spans="1:14" s="23" customFormat="1" ht="21" x14ac:dyDescent="0.35">
      <c r="A216" s="58">
        <f t="shared" si="4"/>
        <v>211</v>
      </c>
      <c r="B216" s="24" t="s">
        <v>1912</v>
      </c>
      <c r="C216" s="19" t="s">
        <v>2217</v>
      </c>
      <c r="D216" s="28" t="s">
        <v>2218</v>
      </c>
      <c r="E216" s="25">
        <v>23797</v>
      </c>
      <c r="F216" s="26">
        <v>34289.78</v>
      </c>
      <c r="G216" s="22" t="s">
        <v>21</v>
      </c>
      <c r="H216" s="36" t="s">
        <v>4256</v>
      </c>
      <c r="I216" s="19"/>
      <c r="J216" s="19"/>
      <c r="K216" s="19"/>
      <c r="L216" s="19"/>
      <c r="M216" s="19"/>
      <c r="N216" s="292" t="s">
        <v>4287</v>
      </c>
    </row>
    <row r="217" spans="1:14" s="23" customFormat="1" ht="21" x14ac:dyDescent="0.35">
      <c r="A217" s="58">
        <f t="shared" si="4"/>
        <v>212</v>
      </c>
      <c r="B217" s="24" t="s">
        <v>1915</v>
      </c>
      <c r="C217" s="19" t="s">
        <v>2219</v>
      </c>
      <c r="D217" s="28" t="s">
        <v>2220</v>
      </c>
      <c r="E217" s="25">
        <v>23797</v>
      </c>
      <c r="F217" s="26">
        <v>33789.78</v>
      </c>
      <c r="G217" s="22" t="s">
        <v>21</v>
      </c>
      <c r="H217" s="36" t="s">
        <v>4256</v>
      </c>
      <c r="I217" s="19"/>
      <c r="J217" s="19"/>
      <c r="K217" s="19"/>
      <c r="L217" s="19"/>
      <c r="M217" s="19"/>
      <c r="N217" s="292" t="s">
        <v>4285</v>
      </c>
    </row>
    <row r="218" spans="1:14" s="23" customFormat="1" ht="21" x14ac:dyDescent="0.35">
      <c r="A218" s="58">
        <f t="shared" si="4"/>
        <v>213</v>
      </c>
      <c r="B218" s="24" t="s">
        <v>1918</v>
      </c>
      <c r="C218" s="19" t="s">
        <v>2221</v>
      </c>
      <c r="D218" s="28" t="s">
        <v>2222</v>
      </c>
      <c r="E218" s="25">
        <v>23797</v>
      </c>
      <c r="F218" s="26">
        <v>32789.78</v>
      </c>
      <c r="G218" s="22" t="s">
        <v>21</v>
      </c>
      <c r="H218" s="36" t="s">
        <v>4256</v>
      </c>
      <c r="I218" s="19"/>
      <c r="J218" s="19"/>
      <c r="K218" s="19"/>
      <c r="L218" s="19"/>
      <c r="M218" s="19"/>
      <c r="N218" s="292" t="s">
        <v>4287</v>
      </c>
    </row>
    <row r="219" spans="1:14" s="23" customFormat="1" ht="21" x14ac:dyDescent="0.35">
      <c r="A219" s="58">
        <f t="shared" si="4"/>
        <v>214</v>
      </c>
      <c r="B219" s="24" t="s">
        <v>1921</v>
      </c>
      <c r="C219" s="19" t="s">
        <v>2223</v>
      </c>
      <c r="D219" s="28" t="s">
        <v>2224</v>
      </c>
      <c r="E219" s="25">
        <v>23797</v>
      </c>
      <c r="F219" s="26">
        <v>34189.78</v>
      </c>
      <c r="G219" s="22" t="s">
        <v>21</v>
      </c>
      <c r="H219" s="36" t="s">
        <v>4256</v>
      </c>
      <c r="I219" s="19"/>
      <c r="J219" s="19"/>
      <c r="K219" s="19"/>
      <c r="L219" s="19"/>
      <c r="M219" s="19"/>
      <c r="N219" s="292" t="s">
        <v>4290</v>
      </c>
    </row>
    <row r="220" spans="1:14" s="23" customFormat="1" ht="21" x14ac:dyDescent="0.35">
      <c r="A220" s="58">
        <f t="shared" si="4"/>
        <v>215</v>
      </c>
      <c r="B220" s="24" t="s">
        <v>1879</v>
      </c>
      <c r="C220" s="19" t="s">
        <v>2225</v>
      </c>
      <c r="D220" s="28" t="s">
        <v>2226</v>
      </c>
      <c r="E220" s="25">
        <v>23797</v>
      </c>
      <c r="F220" s="26">
        <v>32589.78</v>
      </c>
      <c r="G220" s="22" t="s">
        <v>21</v>
      </c>
      <c r="H220" s="36" t="s">
        <v>4256</v>
      </c>
      <c r="I220" s="19"/>
      <c r="J220" s="19"/>
      <c r="K220" s="19"/>
      <c r="L220" s="19"/>
      <c r="M220" s="19"/>
      <c r="N220" s="292" t="s">
        <v>4291</v>
      </c>
    </row>
    <row r="221" spans="1:14" s="23" customFormat="1" ht="21" x14ac:dyDescent="0.35">
      <c r="A221" s="58">
        <f t="shared" si="4"/>
        <v>216</v>
      </c>
      <c r="B221" s="24" t="s">
        <v>1882</v>
      </c>
      <c r="C221" s="19" t="s">
        <v>2227</v>
      </c>
      <c r="D221" s="28" t="s">
        <v>2228</v>
      </c>
      <c r="E221" s="25">
        <v>23797</v>
      </c>
      <c r="F221" s="26">
        <v>32589.78</v>
      </c>
      <c r="G221" s="22" t="s">
        <v>21</v>
      </c>
      <c r="H221" s="36" t="s">
        <v>4256</v>
      </c>
      <c r="I221" s="19"/>
      <c r="J221" s="19"/>
      <c r="K221" s="19"/>
      <c r="L221" s="19"/>
      <c r="M221" s="19"/>
      <c r="N221" s="292" t="s">
        <v>4288</v>
      </c>
    </row>
    <row r="222" spans="1:14" s="23" customFormat="1" ht="21" x14ac:dyDescent="0.35">
      <c r="A222" s="58">
        <f t="shared" si="4"/>
        <v>217</v>
      </c>
      <c r="B222" s="24" t="s">
        <v>1885</v>
      </c>
      <c r="C222" s="19" t="s">
        <v>2229</v>
      </c>
      <c r="D222" s="28" t="s">
        <v>2230</v>
      </c>
      <c r="E222" s="25">
        <v>23797</v>
      </c>
      <c r="F222" s="26">
        <v>33189.78</v>
      </c>
      <c r="G222" s="22" t="s">
        <v>21</v>
      </c>
      <c r="H222" s="36" t="s">
        <v>4256</v>
      </c>
      <c r="I222" s="19"/>
      <c r="J222" s="19"/>
      <c r="K222" s="19"/>
      <c r="L222" s="19"/>
      <c r="M222" s="19"/>
      <c r="N222" s="292" t="s">
        <v>4291</v>
      </c>
    </row>
    <row r="223" spans="1:14" s="23" customFormat="1" ht="21" x14ac:dyDescent="0.35">
      <c r="A223" s="58">
        <f t="shared" si="4"/>
        <v>218</v>
      </c>
      <c r="B223" s="24" t="s">
        <v>1888</v>
      </c>
      <c r="C223" s="19" t="s">
        <v>2231</v>
      </c>
      <c r="D223" s="28" t="s">
        <v>2232</v>
      </c>
      <c r="E223" s="25">
        <v>23797</v>
      </c>
      <c r="F223" s="26">
        <v>32489.78</v>
      </c>
      <c r="G223" s="22" t="s">
        <v>21</v>
      </c>
      <c r="H223" s="36" t="s">
        <v>4256</v>
      </c>
      <c r="I223" s="19"/>
      <c r="J223" s="19"/>
      <c r="K223" s="19"/>
      <c r="L223" s="19"/>
      <c r="M223" s="19"/>
      <c r="N223" s="292" t="s">
        <v>4290</v>
      </c>
    </row>
    <row r="224" spans="1:14" s="23" customFormat="1" ht="21" x14ac:dyDescent="0.35">
      <c r="A224" s="58">
        <f t="shared" si="4"/>
        <v>219</v>
      </c>
      <c r="B224" s="24" t="s">
        <v>1891</v>
      </c>
      <c r="C224" s="19" t="s">
        <v>2233</v>
      </c>
      <c r="D224" s="28" t="s">
        <v>2234</v>
      </c>
      <c r="E224" s="25">
        <v>23797</v>
      </c>
      <c r="F224" s="26">
        <v>33189.78</v>
      </c>
      <c r="G224" s="22" t="s">
        <v>21</v>
      </c>
      <c r="H224" s="36" t="s">
        <v>4256</v>
      </c>
      <c r="I224" s="19"/>
      <c r="J224" s="19"/>
      <c r="K224" s="19"/>
      <c r="L224" s="19"/>
      <c r="M224" s="19"/>
      <c r="N224" s="292" t="s">
        <v>4291</v>
      </c>
    </row>
    <row r="225" spans="1:14" s="23" customFormat="1" ht="21" x14ac:dyDescent="0.35">
      <c r="A225" s="58">
        <f t="shared" si="4"/>
        <v>220</v>
      </c>
      <c r="B225" s="24" t="s">
        <v>1894</v>
      </c>
      <c r="C225" s="19" t="s">
        <v>2235</v>
      </c>
      <c r="D225" s="28" t="s">
        <v>2236</v>
      </c>
      <c r="E225" s="25">
        <v>23797</v>
      </c>
      <c r="F225" s="26">
        <v>32589.78</v>
      </c>
      <c r="G225" s="22" t="s">
        <v>21</v>
      </c>
      <c r="H225" s="36" t="s">
        <v>4256</v>
      </c>
      <c r="I225" s="19"/>
      <c r="J225" s="19"/>
      <c r="K225" s="19"/>
      <c r="L225" s="19"/>
      <c r="M225" s="19"/>
      <c r="N225" s="292" t="s">
        <v>4288</v>
      </c>
    </row>
    <row r="226" spans="1:14" s="23" customFormat="1" ht="21" x14ac:dyDescent="0.35">
      <c r="A226" s="58">
        <f t="shared" si="4"/>
        <v>221</v>
      </c>
      <c r="B226" s="24" t="s">
        <v>1897</v>
      </c>
      <c r="C226" s="19" t="s">
        <v>2237</v>
      </c>
      <c r="D226" s="28" t="s">
        <v>2238</v>
      </c>
      <c r="E226" s="25">
        <v>23797</v>
      </c>
      <c r="F226" s="26">
        <v>33589.78</v>
      </c>
      <c r="G226" s="22" t="s">
        <v>21</v>
      </c>
      <c r="H226" s="36" t="s">
        <v>4256</v>
      </c>
      <c r="I226" s="19"/>
      <c r="J226" s="19"/>
      <c r="K226" s="19"/>
      <c r="L226" s="19"/>
      <c r="M226" s="19"/>
      <c r="N226" s="292" t="s">
        <v>4291</v>
      </c>
    </row>
    <row r="227" spans="1:14" s="23" customFormat="1" ht="21" x14ac:dyDescent="0.35">
      <c r="A227" s="58">
        <f t="shared" si="4"/>
        <v>222</v>
      </c>
      <c r="B227" s="24" t="s">
        <v>1900</v>
      </c>
      <c r="C227" s="19" t="s">
        <v>2239</v>
      </c>
      <c r="D227" s="28" t="s">
        <v>2240</v>
      </c>
      <c r="E227" s="25">
        <v>23797</v>
      </c>
      <c r="F227" s="26">
        <v>31789.78</v>
      </c>
      <c r="G227" s="22" t="s">
        <v>21</v>
      </c>
      <c r="H227" s="36" t="s">
        <v>4256</v>
      </c>
      <c r="I227" s="19"/>
      <c r="J227" s="19"/>
      <c r="K227" s="19"/>
      <c r="L227" s="19"/>
      <c r="M227" s="19"/>
      <c r="N227" s="292" t="s">
        <v>4288</v>
      </c>
    </row>
    <row r="228" spans="1:14" s="23" customFormat="1" ht="21" x14ac:dyDescent="0.35">
      <c r="A228" s="58">
        <f t="shared" si="4"/>
        <v>223</v>
      </c>
      <c r="B228" s="24" t="s">
        <v>1903</v>
      </c>
      <c r="C228" s="19" t="s">
        <v>2241</v>
      </c>
      <c r="D228" s="28" t="s">
        <v>2242</v>
      </c>
      <c r="E228" s="25">
        <v>23797</v>
      </c>
      <c r="F228" s="26">
        <v>29789.78</v>
      </c>
      <c r="G228" s="22" t="s">
        <v>21</v>
      </c>
      <c r="H228" s="36" t="s">
        <v>4256</v>
      </c>
      <c r="I228" s="19"/>
      <c r="J228" s="19"/>
      <c r="K228" s="19"/>
      <c r="L228" s="19"/>
      <c r="M228" s="19"/>
      <c r="N228" s="292" t="s">
        <v>4291</v>
      </c>
    </row>
    <row r="229" spans="1:14" s="23" customFormat="1" ht="21" x14ac:dyDescent="0.35">
      <c r="A229" s="58">
        <f t="shared" si="4"/>
        <v>224</v>
      </c>
      <c r="B229" s="24" t="s">
        <v>1906</v>
      </c>
      <c r="C229" s="19" t="s">
        <v>2243</v>
      </c>
      <c r="D229" s="28" t="s">
        <v>2244</v>
      </c>
      <c r="E229" s="25">
        <v>23797</v>
      </c>
      <c r="F229" s="26">
        <v>32289.78</v>
      </c>
      <c r="G229" s="22" t="s">
        <v>21</v>
      </c>
      <c r="H229" s="36" t="s">
        <v>4256</v>
      </c>
      <c r="I229" s="19"/>
      <c r="J229" s="19"/>
      <c r="K229" s="19"/>
      <c r="L229" s="19"/>
      <c r="M229" s="19"/>
      <c r="N229" s="292" t="s">
        <v>4289</v>
      </c>
    </row>
    <row r="230" spans="1:14" s="23" customFormat="1" ht="21" x14ac:dyDescent="0.35">
      <c r="A230" s="58">
        <f t="shared" si="4"/>
        <v>225</v>
      </c>
      <c r="B230" s="24" t="s">
        <v>1909</v>
      </c>
      <c r="C230" s="19" t="s">
        <v>2245</v>
      </c>
      <c r="D230" s="28" t="s">
        <v>2246</v>
      </c>
      <c r="E230" s="25">
        <v>23797</v>
      </c>
      <c r="F230" s="26">
        <v>33789.78</v>
      </c>
      <c r="G230" s="22" t="s">
        <v>21</v>
      </c>
      <c r="H230" s="36" t="s">
        <v>4256</v>
      </c>
      <c r="I230" s="19"/>
      <c r="J230" s="19"/>
      <c r="K230" s="19"/>
      <c r="L230" s="19"/>
      <c r="M230" s="19"/>
      <c r="N230" s="292" t="s">
        <v>4289</v>
      </c>
    </row>
    <row r="231" spans="1:14" s="23" customFormat="1" ht="21" x14ac:dyDescent="0.35">
      <c r="A231" s="58">
        <f t="shared" si="4"/>
        <v>226</v>
      </c>
      <c r="B231" s="24" t="s">
        <v>1912</v>
      </c>
      <c r="C231" s="19" t="s">
        <v>2247</v>
      </c>
      <c r="D231" s="28" t="s">
        <v>2248</v>
      </c>
      <c r="E231" s="25">
        <v>23797</v>
      </c>
      <c r="F231" s="26">
        <v>34289.78</v>
      </c>
      <c r="G231" s="22" t="s">
        <v>21</v>
      </c>
      <c r="H231" s="36" t="s">
        <v>4256</v>
      </c>
      <c r="I231" s="19"/>
      <c r="J231" s="19"/>
      <c r="K231" s="19"/>
      <c r="L231" s="19"/>
      <c r="M231" s="19"/>
      <c r="N231" s="292" t="s">
        <v>4288</v>
      </c>
    </row>
    <row r="232" spans="1:14" s="23" customFormat="1" ht="21" x14ac:dyDescent="0.35">
      <c r="A232" s="58">
        <f t="shared" si="4"/>
        <v>227</v>
      </c>
      <c r="B232" s="24" t="s">
        <v>1915</v>
      </c>
      <c r="C232" s="19" t="s">
        <v>2249</v>
      </c>
      <c r="D232" s="28" t="s">
        <v>2250</v>
      </c>
      <c r="E232" s="25">
        <v>23797</v>
      </c>
      <c r="F232" s="26">
        <v>33789.78</v>
      </c>
      <c r="G232" s="22" t="s">
        <v>21</v>
      </c>
      <c r="H232" s="36" t="s">
        <v>4256</v>
      </c>
      <c r="I232" s="19"/>
      <c r="J232" s="19"/>
      <c r="K232" s="19"/>
      <c r="L232" s="19"/>
      <c r="M232" s="19"/>
      <c r="N232" s="292" t="s">
        <v>4287</v>
      </c>
    </row>
    <row r="233" spans="1:14" s="23" customFormat="1" ht="21" x14ac:dyDescent="0.35">
      <c r="A233" s="58">
        <f t="shared" si="4"/>
        <v>228</v>
      </c>
      <c r="B233" s="24" t="s">
        <v>1918</v>
      </c>
      <c r="C233" s="19" t="s">
        <v>2251</v>
      </c>
      <c r="D233" s="28" t="s">
        <v>2252</v>
      </c>
      <c r="E233" s="25">
        <v>23797</v>
      </c>
      <c r="F233" s="26">
        <v>32789.78</v>
      </c>
      <c r="G233" s="22" t="s">
        <v>21</v>
      </c>
      <c r="H233" s="36" t="s">
        <v>4256</v>
      </c>
      <c r="I233" s="19"/>
      <c r="J233" s="19"/>
      <c r="K233" s="19"/>
      <c r="L233" s="19"/>
      <c r="M233" s="19"/>
      <c r="N233" s="292" t="s">
        <v>4288</v>
      </c>
    </row>
    <row r="234" spans="1:14" s="23" customFormat="1" ht="21" x14ac:dyDescent="0.35">
      <c r="A234" s="58">
        <f t="shared" si="4"/>
        <v>229</v>
      </c>
      <c r="B234" s="24" t="s">
        <v>1921</v>
      </c>
      <c r="C234" s="19" t="s">
        <v>2253</v>
      </c>
      <c r="D234" s="28" t="s">
        <v>2254</v>
      </c>
      <c r="E234" s="25">
        <v>23797</v>
      </c>
      <c r="F234" s="26">
        <v>34189.78</v>
      </c>
      <c r="G234" s="22" t="s">
        <v>21</v>
      </c>
      <c r="H234" s="36" t="s">
        <v>4256</v>
      </c>
      <c r="I234" s="19"/>
      <c r="J234" s="19"/>
      <c r="K234" s="19"/>
      <c r="L234" s="19"/>
      <c r="M234" s="19"/>
      <c r="N234" s="292" t="s">
        <v>4292</v>
      </c>
    </row>
    <row r="235" spans="1:14" s="23" customFormat="1" ht="21" x14ac:dyDescent="0.35">
      <c r="A235" s="58">
        <f t="shared" si="4"/>
        <v>230</v>
      </c>
      <c r="B235" s="24" t="s">
        <v>1879</v>
      </c>
      <c r="C235" s="19" t="s">
        <v>2255</v>
      </c>
      <c r="D235" s="28" t="s">
        <v>2256</v>
      </c>
      <c r="E235" s="25">
        <v>23797</v>
      </c>
      <c r="F235" s="26">
        <v>32589.78</v>
      </c>
      <c r="G235" s="22" t="s">
        <v>21</v>
      </c>
      <c r="H235" s="36" t="s">
        <v>4256</v>
      </c>
      <c r="I235" s="19"/>
      <c r="J235" s="19"/>
      <c r="K235" s="19"/>
      <c r="L235" s="19"/>
      <c r="M235" s="19"/>
      <c r="N235" s="292" t="s">
        <v>4293</v>
      </c>
    </row>
    <row r="236" spans="1:14" s="23" customFormat="1" ht="21" x14ac:dyDescent="0.35">
      <c r="A236" s="58">
        <f t="shared" si="4"/>
        <v>231</v>
      </c>
      <c r="B236" s="24" t="s">
        <v>1882</v>
      </c>
      <c r="C236" s="19" t="s">
        <v>2257</v>
      </c>
      <c r="D236" s="28" t="s">
        <v>2258</v>
      </c>
      <c r="E236" s="25">
        <v>23797</v>
      </c>
      <c r="F236" s="26">
        <v>32589.78</v>
      </c>
      <c r="G236" s="22" t="s">
        <v>21</v>
      </c>
      <c r="H236" s="36" t="s">
        <v>4256</v>
      </c>
      <c r="I236" s="19"/>
      <c r="J236" s="19"/>
      <c r="K236" s="19"/>
      <c r="L236" s="19"/>
      <c r="M236" s="19"/>
      <c r="N236" s="292" t="s">
        <v>4290</v>
      </c>
    </row>
    <row r="237" spans="1:14" s="23" customFormat="1" ht="21" x14ac:dyDescent="0.35">
      <c r="A237" s="58">
        <f t="shared" si="4"/>
        <v>232</v>
      </c>
      <c r="B237" s="24" t="s">
        <v>1885</v>
      </c>
      <c r="C237" s="19" t="s">
        <v>2259</v>
      </c>
      <c r="D237" s="28" t="s">
        <v>2260</v>
      </c>
      <c r="E237" s="25">
        <v>23797</v>
      </c>
      <c r="F237" s="26">
        <v>33189.78</v>
      </c>
      <c r="G237" s="22" t="s">
        <v>21</v>
      </c>
      <c r="H237" s="36" t="s">
        <v>4256</v>
      </c>
      <c r="I237" s="19"/>
      <c r="J237" s="19"/>
      <c r="K237" s="19"/>
      <c r="L237" s="19"/>
      <c r="M237" s="19"/>
      <c r="N237" s="292" t="s">
        <v>4269</v>
      </c>
    </row>
    <row r="238" spans="1:14" s="23" customFormat="1" ht="21" x14ac:dyDescent="0.35">
      <c r="A238" s="58">
        <f t="shared" si="4"/>
        <v>233</v>
      </c>
      <c r="B238" s="24" t="s">
        <v>1888</v>
      </c>
      <c r="C238" s="19" t="s">
        <v>2261</v>
      </c>
      <c r="D238" s="28" t="s">
        <v>2262</v>
      </c>
      <c r="E238" s="25">
        <v>23797</v>
      </c>
      <c r="F238" s="26">
        <v>32489.78</v>
      </c>
      <c r="G238" s="22" t="s">
        <v>21</v>
      </c>
      <c r="H238" s="36" t="s">
        <v>4256</v>
      </c>
      <c r="I238" s="19"/>
      <c r="J238" s="19"/>
      <c r="K238" s="19"/>
      <c r="L238" s="19"/>
      <c r="M238" s="19"/>
      <c r="N238" s="292" t="s">
        <v>4292</v>
      </c>
    </row>
    <row r="239" spans="1:14" s="23" customFormat="1" ht="21" x14ac:dyDescent="0.35">
      <c r="A239" s="58">
        <f t="shared" si="4"/>
        <v>234</v>
      </c>
      <c r="B239" s="24" t="s">
        <v>1891</v>
      </c>
      <c r="C239" s="19" t="s">
        <v>2263</v>
      </c>
      <c r="D239" s="28" t="s">
        <v>2264</v>
      </c>
      <c r="E239" s="25">
        <v>23797</v>
      </c>
      <c r="F239" s="26">
        <v>33189.78</v>
      </c>
      <c r="G239" s="22" t="s">
        <v>21</v>
      </c>
      <c r="H239" s="36" t="s">
        <v>4256</v>
      </c>
      <c r="I239" s="19"/>
      <c r="J239" s="19"/>
      <c r="K239" s="19"/>
      <c r="L239" s="19"/>
      <c r="M239" s="19"/>
      <c r="N239" s="292" t="s">
        <v>4294</v>
      </c>
    </row>
    <row r="240" spans="1:14" s="23" customFormat="1" ht="21" x14ac:dyDescent="0.35">
      <c r="A240" s="58">
        <f t="shared" si="4"/>
        <v>235</v>
      </c>
      <c r="B240" s="24" t="s">
        <v>1894</v>
      </c>
      <c r="C240" s="19" t="s">
        <v>2265</v>
      </c>
      <c r="D240" s="28" t="s">
        <v>2266</v>
      </c>
      <c r="E240" s="25">
        <v>23797</v>
      </c>
      <c r="F240" s="26">
        <v>32589.78</v>
      </c>
      <c r="G240" s="22" t="s">
        <v>21</v>
      </c>
      <c r="H240" s="36" t="s">
        <v>4256</v>
      </c>
      <c r="I240" s="19"/>
      <c r="J240" s="19"/>
      <c r="K240" s="19"/>
      <c r="L240" s="19"/>
      <c r="M240" s="19"/>
      <c r="N240" s="292" t="s">
        <v>4290</v>
      </c>
    </row>
    <row r="241" spans="1:14" s="23" customFormat="1" ht="21" x14ac:dyDescent="0.35">
      <c r="A241" s="58">
        <f t="shared" si="4"/>
        <v>236</v>
      </c>
      <c r="B241" s="24" t="s">
        <v>1897</v>
      </c>
      <c r="C241" s="19" t="s">
        <v>2267</v>
      </c>
      <c r="D241" s="28" t="s">
        <v>2268</v>
      </c>
      <c r="E241" s="25">
        <v>23797</v>
      </c>
      <c r="F241" s="26">
        <v>33589.78</v>
      </c>
      <c r="G241" s="22" t="s">
        <v>21</v>
      </c>
      <c r="H241" s="36" t="s">
        <v>4256</v>
      </c>
      <c r="I241" s="19"/>
      <c r="J241" s="19"/>
      <c r="K241" s="19"/>
      <c r="L241" s="19"/>
      <c r="M241" s="19"/>
      <c r="N241" s="292" t="s">
        <v>4293</v>
      </c>
    </row>
    <row r="242" spans="1:14" s="23" customFormat="1" ht="21" x14ac:dyDescent="0.35">
      <c r="A242" s="58">
        <f t="shared" si="4"/>
        <v>237</v>
      </c>
      <c r="B242" s="24" t="s">
        <v>1900</v>
      </c>
      <c r="C242" s="19" t="s">
        <v>2269</v>
      </c>
      <c r="D242" s="28" t="s">
        <v>2270</v>
      </c>
      <c r="E242" s="25">
        <v>23797</v>
      </c>
      <c r="F242" s="26">
        <v>31789.78</v>
      </c>
      <c r="G242" s="22" t="s">
        <v>21</v>
      </c>
      <c r="H242" s="36" t="s">
        <v>4256</v>
      </c>
      <c r="I242" s="19"/>
      <c r="J242" s="19"/>
      <c r="K242" s="19"/>
      <c r="L242" s="19"/>
      <c r="M242" s="19"/>
      <c r="N242" s="292" t="s">
        <v>4290</v>
      </c>
    </row>
    <row r="243" spans="1:14" s="23" customFormat="1" ht="21" x14ac:dyDescent="0.35">
      <c r="A243" s="58">
        <f t="shared" si="4"/>
        <v>238</v>
      </c>
      <c r="B243" s="24" t="s">
        <v>1903</v>
      </c>
      <c r="C243" s="19" t="s">
        <v>2271</v>
      </c>
      <c r="D243" s="28" t="s">
        <v>2272</v>
      </c>
      <c r="E243" s="25">
        <v>23797</v>
      </c>
      <c r="F243" s="26">
        <v>29789.78</v>
      </c>
      <c r="G243" s="22" t="s">
        <v>21</v>
      </c>
      <c r="H243" s="36" t="s">
        <v>4256</v>
      </c>
      <c r="I243" s="19"/>
      <c r="J243" s="19"/>
      <c r="K243" s="19"/>
      <c r="L243" s="19"/>
      <c r="M243" s="19"/>
      <c r="N243" s="292" t="s">
        <v>4290</v>
      </c>
    </row>
    <row r="244" spans="1:14" s="23" customFormat="1" ht="21" x14ac:dyDescent="0.35">
      <c r="A244" s="58">
        <f t="shared" si="4"/>
        <v>239</v>
      </c>
      <c r="B244" s="24" t="s">
        <v>1906</v>
      </c>
      <c r="C244" s="19" t="s">
        <v>2273</v>
      </c>
      <c r="D244" s="28" t="s">
        <v>2274</v>
      </c>
      <c r="E244" s="25">
        <v>23797</v>
      </c>
      <c r="F244" s="26">
        <v>32289.78</v>
      </c>
      <c r="G244" s="22" t="s">
        <v>21</v>
      </c>
      <c r="H244" s="36" t="s">
        <v>4256</v>
      </c>
      <c r="I244" s="19"/>
      <c r="J244" s="19"/>
      <c r="K244" s="19"/>
      <c r="L244" s="19"/>
      <c r="M244" s="19"/>
      <c r="N244" s="292" t="s">
        <v>4291</v>
      </c>
    </row>
    <row r="245" spans="1:14" s="23" customFormat="1" ht="21" x14ac:dyDescent="0.35">
      <c r="A245" s="58">
        <f t="shared" si="4"/>
        <v>240</v>
      </c>
      <c r="B245" s="24" t="s">
        <v>1909</v>
      </c>
      <c r="C245" s="19" t="s">
        <v>2275</v>
      </c>
      <c r="D245" s="28" t="s">
        <v>2276</v>
      </c>
      <c r="E245" s="25">
        <v>23797</v>
      </c>
      <c r="F245" s="26">
        <v>33789.78</v>
      </c>
      <c r="G245" s="22" t="s">
        <v>21</v>
      </c>
      <c r="H245" s="36" t="s">
        <v>4256</v>
      </c>
      <c r="I245" s="19"/>
      <c r="J245" s="19"/>
      <c r="K245" s="19"/>
      <c r="L245" s="19"/>
      <c r="M245" s="19"/>
      <c r="N245" s="292" t="s">
        <v>4291</v>
      </c>
    </row>
    <row r="246" spans="1:14" s="23" customFormat="1" ht="21" x14ac:dyDescent="0.35">
      <c r="A246" s="58">
        <f t="shared" si="4"/>
        <v>241</v>
      </c>
      <c r="B246" s="24" t="s">
        <v>1912</v>
      </c>
      <c r="C246" s="19" t="s">
        <v>2277</v>
      </c>
      <c r="D246" s="28" t="s">
        <v>2278</v>
      </c>
      <c r="E246" s="25">
        <v>23797</v>
      </c>
      <c r="F246" s="26">
        <v>34289.78</v>
      </c>
      <c r="G246" s="22" t="s">
        <v>21</v>
      </c>
      <c r="H246" s="36" t="s">
        <v>4256</v>
      </c>
      <c r="I246" s="19"/>
      <c r="J246" s="19"/>
      <c r="K246" s="19"/>
      <c r="L246" s="19"/>
      <c r="M246" s="19"/>
      <c r="N246" s="292" t="s">
        <v>4290</v>
      </c>
    </row>
    <row r="247" spans="1:14" s="23" customFormat="1" ht="21" x14ac:dyDescent="0.35">
      <c r="A247" s="58">
        <f t="shared" si="4"/>
        <v>242</v>
      </c>
      <c r="B247" s="24" t="s">
        <v>1915</v>
      </c>
      <c r="C247" s="19" t="s">
        <v>2279</v>
      </c>
      <c r="D247" s="28" t="s">
        <v>2280</v>
      </c>
      <c r="E247" s="25">
        <v>23797</v>
      </c>
      <c r="F247" s="26">
        <v>33789.78</v>
      </c>
      <c r="G247" s="22" t="s">
        <v>21</v>
      </c>
      <c r="H247" s="36" t="s">
        <v>4256</v>
      </c>
      <c r="I247" s="19"/>
      <c r="J247" s="19"/>
      <c r="K247" s="19"/>
      <c r="L247" s="19"/>
      <c r="M247" s="19"/>
      <c r="N247" s="292" t="s">
        <v>4289</v>
      </c>
    </row>
    <row r="248" spans="1:14" s="23" customFormat="1" ht="21" x14ac:dyDescent="0.35">
      <c r="A248" s="58">
        <f t="shared" si="4"/>
        <v>243</v>
      </c>
      <c r="B248" s="24" t="s">
        <v>1918</v>
      </c>
      <c r="C248" s="19" t="s">
        <v>2281</v>
      </c>
      <c r="D248" s="28" t="s">
        <v>2282</v>
      </c>
      <c r="E248" s="25">
        <v>23797</v>
      </c>
      <c r="F248" s="26">
        <v>32789.78</v>
      </c>
      <c r="G248" s="22" t="s">
        <v>21</v>
      </c>
      <c r="H248" s="36" t="s">
        <v>4256</v>
      </c>
      <c r="I248" s="19"/>
      <c r="J248" s="19"/>
      <c r="K248" s="19"/>
      <c r="L248" s="19"/>
      <c r="M248" s="19"/>
      <c r="N248" s="292" t="s">
        <v>4290</v>
      </c>
    </row>
    <row r="249" spans="1:14" s="23" customFormat="1" ht="21" x14ac:dyDescent="0.35">
      <c r="A249" s="58">
        <f t="shared" si="4"/>
        <v>244</v>
      </c>
      <c r="B249" s="24" t="s">
        <v>1921</v>
      </c>
      <c r="C249" s="19" t="s">
        <v>2283</v>
      </c>
      <c r="D249" s="28" t="s">
        <v>2284</v>
      </c>
      <c r="E249" s="25">
        <v>23797</v>
      </c>
      <c r="F249" s="26">
        <v>34189.78</v>
      </c>
      <c r="G249" s="22" t="s">
        <v>21</v>
      </c>
      <c r="H249" s="36" t="s">
        <v>4256</v>
      </c>
      <c r="I249" s="19"/>
      <c r="J249" s="19"/>
      <c r="K249" s="19"/>
      <c r="L249" s="19"/>
      <c r="M249" s="19"/>
      <c r="N249" s="292" t="s">
        <v>4295</v>
      </c>
    </row>
    <row r="250" spans="1:14" s="23" customFormat="1" ht="21" x14ac:dyDescent="0.35">
      <c r="A250" s="58">
        <f t="shared" si="4"/>
        <v>245</v>
      </c>
      <c r="B250" s="24" t="s">
        <v>1879</v>
      </c>
      <c r="C250" s="19" t="s">
        <v>2285</v>
      </c>
      <c r="D250" s="28" t="s">
        <v>2286</v>
      </c>
      <c r="E250" s="25">
        <v>23797</v>
      </c>
      <c r="F250" s="26">
        <v>32589.78</v>
      </c>
      <c r="G250" s="22" t="s">
        <v>21</v>
      </c>
      <c r="H250" s="36" t="s">
        <v>4256</v>
      </c>
      <c r="I250" s="19"/>
      <c r="J250" s="19"/>
      <c r="K250" s="19"/>
      <c r="L250" s="19"/>
      <c r="M250" s="19"/>
      <c r="N250" s="292" t="s">
        <v>4294</v>
      </c>
    </row>
    <row r="251" spans="1:14" s="23" customFormat="1" ht="21" x14ac:dyDescent="0.35">
      <c r="A251" s="58">
        <f t="shared" si="4"/>
        <v>246</v>
      </c>
      <c r="B251" s="24" t="s">
        <v>1882</v>
      </c>
      <c r="C251" s="19" t="s">
        <v>2287</v>
      </c>
      <c r="D251" s="28" t="s">
        <v>2288</v>
      </c>
      <c r="E251" s="25">
        <v>23797</v>
      </c>
      <c r="F251" s="26">
        <v>32589.78</v>
      </c>
      <c r="G251" s="22" t="s">
        <v>21</v>
      </c>
      <c r="H251" s="36" t="s">
        <v>4256</v>
      </c>
      <c r="I251" s="19"/>
      <c r="J251" s="19"/>
      <c r="K251" s="19"/>
      <c r="L251" s="19"/>
      <c r="M251" s="19"/>
      <c r="N251" s="292" t="s">
        <v>4292</v>
      </c>
    </row>
    <row r="252" spans="1:14" s="23" customFormat="1" ht="21" x14ac:dyDescent="0.35">
      <c r="A252" s="58">
        <f t="shared" si="4"/>
        <v>247</v>
      </c>
      <c r="B252" s="24" t="s">
        <v>1885</v>
      </c>
      <c r="C252" s="19" t="s">
        <v>2289</v>
      </c>
      <c r="D252" s="28" t="s">
        <v>2290</v>
      </c>
      <c r="E252" s="25">
        <v>23797</v>
      </c>
      <c r="F252" s="26">
        <v>33189.78</v>
      </c>
      <c r="G252" s="22" t="s">
        <v>21</v>
      </c>
      <c r="H252" s="36" t="s">
        <v>4256</v>
      </c>
      <c r="I252" s="19"/>
      <c r="J252" s="19"/>
      <c r="K252" s="19"/>
      <c r="L252" s="19"/>
      <c r="M252" s="19"/>
      <c r="N252" s="292" t="s">
        <v>4292</v>
      </c>
    </row>
    <row r="253" spans="1:14" s="23" customFormat="1" ht="21" x14ac:dyDescent="0.35">
      <c r="A253" s="58">
        <f t="shared" si="4"/>
        <v>248</v>
      </c>
      <c r="B253" s="24" t="s">
        <v>1888</v>
      </c>
      <c r="C253" s="19" t="s">
        <v>2291</v>
      </c>
      <c r="D253" s="28" t="s">
        <v>2292</v>
      </c>
      <c r="E253" s="25">
        <v>23797</v>
      </c>
      <c r="F253" s="26">
        <v>32489.78</v>
      </c>
      <c r="G253" s="22" t="s">
        <v>21</v>
      </c>
      <c r="H253" s="36" t="s">
        <v>4256</v>
      </c>
      <c r="I253" s="19"/>
      <c r="J253" s="19"/>
      <c r="K253" s="19"/>
      <c r="L253" s="19"/>
      <c r="M253" s="19"/>
      <c r="N253" s="292" t="s">
        <v>4273</v>
      </c>
    </row>
    <row r="254" spans="1:14" s="23" customFormat="1" ht="21" x14ac:dyDescent="0.35">
      <c r="A254" s="58">
        <f t="shared" si="4"/>
        <v>249</v>
      </c>
      <c r="B254" s="24" t="s">
        <v>1891</v>
      </c>
      <c r="C254" s="19" t="s">
        <v>2293</v>
      </c>
      <c r="D254" s="28" t="s">
        <v>2294</v>
      </c>
      <c r="E254" s="25">
        <v>23797</v>
      </c>
      <c r="F254" s="26">
        <v>33189.78</v>
      </c>
      <c r="G254" s="22" t="s">
        <v>21</v>
      </c>
      <c r="H254" s="36" t="s">
        <v>4256</v>
      </c>
      <c r="I254" s="19"/>
      <c r="J254" s="19"/>
      <c r="K254" s="19"/>
      <c r="L254" s="19"/>
      <c r="M254" s="19"/>
      <c r="N254" s="292" t="s">
        <v>4292</v>
      </c>
    </row>
    <row r="255" spans="1:14" s="23" customFormat="1" ht="21" x14ac:dyDescent="0.35">
      <c r="A255" s="58">
        <f t="shared" si="4"/>
        <v>250</v>
      </c>
      <c r="B255" s="24" t="s">
        <v>1894</v>
      </c>
      <c r="C255" s="19" t="s">
        <v>2295</v>
      </c>
      <c r="D255" s="28" t="s">
        <v>2296</v>
      </c>
      <c r="E255" s="25">
        <v>23797</v>
      </c>
      <c r="F255" s="26">
        <v>32589.78</v>
      </c>
      <c r="G255" s="22" t="s">
        <v>21</v>
      </c>
      <c r="H255" s="36" t="s">
        <v>4256</v>
      </c>
      <c r="I255" s="19"/>
      <c r="J255" s="19"/>
      <c r="K255" s="19"/>
      <c r="L255" s="19"/>
      <c r="M255" s="19"/>
      <c r="N255" s="292" t="s">
        <v>4292</v>
      </c>
    </row>
    <row r="256" spans="1:14" s="23" customFormat="1" ht="21" x14ac:dyDescent="0.35">
      <c r="A256" s="58">
        <f t="shared" si="4"/>
        <v>251</v>
      </c>
      <c r="B256" s="24" t="s">
        <v>1897</v>
      </c>
      <c r="C256" s="19" t="s">
        <v>2297</v>
      </c>
      <c r="D256" s="28" t="s">
        <v>2298</v>
      </c>
      <c r="E256" s="25">
        <v>23797</v>
      </c>
      <c r="F256" s="26">
        <v>33589.78</v>
      </c>
      <c r="G256" s="22" t="s">
        <v>21</v>
      </c>
      <c r="H256" s="36" t="s">
        <v>4256</v>
      </c>
      <c r="I256" s="19"/>
      <c r="J256" s="19"/>
      <c r="K256" s="19"/>
      <c r="L256" s="19"/>
      <c r="M256" s="19"/>
      <c r="N256" s="292" t="s">
        <v>4294</v>
      </c>
    </row>
    <row r="257" spans="1:14" s="23" customFormat="1" ht="21" x14ac:dyDescent="0.35">
      <c r="A257" s="58">
        <f t="shared" si="4"/>
        <v>252</v>
      </c>
      <c r="B257" s="24" t="s">
        <v>1900</v>
      </c>
      <c r="C257" s="19" t="s">
        <v>2299</v>
      </c>
      <c r="D257" s="28" t="s">
        <v>2300</v>
      </c>
      <c r="E257" s="25">
        <v>23797</v>
      </c>
      <c r="F257" s="26">
        <v>33189.78</v>
      </c>
      <c r="G257" s="22" t="s">
        <v>21</v>
      </c>
      <c r="H257" s="36" t="s">
        <v>4256</v>
      </c>
      <c r="I257" s="19"/>
      <c r="J257" s="19"/>
      <c r="K257" s="19"/>
      <c r="L257" s="19"/>
      <c r="M257" s="19"/>
      <c r="N257" s="292" t="s">
        <v>4269</v>
      </c>
    </row>
    <row r="258" spans="1:14" s="23" customFormat="1" ht="21" x14ac:dyDescent="0.35">
      <c r="A258" s="58">
        <f t="shared" si="4"/>
        <v>253</v>
      </c>
      <c r="B258" s="24" t="s">
        <v>1903</v>
      </c>
      <c r="C258" s="19" t="s">
        <v>2301</v>
      </c>
      <c r="D258" s="28" t="s">
        <v>2302</v>
      </c>
      <c r="E258" s="25">
        <v>23797</v>
      </c>
      <c r="F258" s="26">
        <v>29789.78</v>
      </c>
      <c r="G258" s="22" t="s">
        <v>21</v>
      </c>
      <c r="H258" s="36" t="s">
        <v>4256</v>
      </c>
      <c r="I258" s="19"/>
      <c r="J258" s="19"/>
      <c r="K258" s="19"/>
      <c r="L258" s="19"/>
      <c r="M258" s="19"/>
      <c r="N258" s="292" t="s">
        <v>4292</v>
      </c>
    </row>
    <row r="259" spans="1:14" s="23" customFormat="1" ht="21" x14ac:dyDescent="0.35">
      <c r="A259" s="58">
        <f t="shared" si="4"/>
        <v>254</v>
      </c>
      <c r="B259" s="24" t="s">
        <v>1906</v>
      </c>
      <c r="C259" s="19" t="s">
        <v>2303</v>
      </c>
      <c r="D259" s="28" t="s">
        <v>2304</v>
      </c>
      <c r="E259" s="25">
        <v>23797</v>
      </c>
      <c r="F259" s="26">
        <v>32289.78</v>
      </c>
      <c r="G259" s="22" t="s">
        <v>21</v>
      </c>
      <c r="H259" s="36" t="s">
        <v>4256</v>
      </c>
      <c r="I259" s="19"/>
      <c r="J259" s="19"/>
      <c r="K259" s="19"/>
      <c r="L259" s="19"/>
      <c r="M259" s="19"/>
      <c r="N259" s="292" t="s">
        <v>4293</v>
      </c>
    </row>
    <row r="260" spans="1:14" s="23" customFormat="1" ht="21" x14ac:dyDescent="0.35">
      <c r="A260" s="58">
        <f t="shared" si="4"/>
        <v>255</v>
      </c>
      <c r="B260" s="24" t="s">
        <v>1909</v>
      </c>
      <c r="C260" s="19" t="s">
        <v>2305</v>
      </c>
      <c r="D260" s="28" t="s">
        <v>2306</v>
      </c>
      <c r="E260" s="25">
        <v>23797</v>
      </c>
      <c r="F260" s="26">
        <v>33789.78</v>
      </c>
      <c r="G260" s="22" t="s">
        <v>21</v>
      </c>
      <c r="H260" s="36" t="s">
        <v>4256</v>
      </c>
      <c r="I260" s="19"/>
      <c r="J260" s="19"/>
      <c r="K260" s="19"/>
      <c r="L260" s="19"/>
      <c r="M260" s="19"/>
      <c r="N260" s="292" t="s">
        <v>4293</v>
      </c>
    </row>
    <row r="261" spans="1:14" s="23" customFormat="1" ht="21" x14ac:dyDescent="0.35">
      <c r="A261" s="58">
        <f t="shared" si="4"/>
        <v>256</v>
      </c>
      <c r="B261" s="24" t="s">
        <v>1912</v>
      </c>
      <c r="C261" s="19" t="s">
        <v>2307</v>
      </c>
      <c r="D261" s="28" t="s">
        <v>2308</v>
      </c>
      <c r="E261" s="25">
        <v>23797</v>
      </c>
      <c r="F261" s="26">
        <v>34289.78</v>
      </c>
      <c r="G261" s="22" t="s">
        <v>21</v>
      </c>
      <c r="H261" s="36" t="s">
        <v>4256</v>
      </c>
      <c r="I261" s="19"/>
      <c r="J261" s="19"/>
      <c r="K261" s="19"/>
      <c r="L261" s="19"/>
      <c r="M261" s="19"/>
      <c r="N261" s="292" t="s">
        <v>4292</v>
      </c>
    </row>
    <row r="262" spans="1:14" s="23" customFormat="1" ht="21" x14ac:dyDescent="0.35">
      <c r="A262" s="58">
        <f t="shared" si="4"/>
        <v>257</v>
      </c>
      <c r="B262" s="24" t="s">
        <v>1915</v>
      </c>
      <c r="C262" s="19" t="s">
        <v>2309</v>
      </c>
      <c r="D262" s="28" t="s">
        <v>2310</v>
      </c>
      <c r="E262" s="25">
        <v>23797</v>
      </c>
      <c r="F262" s="26">
        <v>33789.78</v>
      </c>
      <c r="G262" s="22" t="s">
        <v>21</v>
      </c>
      <c r="H262" s="36" t="s">
        <v>4256</v>
      </c>
      <c r="I262" s="19"/>
      <c r="J262" s="19"/>
      <c r="K262" s="19"/>
      <c r="L262" s="19"/>
      <c r="M262" s="19"/>
      <c r="N262" s="292" t="s">
        <v>4293</v>
      </c>
    </row>
    <row r="263" spans="1:14" s="23" customFormat="1" ht="21" x14ac:dyDescent="0.35">
      <c r="A263" s="58">
        <f t="shared" si="4"/>
        <v>258</v>
      </c>
      <c r="B263" s="24" t="s">
        <v>1918</v>
      </c>
      <c r="C263" s="19" t="s">
        <v>2311</v>
      </c>
      <c r="D263" s="28" t="s">
        <v>2312</v>
      </c>
      <c r="E263" s="25">
        <v>23797</v>
      </c>
      <c r="F263" s="26">
        <v>32789.78</v>
      </c>
      <c r="G263" s="22" t="s">
        <v>21</v>
      </c>
      <c r="H263" s="36" t="s">
        <v>4256</v>
      </c>
      <c r="I263" s="19"/>
      <c r="J263" s="19"/>
      <c r="K263" s="19"/>
      <c r="L263" s="19"/>
      <c r="M263" s="19"/>
      <c r="N263" s="292" t="s">
        <v>4292</v>
      </c>
    </row>
    <row r="264" spans="1:14" s="23" customFormat="1" ht="21" x14ac:dyDescent="0.35">
      <c r="A264" s="58">
        <f t="shared" si="4"/>
        <v>259</v>
      </c>
      <c r="B264" s="24" t="s">
        <v>1921</v>
      </c>
      <c r="C264" s="19" t="s">
        <v>2313</v>
      </c>
      <c r="D264" s="28" t="s">
        <v>2314</v>
      </c>
      <c r="E264" s="25">
        <v>23797</v>
      </c>
      <c r="F264" s="26">
        <v>34189.78</v>
      </c>
      <c r="G264" s="22" t="s">
        <v>21</v>
      </c>
      <c r="H264" s="36" t="s">
        <v>4256</v>
      </c>
      <c r="I264" s="19"/>
      <c r="J264" s="19"/>
      <c r="K264" s="19"/>
      <c r="L264" s="19"/>
      <c r="M264" s="19"/>
      <c r="N264" s="292" t="s">
        <v>4269</v>
      </c>
    </row>
    <row r="265" spans="1:14" s="23" customFormat="1" ht="21" x14ac:dyDescent="0.35">
      <c r="A265" s="58">
        <f t="shared" si="4"/>
        <v>260</v>
      </c>
      <c r="B265" s="24" t="s">
        <v>1879</v>
      </c>
      <c r="C265" s="19" t="s">
        <v>2315</v>
      </c>
      <c r="D265" s="28" t="s">
        <v>2316</v>
      </c>
      <c r="E265" s="25">
        <v>23797</v>
      </c>
      <c r="F265" s="26">
        <v>32589.78</v>
      </c>
      <c r="G265" s="22" t="s">
        <v>21</v>
      </c>
      <c r="H265" s="36" t="s">
        <v>4256</v>
      </c>
      <c r="I265" s="19"/>
      <c r="J265" s="19"/>
      <c r="K265" s="19"/>
      <c r="L265" s="19"/>
      <c r="M265" s="19"/>
      <c r="N265" s="292" t="s">
        <v>4292</v>
      </c>
    </row>
    <row r="266" spans="1:14" s="23" customFormat="1" ht="21" x14ac:dyDescent="0.35">
      <c r="A266" s="58">
        <f t="shared" si="4"/>
        <v>261</v>
      </c>
      <c r="B266" s="24" t="s">
        <v>1882</v>
      </c>
      <c r="C266" s="19" t="s">
        <v>2317</v>
      </c>
      <c r="D266" s="28" t="s">
        <v>2318</v>
      </c>
      <c r="E266" s="25">
        <v>23797</v>
      </c>
      <c r="F266" s="26">
        <v>32589.78</v>
      </c>
      <c r="G266" s="22" t="s">
        <v>21</v>
      </c>
      <c r="H266" s="36" t="s">
        <v>4256</v>
      </c>
      <c r="I266" s="19"/>
      <c r="J266" s="19"/>
      <c r="K266" s="19"/>
      <c r="L266" s="19"/>
      <c r="M266" s="19"/>
      <c r="N266" s="292" t="s">
        <v>4286</v>
      </c>
    </row>
    <row r="267" spans="1:14" s="23" customFormat="1" ht="21" x14ac:dyDescent="0.35">
      <c r="A267" s="58">
        <f t="shared" si="4"/>
        <v>262</v>
      </c>
      <c r="B267" s="24" t="s">
        <v>1885</v>
      </c>
      <c r="C267" s="19" t="s">
        <v>2319</v>
      </c>
      <c r="D267" s="28" t="s">
        <v>2320</v>
      </c>
      <c r="E267" s="25">
        <v>23797</v>
      </c>
      <c r="F267" s="26">
        <v>31789.78</v>
      </c>
      <c r="G267" s="22" t="s">
        <v>21</v>
      </c>
      <c r="H267" s="36" t="s">
        <v>4256</v>
      </c>
      <c r="I267" s="19"/>
      <c r="J267" s="19"/>
      <c r="K267" s="19"/>
      <c r="L267" s="19"/>
      <c r="M267" s="19"/>
      <c r="N267" s="292" t="s">
        <v>4295</v>
      </c>
    </row>
    <row r="268" spans="1:14" s="23" customFormat="1" ht="21" x14ac:dyDescent="0.35">
      <c r="A268" s="58">
        <f t="shared" si="4"/>
        <v>263</v>
      </c>
      <c r="B268" s="24" t="s">
        <v>1888</v>
      </c>
      <c r="C268" s="19" t="s">
        <v>2321</v>
      </c>
      <c r="D268" s="28" t="s">
        <v>2322</v>
      </c>
      <c r="E268" s="25">
        <v>23797</v>
      </c>
      <c r="F268" s="26">
        <v>29789.78</v>
      </c>
      <c r="G268" s="22" t="s">
        <v>21</v>
      </c>
      <c r="H268" s="36" t="s">
        <v>4256</v>
      </c>
      <c r="I268" s="19"/>
      <c r="J268" s="19"/>
      <c r="K268" s="19"/>
      <c r="L268" s="19"/>
      <c r="M268" s="19"/>
      <c r="N268" s="292" t="s">
        <v>4269</v>
      </c>
    </row>
    <row r="269" spans="1:14" s="23" customFormat="1" ht="21" x14ac:dyDescent="0.35">
      <c r="A269" s="58">
        <f t="shared" si="4"/>
        <v>264</v>
      </c>
      <c r="B269" s="24" t="s">
        <v>1891</v>
      </c>
      <c r="C269" s="19" t="s">
        <v>2323</v>
      </c>
      <c r="D269" s="28" t="s">
        <v>2324</v>
      </c>
      <c r="E269" s="25">
        <v>23797</v>
      </c>
      <c r="F269" s="26">
        <v>33189.78</v>
      </c>
      <c r="G269" s="22" t="s">
        <v>21</v>
      </c>
      <c r="H269" s="36" t="s">
        <v>4256</v>
      </c>
      <c r="I269" s="19"/>
      <c r="J269" s="19"/>
      <c r="K269" s="19"/>
      <c r="L269" s="19"/>
      <c r="M269" s="19"/>
      <c r="N269" s="292" t="s">
        <v>4278</v>
      </c>
    </row>
    <row r="270" spans="1:14" s="23" customFormat="1" ht="21" x14ac:dyDescent="0.35">
      <c r="A270" s="58">
        <f t="shared" si="4"/>
        <v>265</v>
      </c>
      <c r="B270" s="24" t="s">
        <v>1894</v>
      </c>
      <c r="C270" s="19" t="s">
        <v>2325</v>
      </c>
      <c r="D270" s="28" t="s">
        <v>2326</v>
      </c>
      <c r="E270" s="25">
        <v>23797</v>
      </c>
      <c r="F270" s="26">
        <v>32589.78</v>
      </c>
      <c r="G270" s="22" t="s">
        <v>21</v>
      </c>
      <c r="H270" s="36" t="s">
        <v>4256</v>
      </c>
      <c r="I270" s="19"/>
      <c r="J270" s="19"/>
      <c r="K270" s="19"/>
      <c r="L270" s="19"/>
      <c r="M270" s="19"/>
      <c r="N270" s="292" t="s">
        <v>4295</v>
      </c>
    </row>
    <row r="271" spans="1:14" s="23" customFormat="1" ht="21" x14ac:dyDescent="0.35">
      <c r="A271" s="58">
        <f t="shared" si="1"/>
        <v>266</v>
      </c>
      <c r="B271" s="24" t="s">
        <v>1897</v>
      </c>
      <c r="C271" s="19" t="s">
        <v>2327</v>
      </c>
      <c r="D271" s="28" t="s">
        <v>2328</v>
      </c>
      <c r="E271" s="25">
        <v>23797</v>
      </c>
      <c r="F271" s="26">
        <v>32289.78</v>
      </c>
      <c r="G271" s="22" t="s">
        <v>21</v>
      </c>
      <c r="H271" s="36" t="s">
        <v>4256</v>
      </c>
      <c r="I271" s="19"/>
      <c r="J271" s="19"/>
      <c r="K271" s="19"/>
      <c r="L271" s="19"/>
      <c r="M271" s="19"/>
      <c r="N271" s="292" t="s">
        <v>4292</v>
      </c>
    </row>
    <row r="272" spans="1:14" s="23" customFormat="1" ht="21" x14ac:dyDescent="0.35">
      <c r="A272" s="58">
        <f t="shared" si="1"/>
        <v>267</v>
      </c>
      <c r="B272" s="24" t="s">
        <v>1900</v>
      </c>
      <c r="C272" s="19" t="s">
        <v>2329</v>
      </c>
      <c r="D272" s="28" t="s">
        <v>2330</v>
      </c>
      <c r="E272" s="25">
        <v>23797</v>
      </c>
      <c r="F272" s="26">
        <v>31789.78</v>
      </c>
      <c r="G272" s="22" t="s">
        <v>21</v>
      </c>
      <c r="H272" s="36" t="s">
        <v>4256</v>
      </c>
      <c r="I272" s="19"/>
      <c r="J272" s="19"/>
      <c r="K272" s="19"/>
      <c r="L272" s="19"/>
      <c r="M272" s="19"/>
      <c r="N272" s="292" t="s">
        <v>4292</v>
      </c>
    </row>
    <row r="273" spans="1:14" s="23" customFormat="1" ht="21" x14ac:dyDescent="0.35">
      <c r="A273" s="58">
        <f t="shared" si="1"/>
        <v>268</v>
      </c>
      <c r="B273" s="24" t="s">
        <v>1903</v>
      </c>
      <c r="C273" s="19" t="s">
        <v>2331</v>
      </c>
      <c r="D273" s="28" t="s">
        <v>2332</v>
      </c>
      <c r="E273" s="25">
        <v>23797</v>
      </c>
      <c r="F273" s="26">
        <v>29789.78</v>
      </c>
      <c r="G273" s="22" t="s">
        <v>21</v>
      </c>
      <c r="H273" s="36" t="s">
        <v>4256</v>
      </c>
      <c r="I273" s="19"/>
      <c r="J273" s="19"/>
      <c r="K273" s="19"/>
      <c r="L273" s="19"/>
      <c r="M273" s="19"/>
      <c r="N273" s="292" t="s">
        <v>4286</v>
      </c>
    </row>
    <row r="274" spans="1:14" s="23" customFormat="1" ht="21" x14ac:dyDescent="0.35">
      <c r="A274" s="58">
        <f t="shared" si="1"/>
        <v>269</v>
      </c>
      <c r="B274" s="24" t="s">
        <v>1906</v>
      </c>
      <c r="C274" s="19" t="s">
        <v>2333</v>
      </c>
      <c r="D274" s="28" t="s">
        <v>2334</v>
      </c>
      <c r="E274" s="25">
        <v>23797</v>
      </c>
      <c r="F274" s="26">
        <v>32289.78</v>
      </c>
      <c r="G274" s="22" t="s">
        <v>21</v>
      </c>
      <c r="H274" s="36" t="s">
        <v>4256</v>
      </c>
      <c r="I274" s="19"/>
      <c r="J274" s="19"/>
      <c r="K274" s="19"/>
      <c r="L274" s="19"/>
      <c r="M274" s="19"/>
      <c r="N274" s="292" t="s">
        <v>4294</v>
      </c>
    </row>
    <row r="275" spans="1:14" s="23" customFormat="1" ht="21" x14ac:dyDescent="0.35">
      <c r="A275" s="58">
        <f t="shared" si="1"/>
        <v>270</v>
      </c>
      <c r="B275" s="24" t="s">
        <v>1909</v>
      </c>
      <c r="C275" s="19" t="s">
        <v>2335</v>
      </c>
      <c r="D275" s="28" t="s">
        <v>2336</v>
      </c>
      <c r="E275" s="25">
        <v>23797</v>
      </c>
      <c r="F275" s="26">
        <v>33789.78</v>
      </c>
      <c r="G275" s="22" t="s">
        <v>21</v>
      </c>
      <c r="H275" s="36" t="s">
        <v>4256</v>
      </c>
      <c r="I275" s="19"/>
      <c r="J275" s="19"/>
      <c r="K275" s="19"/>
      <c r="L275" s="19"/>
      <c r="M275" s="19"/>
      <c r="N275" s="292" t="s">
        <v>4294</v>
      </c>
    </row>
    <row r="276" spans="1:14" s="23" customFormat="1" ht="21" x14ac:dyDescent="0.35">
      <c r="A276" s="58">
        <f t="shared" si="1"/>
        <v>271</v>
      </c>
      <c r="B276" s="24" t="s">
        <v>1912</v>
      </c>
      <c r="C276" s="19" t="s">
        <v>2337</v>
      </c>
      <c r="D276" s="28" t="s">
        <v>2338</v>
      </c>
      <c r="E276" s="25">
        <v>23797</v>
      </c>
      <c r="F276" s="26">
        <v>34289.78</v>
      </c>
      <c r="G276" s="22" t="s">
        <v>21</v>
      </c>
      <c r="H276" s="36" t="s">
        <v>4256</v>
      </c>
      <c r="I276" s="19"/>
      <c r="J276" s="19"/>
      <c r="K276" s="19"/>
      <c r="L276" s="19"/>
      <c r="M276" s="19"/>
      <c r="N276" s="292" t="s">
        <v>4286</v>
      </c>
    </row>
    <row r="277" spans="1:14" s="23" customFormat="1" ht="21" x14ac:dyDescent="0.35">
      <c r="A277" s="58">
        <f t="shared" si="1"/>
        <v>272</v>
      </c>
      <c r="B277" s="24" t="s">
        <v>1915</v>
      </c>
      <c r="C277" s="19" t="s">
        <v>2339</v>
      </c>
      <c r="D277" s="28" t="s">
        <v>2340</v>
      </c>
      <c r="E277" s="25">
        <v>23797</v>
      </c>
      <c r="F277" s="26">
        <v>33789.78</v>
      </c>
      <c r="G277" s="22" t="s">
        <v>21</v>
      </c>
      <c r="H277" s="36" t="s">
        <v>4256</v>
      </c>
      <c r="I277" s="19"/>
      <c r="J277" s="19"/>
      <c r="K277" s="19"/>
      <c r="L277" s="19"/>
      <c r="M277" s="19"/>
      <c r="N277" s="292" t="s">
        <v>4294</v>
      </c>
    </row>
    <row r="278" spans="1:14" s="23" customFormat="1" ht="21" x14ac:dyDescent="0.35">
      <c r="A278" s="58">
        <f t="shared" si="1"/>
        <v>273</v>
      </c>
      <c r="B278" s="24" t="s">
        <v>1918</v>
      </c>
      <c r="C278" s="19" t="s">
        <v>2341</v>
      </c>
      <c r="D278" s="28" t="s">
        <v>2342</v>
      </c>
      <c r="E278" s="25">
        <v>23797</v>
      </c>
      <c r="F278" s="26">
        <v>32789.78</v>
      </c>
      <c r="G278" s="22" t="s">
        <v>21</v>
      </c>
      <c r="H278" s="36" t="s">
        <v>4256</v>
      </c>
      <c r="I278" s="19"/>
      <c r="J278" s="19"/>
      <c r="K278" s="19"/>
      <c r="L278" s="19"/>
      <c r="M278" s="19"/>
      <c r="N278" s="292" t="s">
        <v>4295</v>
      </c>
    </row>
    <row r="279" spans="1:14" s="23" customFormat="1" ht="21" x14ac:dyDescent="0.35">
      <c r="A279" s="58">
        <f t="shared" si="1"/>
        <v>274</v>
      </c>
      <c r="B279" s="24" t="s">
        <v>1921</v>
      </c>
      <c r="C279" s="19" t="s">
        <v>2343</v>
      </c>
      <c r="D279" s="28" t="s">
        <v>2344</v>
      </c>
      <c r="E279" s="25">
        <v>23797</v>
      </c>
      <c r="F279" s="26">
        <v>34189.78</v>
      </c>
      <c r="G279" s="22" t="s">
        <v>21</v>
      </c>
      <c r="H279" s="36" t="s">
        <v>4256</v>
      </c>
      <c r="I279" s="19"/>
      <c r="J279" s="19"/>
      <c r="K279" s="19"/>
      <c r="L279" s="19"/>
      <c r="M279" s="19"/>
      <c r="N279" s="292" t="s">
        <v>4269</v>
      </c>
    </row>
    <row r="280" spans="1:14" s="3" customFormat="1" ht="21" x14ac:dyDescent="0.35">
      <c r="A280" s="58">
        <f t="shared" si="1"/>
        <v>275</v>
      </c>
      <c r="B280" s="204" t="s">
        <v>937</v>
      </c>
      <c r="C280" s="200" t="s">
        <v>938</v>
      </c>
      <c r="D280" s="200" t="s">
        <v>939</v>
      </c>
      <c r="E280" s="201" t="s">
        <v>940</v>
      </c>
      <c r="F280" s="202">
        <v>9000</v>
      </c>
      <c r="G280" s="714" t="s">
        <v>264</v>
      </c>
      <c r="H280" s="485" t="s">
        <v>4256</v>
      </c>
      <c r="I280" s="691"/>
      <c r="J280" s="692"/>
      <c r="K280" s="692"/>
      <c r="L280" s="693"/>
      <c r="M280" s="694"/>
      <c r="N280" s="696"/>
    </row>
    <row r="281" spans="1:14" s="66" customFormat="1" ht="37.5" x14ac:dyDescent="0.2">
      <c r="A281" s="58">
        <f t="shared" si="1"/>
        <v>276</v>
      </c>
      <c r="B281" s="33" t="s">
        <v>3827</v>
      </c>
      <c r="C281" s="35" t="s">
        <v>4160</v>
      </c>
      <c r="D281" s="35" t="s">
        <v>153</v>
      </c>
      <c r="E281" s="34">
        <v>243718</v>
      </c>
      <c r="F281" s="31">
        <v>18000</v>
      </c>
      <c r="G281" s="285" t="s">
        <v>21</v>
      </c>
      <c r="H281" s="36" t="s">
        <v>4256</v>
      </c>
      <c r="I281" s="32"/>
      <c r="J281" s="32"/>
      <c r="K281" s="32"/>
      <c r="L281" s="32"/>
      <c r="M281" s="32"/>
      <c r="N281" s="56"/>
    </row>
    <row r="282" spans="1:14" s="66" customFormat="1" ht="21" x14ac:dyDescent="0.2">
      <c r="A282" s="58">
        <f t="shared" si="1"/>
        <v>277</v>
      </c>
      <c r="B282" s="44" t="s">
        <v>2349</v>
      </c>
      <c r="C282" s="43" t="s">
        <v>2350</v>
      </c>
      <c r="D282" s="32" t="s">
        <v>2351</v>
      </c>
      <c r="E282" s="59">
        <v>23892</v>
      </c>
      <c r="F282" s="75">
        <v>4700000</v>
      </c>
      <c r="G282" s="284" t="s">
        <v>1492</v>
      </c>
      <c r="H282" s="36" t="s">
        <v>4256</v>
      </c>
      <c r="I282" s="72"/>
      <c r="J282" s="71"/>
      <c r="K282" s="71"/>
      <c r="L282" s="76"/>
      <c r="M282" s="77"/>
      <c r="N282" s="78"/>
    </row>
    <row r="283" spans="1:14" s="3" customFormat="1" ht="18.75" x14ac:dyDescent="0.3">
      <c r="A283" s="5"/>
      <c r="B283" s="295" t="s">
        <v>4350</v>
      </c>
      <c r="C283" s="11"/>
      <c r="D283" s="11"/>
      <c r="E283" s="11"/>
      <c r="F283" s="296">
        <f>SUBTOTAL(9,F6:F282)</f>
        <v>24048740.949999984</v>
      </c>
      <c r="G283" s="11"/>
      <c r="H283" s="5"/>
      <c r="I283" s="5"/>
      <c r="J283" s="5"/>
      <c r="K283" s="5"/>
      <c r="L283" s="5"/>
      <c r="M283" s="5"/>
      <c r="N283" s="5"/>
    </row>
  </sheetData>
  <autoFilter ref="A4:N4" xr:uid="{00000000-0009-0000-0000-00001C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N8"/>
  <sheetViews>
    <sheetView workbookViewId="0">
      <selection activeCell="A3" sqref="A3:N3"/>
    </sheetView>
  </sheetViews>
  <sheetFormatPr defaultRowHeight="14.25" x14ac:dyDescent="0.2"/>
  <cols>
    <col min="1" max="1" width="7.28515625" style="51" customWidth="1"/>
    <col min="2" max="2" width="42.140625" style="42" customWidth="1"/>
    <col min="3" max="3" width="16.7109375" style="42" customWidth="1"/>
    <col min="4" max="4" width="13.42578125" style="42" customWidth="1"/>
    <col min="5" max="5" width="14.7109375" style="42" customWidth="1"/>
    <col min="6" max="6" width="13.140625" style="42" customWidth="1"/>
    <col min="7" max="7" width="16.7109375" style="42" customWidth="1"/>
    <col min="8" max="13" width="3.5703125" style="42" customWidth="1"/>
    <col min="14" max="14" width="15.140625" style="42" customWidth="1"/>
    <col min="15" max="16384" width="9.140625" style="42"/>
  </cols>
  <sheetData>
    <row r="1" spans="1:14" s="10" customFormat="1" ht="18.75" x14ac:dyDescent="0.3">
      <c r="A1" s="857" t="s">
        <v>185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</row>
    <row r="2" spans="1:14" s="10" customFormat="1" ht="18.75" x14ac:dyDescent="0.3">
      <c r="A2" s="857" t="s">
        <v>186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</row>
    <row r="3" spans="1:14" s="10" customFormat="1" ht="18.75" x14ac:dyDescent="0.3">
      <c r="A3" s="871" t="s">
        <v>4348</v>
      </c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  <c r="M3" s="871"/>
      <c r="N3" s="871"/>
    </row>
    <row r="4" spans="1:14" s="16" customFormat="1" ht="21" x14ac:dyDescent="0.3">
      <c r="A4" s="862" t="s">
        <v>0</v>
      </c>
      <c r="B4" s="858" t="s">
        <v>1</v>
      </c>
      <c r="C4" s="865" t="s">
        <v>187</v>
      </c>
      <c r="D4" s="858" t="s">
        <v>188</v>
      </c>
      <c r="E4" s="867" t="s">
        <v>189</v>
      </c>
      <c r="F4" s="869" t="s">
        <v>2</v>
      </c>
      <c r="G4" s="859" t="s">
        <v>4</v>
      </c>
      <c r="H4" s="861" t="s">
        <v>190</v>
      </c>
      <c r="I4" s="861"/>
      <c r="J4" s="861"/>
      <c r="K4" s="861"/>
      <c r="L4" s="861"/>
      <c r="M4" s="861"/>
      <c r="N4" s="861"/>
    </row>
    <row r="5" spans="1:14" s="16" customFormat="1" ht="77.25" x14ac:dyDescent="0.3">
      <c r="A5" s="863"/>
      <c r="B5" s="864"/>
      <c r="C5" s="866"/>
      <c r="D5" s="864"/>
      <c r="E5" s="868"/>
      <c r="F5" s="870"/>
      <c r="G5" s="860"/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196</v>
      </c>
      <c r="N5" s="14" t="s">
        <v>3</v>
      </c>
    </row>
    <row r="6" spans="1:14" s="3" customFormat="1" ht="21" x14ac:dyDescent="0.3">
      <c r="A6" s="495">
        <f>ROW()-ROW(สำนักงาน!$A$6)+1</f>
        <v>1</v>
      </c>
      <c r="B6" s="697" t="s">
        <v>927</v>
      </c>
      <c r="C6" s="698" t="s">
        <v>928</v>
      </c>
      <c r="D6" s="698" t="s">
        <v>929</v>
      </c>
      <c r="E6" s="699">
        <v>17236</v>
      </c>
      <c r="F6" s="700">
        <v>2700</v>
      </c>
      <c r="G6" s="701" t="s">
        <v>264</v>
      </c>
      <c r="H6" s="485" t="s">
        <v>4256</v>
      </c>
      <c r="I6" s="702"/>
      <c r="J6" s="703"/>
      <c r="K6" s="703"/>
      <c r="L6" s="704"/>
      <c r="M6" s="705"/>
      <c r="N6" s="706"/>
    </row>
    <row r="7" spans="1:14" s="294" customFormat="1" ht="37.5" x14ac:dyDescent="0.2">
      <c r="A7" s="495">
        <f>ROW()-ROW(สำนักงาน!$A$6)+1</f>
        <v>2</v>
      </c>
      <c r="B7" s="55" t="s">
        <v>3651</v>
      </c>
      <c r="C7" s="13" t="s">
        <v>3652</v>
      </c>
      <c r="D7" s="13" t="s">
        <v>3653</v>
      </c>
      <c r="E7" s="53" t="s">
        <v>595</v>
      </c>
      <c r="F7" s="31">
        <v>4500</v>
      </c>
      <c r="G7" s="32" t="s">
        <v>2378</v>
      </c>
      <c r="H7" s="479" t="s">
        <v>4256</v>
      </c>
      <c r="I7" s="32"/>
      <c r="J7" s="32"/>
      <c r="K7" s="32"/>
      <c r="L7" s="32"/>
      <c r="M7" s="32"/>
      <c r="N7" s="316"/>
    </row>
    <row r="8" spans="1:14" s="3" customFormat="1" ht="18.75" x14ac:dyDescent="0.3">
      <c r="A8" s="5"/>
      <c r="B8" s="295" t="s">
        <v>4349</v>
      </c>
      <c r="C8" s="11"/>
      <c r="D8" s="11"/>
      <c r="E8" s="11"/>
      <c r="F8" s="296">
        <f>SUBTOTAL(9,F6:F7)</f>
        <v>7200</v>
      </c>
      <c r="G8" s="11"/>
      <c r="H8" s="5"/>
      <c r="I8" s="5"/>
      <c r="J8" s="5"/>
      <c r="K8" s="5"/>
      <c r="L8" s="5"/>
      <c r="M8" s="5"/>
      <c r="N8" s="5"/>
    </row>
  </sheetData>
  <autoFilter ref="A4:N4" xr:uid="{00000000-0009-0000-0000-00001D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O17"/>
  <sheetViews>
    <sheetView topLeftCell="A13" workbookViewId="0">
      <selection activeCell="D8" sqref="D8"/>
    </sheetView>
  </sheetViews>
  <sheetFormatPr defaultRowHeight="14.25" x14ac:dyDescent="0.2"/>
  <cols>
    <col min="1" max="1" width="7.28515625" style="370" customWidth="1"/>
    <col min="2" max="2" width="42.140625" style="415" customWidth="1"/>
    <col min="3" max="3" width="16.7109375" style="415" customWidth="1"/>
    <col min="4" max="4" width="13.42578125" style="415" customWidth="1"/>
    <col min="5" max="5" width="14.7109375" style="415" customWidth="1"/>
    <col min="6" max="6" width="13.140625" style="415" customWidth="1"/>
    <col min="7" max="7" width="16.7109375" style="415" customWidth="1"/>
    <col min="8" max="13" width="3.5703125" style="415" customWidth="1"/>
    <col min="14" max="14" width="15.140625" style="415" customWidth="1"/>
    <col min="15" max="15" width="13.140625" style="415" bestFit="1" customWidth="1"/>
    <col min="16" max="16384" width="9.140625" style="415"/>
  </cols>
  <sheetData>
    <row r="1" spans="1:15" s="359" customFormat="1" ht="18.75" x14ac:dyDescent="0.3">
      <c r="A1" s="915" t="s">
        <v>185</v>
      </c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</row>
    <row r="2" spans="1:15" s="359" customFormat="1" ht="18.75" x14ac:dyDescent="0.3">
      <c r="A2" s="915" t="s">
        <v>186</v>
      </c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</row>
    <row r="3" spans="1:15" s="359" customFormat="1" ht="18.75" x14ac:dyDescent="0.3">
      <c r="A3" s="914" t="s">
        <v>4342</v>
      </c>
      <c r="B3" s="914"/>
      <c r="C3" s="914"/>
      <c r="D3" s="914"/>
      <c r="E3" s="914"/>
      <c r="F3" s="914"/>
      <c r="G3" s="914"/>
      <c r="H3" s="914"/>
      <c r="I3" s="914"/>
      <c r="J3" s="914"/>
      <c r="K3" s="914"/>
      <c r="L3" s="914"/>
      <c r="M3" s="914"/>
      <c r="N3" s="914"/>
    </row>
    <row r="4" spans="1:15" s="336" customFormat="1" ht="21" x14ac:dyDescent="0.3">
      <c r="A4" s="916" t="s">
        <v>0</v>
      </c>
      <c r="B4" s="918" t="s">
        <v>1</v>
      </c>
      <c r="C4" s="920" t="s">
        <v>187</v>
      </c>
      <c r="D4" s="918" t="s">
        <v>188</v>
      </c>
      <c r="E4" s="922" t="s">
        <v>189</v>
      </c>
      <c r="F4" s="924" t="s">
        <v>2</v>
      </c>
      <c r="G4" s="926" t="s">
        <v>4</v>
      </c>
      <c r="H4" s="928" t="s">
        <v>190</v>
      </c>
      <c r="I4" s="928"/>
      <c r="J4" s="928"/>
      <c r="K4" s="928"/>
      <c r="L4" s="928"/>
      <c r="M4" s="928"/>
      <c r="N4" s="928"/>
    </row>
    <row r="5" spans="1:15" s="336" customFormat="1" ht="77.25" x14ac:dyDescent="0.3">
      <c r="A5" s="917"/>
      <c r="B5" s="919"/>
      <c r="C5" s="921"/>
      <c r="D5" s="919"/>
      <c r="E5" s="923"/>
      <c r="F5" s="925"/>
      <c r="G5" s="927"/>
      <c r="H5" s="433" t="s">
        <v>191</v>
      </c>
      <c r="I5" s="433" t="s">
        <v>192</v>
      </c>
      <c r="J5" s="433" t="s">
        <v>193</v>
      </c>
      <c r="K5" s="433" t="s">
        <v>194</v>
      </c>
      <c r="L5" s="433" t="s">
        <v>195</v>
      </c>
      <c r="M5" s="433" t="s">
        <v>196</v>
      </c>
      <c r="N5" s="434" t="s">
        <v>3</v>
      </c>
    </row>
    <row r="6" spans="1:15" s="370" customFormat="1" ht="18.75" x14ac:dyDescent="0.2">
      <c r="A6" s="32">
        <f t="shared" ref="A6:A16" si="0">ROW()-ROW($A$6)+1</f>
        <v>1</v>
      </c>
      <c r="B6" s="235" t="s">
        <v>440</v>
      </c>
      <c r="C6" s="224" t="s">
        <v>441</v>
      </c>
      <c r="D6" s="224" t="s">
        <v>442</v>
      </c>
      <c r="E6" s="236">
        <v>239850</v>
      </c>
      <c r="F6" s="237">
        <v>300000</v>
      </c>
      <c r="G6" s="224" t="s">
        <v>6</v>
      </c>
      <c r="H6" s="32" t="s">
        <v>4256</v>
      </c>
      <c r="I6" s="224"/>
      <c r="J6" s="238"/>
      <c r="K6" s="238"/>
      <c r="L6" s="239"/>
      <c r="M6" s="240"/>
      <c r="N6" s="712" t="s">
        <v>3915</v>
      </c>
      <c r="O6" s="746"/>
    </row>
    <row r="7" spans="1:15" s="370" customFormat="1" ht="31.5" x14ac:dyDescent="0.2">
      <c r="A7" s="32">
        <f t="shared" si="0"/>
        <v>2</v>
      </c>
      <c r="B7" s="52" t="s">
        <v>3918</v>
      </c>
      <c r="C7" s="32" t="s">
        <v>441</v>
      </c>
      <c r="D7" s="32" t="s">
        <v>550</v>
      </c>
      <c r="E7" s="53" t="s">
        <v>551</v>
      </c>
      <c r="F7" s="54">
        <v>420000</v>
      </c>
      <c r="G7" s="32" t="s">
        <v>6</v>
      </c>
      <c r="H7" s="32" t="s">
        <v>4256</v>
      </c>
      <c r="I7" s="32"/>
      <c r="J7" s="32"/>
      <c r="K7" s="32"/>
      <c r="L7" s="32"/>
      <c r="M7" s="32"/>
      <c r="N7" s="429" t="s">
        <v>552</v>
      </c>
      <c r="O7" s="746">
        <f>SUM(F6:F7)</f>
        <v>720000</v>
      </c>
    </row>
    <row r="8" spans="1:15" s="370" customFormat="1" ht="37.5" x14ac:dyDescent="0.2">
      <c r="A8" s="32">
        <f t="shared" si="0"/>
        <v>3</v>
      </c>
      <c r="B8" s="55" t="s">
        <v>3956</v>
      </c>
      <c r="C8" s="32" t="s">
        <v>626</v>
      </c>
      <c r="D8" s="13" t="s">
        <v>627</v>
      </c>
      <c r="E8" s="53" t="s">
        <v>628</v>
      </c>
      <c r="F8" s="31">
        <v>18000</v>
      </c>
      <c r="G8" s="32" t="s">
        <v>607</v>
      </c>
      <c r="H8" s="32" t="s">
        <v>4256</v>
      </c>
      <c r="I8" s="32"/>
      <c r="J8" s="32"/>
      <c r="K8" s="32"/>
      <c r="L8" s="32"/>
      <c r="M8" s="32"/>
      <c r="N8" s="316" t="s">
        <v>151</v>
      </c>
    </row>
    <row r="9" spans="1:15" s="373" customFormat="1" ht="37.5" x14ac:dyDescent="0.2">
      <c r="A9" s="32">
        <f t="shared" si="0"/>
        <v>4</v>
      </c>
      <c r="B9" s="52" t="s">
        <v>3334</v>
      </c>
      <c r="C9" s="32" t="s">
        <v>3335</v>
      </c>
      <c r="D9" s="32" t="s">
        <v>3336</v>
      </c>
      <c r="E9" s="53" t="s">
        <v>2862</v>
      </c>
      <c r="F9" s="54">
        <v>2889</v>
      </c>
      <c r="G9" s="32" t="s">
        <v>2863</v>
      </c>
      <c r="H9" s="479" t="s">
        <v>4256</v>
      </c>
      <c r="I9" s="32"/>
      <c r="J9" s="32"/>
      <c r="K9" s="32"/>
      <c r="L9" s="32"/>
      <c r="M9" s="32"/>
      <c r="N9" s="650" t="s">
        <v>3878</v>
      </c>
      <c r="O9" s="747">
        <f>SUM(F9:F12)</f>
        <v>11556</v>
      </c>
    </row>
    <row r="10" spans="1:15" s="373" customFormat="1" ht="37.5" x14ac:dyDescent="0.2">
      <c r="A10" s="32">
        <f t="shared" si="0"/>
        <v>5</v>
      </c>
      <c r="B10" s="52" t="s">
        <v>3334</v>
      </c>
      <c r="C10" s="32" t="s">
        <v>3337</v>
      </c>
      <c r="D10" s="32" t="s">
        <v>3338</v>
      </c>
      <c r="E10" s="53" t="s">
        <v>2862</v>
      </c>
      <c r="F10" s="54">
        <v>2889</v>
      </c>
      <c r="G10" s="32" t="s">
        <v>2863</v>
      </c>
      <c r="H10" s="479" t="s">
        <v>4256</v>
      </c>
      <c r="I10" s="32"/>
      <c r="J10" s="32"/>
      <c r="K10" s="32"/>
      <c r="L10" s="32"/>
      <c r="M10" s="32"/>
      <c r="N10" s="285" t="s">
        <v>3879</v>
      </c>
    </row>
    <row r="11" spans="1:15" s="373" customFormat="1" ht="37.5" x14ac:dyDescent="0.2">
      <c r="A11" s="32">
        <f t="shared" si="0"/>
        <v>6</v>
      </c>
      <c r="B11" s="52" t="s">
        <v>3334</v>
      </c>
      <c r="C11" s="32" t="s">
        <v>3339</v>
      </c>
      <c r="D11" s="32" t="s">
        <v>3340</v>
      </c>
      <c r="E11" s="53" t="s">
        <v>2862</v>
      </c>
      <c r="F11" s="54">
        <v>2889</v>
      </c>
      <c r="G11" s="32" t="s">
        <v>2863</v>
      </c>
      <c r="H11" s="479" t="s">
        <v>4256</v>
      </c>
      <c r="I11" s="32"/>
      <c r="J11" s="32"/>
      <c r="K11" s="32"/>
      <c r="L11" s="32"/>
      <c r="M11" s="32"/>
      <c r="N11" s="650" t="s">
        <v>3880</v>
      </c>
    </row>
    <row r="12" spans="1:15" s="373" customFormat="1" ht="37.5" x14ac:dyDescent="0.2">
      <c r="A12" s="32">
        <f t="shared" si="0"/>
        <v>7</v>
      </c>
      <c r="B12" s="52" t="s">
        <v>3334</v>
      </c>
      <c r="C12" s="32" t="s">
        <v>3341</v>
      </c>
      <c r="D12" s="32" t="s">
        <v>3342</v>
      </c>
      <c r="E12" s="53" t="s">
        <v>2862</v>
      </c>
      <c r="F12" s="54">
        <v>2889</v>
      </c>
      <c r="G12" s="32" t="s">
        <v>2863</v>
      </c>
      <c r="H12" s="479" t="s">
        <v>4256</v>
      </c>
      <c r="I12" s="32"/>
      <c r="J12" s="32"/>
      <c r="K12" s="32"/>
      <c r="L12" s="32"/>
      <c r="M12" s="32"/>
      <c r="N12" s="285" t="s">
        <v>3854</v>
      </c>
    </row>
    <row r="13" spans="1:15" s="370" customFormat="1" ht="37.5" x14ac:dyDescent="0.2">
      <c r="A13" s="32">
        <f t="shared" si="0"/>
        <v>8</v>
      </c>
      <c r="B13" s="55" t="s">
        <v>3954</v>
      </c>
      <c r="C13" s="32" t="s">
        <v>604</v>
      </c>
      <c r="D13" s="13" t="s">
        <v>605</v>
      </c>
      <c r="E13" s="53" t="s">
        <v>606</v>
      </c>
      <c r="F13" s="31">
        <v>70000</v>
      </c>
      <c r="G13" s="32" t="s">
        <v>607</v>
      </c>
      <c r="H13" s="479" t="s">
        <v>4256</v>
      </c>
      <c r="I13" s="32"/>
      <c r="J13" s="32"/>
      <c r="K13" s="32"/>
      <c r="L13" s="32"/>
      <c r="M13" s="32"/>
      <c r="N13" s="316" t="s">
        <v>151</v>
      </c>
    </row>
    <row r="14" spans="1:15" s="370" customFormat="1" ht="37.5" x14ac:dyDescent="0.2">
      <c r="A14" s="32">
        <f t="shared" si="0"/>
        <v>9</v>
      </c>
      <c r="B14" s="55" t="s">
        <v>3955</v>
      </c>
      <c r="C14" s="32" t="s">
        <v>608</v>
      </c>
      <c r="D14" s="13" t="s">
        <v>609</v>
      </c>
      <c r="E14" s="53" t="s">
        <v>606</v>
      </c>
      <c r="F14" s="31">
        <v>46000</v>
      </c>
      <c r="G14" s="32" t="s">
        <v>607</v>
      </c>
      <c r="H14" s="479" t="s">
        <v>4256</v>
      </c>
      <c r="I14" s="32"/>
      <c r="J14" s="32"/>
      <c r="K14" s="32"/>
      <c r="L14" s="32"/>
      <c r="M14" s="32"/>
      <c r="N14" s="316" t="s">
        <v>151</v>
      </c>
    </row>
    <row r="15" spans="1:15" s="370" customFormat="1" ht="37.5" x14ac:dyDescent="0.2">
      <c r="A15" s="32">
        <f t="shared" si="0"/>
        <v>10</v>
      </c>
      <c r="B15" s="55" t="s">
        <v>610</v>
      </c>
      <c r="C15" s="32" t="s">
        <v>611</v>
      </c>
      <c r="D15" s="13" t="s">
        <v>612</v>
      </c>
      <c r="E15" s="53" t="s">
        <v>606</v>
      </c>
      <c r="F15" s="31">
        <v>87000</v>
      </c>
      <c r="G15" s="32" t="s">
        <v>607</v>
      </c>
      <c r="H15" s="479" t="s">
        <v>4256</v>
      </c>
      <c r="I15" s="32"/>
      <c r="J15" s="32"/>
      <c r="K15" s="32"/>
      <c r="L15" s="32"/>
      <c r="M15" s="32"/>
      <c r="N15" s="316" t="s">
        <v>151</v>
      </c>
    </row>
    <row r="16" spans="1:15" s="370" customFormat="1" ht="18.75" x14ac:dyDescent="0.2">
      <c r="A16" s="32">
        <f t="shared" si="0"/>
        <v>11</v>
      </c>
      <c r="B16" s="55" t="s">
        <v>618</v>
      </c>
      <c r="C16" s="32" t="s">
        <v>619</v>
      </c>
      <c r="D16" s="13" t="s">
        <v>620</v>
      </c>
      <c r="E16" s="53" t="s">
        <v>621</v>
      </c>
      <c r="F16" s="31">
        <v>30000</v>
      </c>
      <c r="G16" s="32" t="s">
        <v>607</v>
      </c>
      <c r="H16" s="479" t="s">
        <v>4256</v>
      </c>
      <c r="I16" s="32"/>
      <c r="J16" s="32"/>
      <c r="K16" s="32"/>
      <c r="L16" s="32"/>
      <c r="M16" s="32"/>
      <c r="N16" s="316" t="s">
        <v>622</v>
      </c>
      <c r="O16" s="746">
        <f>SUM(F13:F16)</f>
        <v>233000</v>
      </c>
    </row>
    <row r="17" spans="1:14" s="372" customFormat="1" ht="18.75" x14ac:dyDescent="0.3">
      <c r="A17" s="322"/>
      <c r="B17" s="341" t="s">
        <v>4974</v>
      </c>
      <c r="C17" s="307"/>
      <c r="D17" s="307"/>
      <c r="E17" s="307"/>
      <c r="F17" s="414">
        <f>SUBTOTAL(9,F6:F16)</f>
        <v>982556</v>
      </c>
      <c r="G17" s="307"/>
      <c r="H17" s="322"/>
      <c r="I17" s="322"/>
      <c r="J17" s="322"/>
      <c r="K17" s="322"/>
      <c r="L17" s="322"/>
      <c r="M17" s="322"/>
      <c r="N17" s="322"/>
    </row>
  </sheetData>
  <autoFilter ref="A4:N4" xr:uid="{00000000-0009-0000-0000-00001E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">
    <mergeCell ref="H4:N4"/>
    <mergeCell ref="A1:N1"/>
    <mergeCell ref="A2:N2"/>
    <mergeCell ref="A3:N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1811023622047245" right="0.11811023622047245" top="0.74803149606299213" bottom="0.39370078740157483" header="0.31496062992125984" footer="0.31496062992125984"/>
  <pageSetup paperSize="9" scale="9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16</vt:i4>
      </vt:variant>
      <vt:variant>
        <vt:lpstr>ช่วงที่มีชื่อ</vt:lpstr>
      </vt:variant>
      <vt:variant>
        <vt:i4>15</vt:i4>
      </vt:variant>
    </vt:vector>
  </HeadingPairs>
  <TitlesOfParts>
    <vt:vector size="31" baseType="lpstr">
      <vt:lpstr>งบทรัพย์สิน 67</vt:lpstr>
      <vt:lpstr>ต่ำกว่าเกณฑ์67</vt:lpstr>
      <vt:lpstr>งบ67</vt:lpstr>
      <vt:lpstr>สำนักงาน</vt:lpstr>
      <vt:lpstr>คอมพิวเตอร์</vt:lpstr>
      <vt:lpstr>ไฟฟ้าและวิทยุ</vt:lpstr>
      <vt:lpstr>การศึกษา</vt:lpstr>
      <vt:lpstr>ยานพาหนะ</vt:lpstr>
      <vt:lpstr>งานบ้าน</vt:lpstr>
      <vt:lpstr>โฆษณา</vt:lpstr>
      <vt:lpstr>การเกษตร</vt:lpstr>
      <vt:lpstr>วิทยาศาสตร์</vt:lpstr>
      <vt:lpstr>ก่อสร้าง</vt:lpstr>
      <vt:lpstr>กีฬา</vt:lpstr>
      <vt:lpstr>โรงงาน</vt:lpstr>
      <vt:lpstr>อื่นๆ</vt:lpstr>
      <vt:lpstr>ก่อสร้าง!Print_Titles</vt:lpstr>
      <vt:lpstr>การเกษตร!Print_Titles</vt:lpstr>
      <vt:lpstr>การศึกษา!Print_Titles</vt:lpstr>
      <vt:lpstr>กีฬา!Print_Titles</vt:lpstr>
      <vt:lpstr>คอมพิวเตอร์!Print_Titles</vt:lpstr>
      <vt:lpstr>โฆษณา!Print_Titles</vt:lpstr>
      <vt:lpstr>งบ67!Print_Titles</vt:lpstr>
      <vt:lpstr>งานบ้าน!Print_Titles</vt:lpstr>
      <vt:lpstr>ต่ำกว่าเกณฑ์67!Print_Titles</vt:lpstr>
      <vt:lpstr>ไฟฟ้าและวิทยุ!Print_Titles</vt:lpstr>
      <vt:lpstr>ยานพาหนะ!Print_Titles</vt:lpstr>
      <vt:lpstr>โรงงาน!Print_Titles</vt:lpstr>
      <vt:lpstr>วิทยาศาสตร์!Print_Titles</vt:lpstr>
      <vt:lpstr>สำนักงาน!Print_Titles</vt:lpstr>
      <vt:lpstr>อื่นๆ!Print_Titles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Lampangcity018</cp:lastModifiedBy>
  <cp:lastPrinted>2025-03-04T07:16:14Z</cp:lastPrinted>
  <dcterms:created xsi:type="dcterms:W3CDTF">2024-09-20T07:07:25Z</dcterms:created>
  <dcterms:modified xsi:type="dcterms:W3CDTF">2025-07-08T02:03:27Z</dcterms:modified>
</cp:coreProperties>
</file>