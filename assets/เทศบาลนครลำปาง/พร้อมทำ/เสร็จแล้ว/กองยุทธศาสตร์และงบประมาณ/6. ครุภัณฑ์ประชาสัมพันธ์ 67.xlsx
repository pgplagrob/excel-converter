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เครื่องเก่า\E\UBONTAI งานต่าง ๆ\ครุภัณฑ์ 2567\"/>
    </mc:Choice>
  </mc:AlternateContent>
  <xr:revisionPtr revIDLastSave="0" documentId="13_ncr:1_{9CA87EC0-A3D0-4F05-8AE5-4C6C79A2B5FC}" xr6:coauthVersionLast="47" xr6:coauthVersionMax="47" xr10:uidLastSave="{00000000-0000-0000-0000-000000000000}"/>
  <bookViews>
    <workbookView minimized="1" xWindow="2685" yWindow="2685" windowWidth="21600" windowHeight="11295" activeTab="1" xr2:uid="{00000000-000D-0000-FFFF-FFFF00000000}"/>
  </bookViews>
  <sheets>
    <sheet name="ค่าที่ดิน" sheetId="35" r:id="rId1"/>
    <sheet name="1.สำนักงาน" sheetId="1" r:id="rId2"/>
    <sheet name="2.ไฟฟ้า" sheetId="23" r:id="rId3"/>
    <sheet name="3.โฆษณา" sheetId="19" r:id="rId4"/>
    <sheet name="5.คอมพิวเตอร์" sheetId="7" r:id="rId5"/>
    <sheet name="6.ยานพาหนะ" sheetId="38" r:id="rId6"/>
    <sheet name="ต่ำกว่าเกณฑ์ " sheetId="39" r:id="rId7"/>
    <sheet name="Sheet1" sheetId="36" r:id="rId8"/>
    <sheet name="Sheet2" sheetId="37" r:id="rId9"/>
    <sheet name="Sheet3" sheetId="40" r:id="rId10"/>
  </sheets>
  <definedNames>
    <definedName name="_xlnm._FilterDatabase" localSheetId="1" hidden="1">'1.สำนักงาน'!#REF!</definedName>
    <definedName name="_xlnm.Print_Titles" localSheetId="1">'1.สำนักงาน'!$3:$5</definedName>
    <definedName name="_xlnm.Print_Titles" localSheetId="2">'2.ไฟฟ้า'!$3:$5</definedName>
    <definedName name="_xlnm.Print_Titles" localSheetId="3">'3.โฆษณา'!$3:$5</definedName>
    <definedName name="_xlnm.Print_Titles" localSheetId="4">'5.คอมพิวเตอร์'!$3:$5</definedName>
    <definedName name="_xlnm.Print_Titles" localSheetId="0">ค่าที่ดิน!$3:$5</definedName>
    <definedName name="_xlnm.Print_Titles" localSheetId="6">'ต่ำกว่าเกณฑ์ '!$3:$5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9" i="19" l="1"/>
  <c r="E95" i="1"/>
  <c r="E577" i="23"/>
  <c r="E24" i="23"/>
  <c r="E9" i="1"/>
  <c r="N9" i="1" s="1"/>
  <c r="E133" i="1" l="1"/>
  <c r="E112" i="1"/>
  <c r="E103" i="1"/>
  <c r="E75" i="1"/>
  <c r="E48" i="1"/>
  <c r="E25" i="1"/>
  <c r="E42" i="7"/>
  <c r="E74" i="39" l="1"/>
  <c r="N73" i="39"/>
  <c r="N51" i="39"/>
  <c r="N27" i="39"/>
  <c r="N28" i="39" s="1"/>
  <c r="O132" i="1" l="1"/>
  <c r="E98" i="19"/>
  <c r="N98" i="19" s="1"/>
  <c r="N96" i="19"/>
  <c r="N93" i="19"/>
  <c r="E94" i="19"/>
  <c r="N94" i="19" s="1"/>
  <c r="N605" i="23" l="1"/>
  <c r="N587" i="23"/>
  <c r="N543" i="23"/>
  <c r="N530" i="23"/>
  <c r="N508" i="23"/>
  <c r="N497" i="23"/>
  <c r="N484" i="23"/>
  <c r="N472" i="23"/>
  <c r="N456" i="23"/>
  <c r="N432" i="23"/>
  <c r="N408" i="23"/>
  <c r="N384" i="23"/>
  <c r="N360" i="23"/>
  <c r="N336" i="23"/>
  <c r="N312" i="23"/>
  <c r="N288" i="23"/>
  <c r="N264" i="23"/>
  <c r="N240" i="23"/>
  <c r="N216" i="23"/>
  <c r="N192" i="23"/>
  <c r="N168" i="23"/>
  <c r="N144" i="23"/>
  <c r="N120" i="23"/>
  <c r="N96" i="23"/>
  <c r="N72" i="23"/>
  <c r="N48" i="23"/>
  <c r="N23" i="23"/>
  <c r="N32" i="7"/>
  <c r="N17" i="7"/>
  <c r="N70" i="19"/>
  <c r="N50" i="19"/>
  <c r="N26" i="19"/>
  <c r="O120" i="1"/>
  <c r="O105" i="1"/>
  <c r="O83" i="1"/>
  <c r="O71" i="1"/>
  <c r="O51" i="1"/>
  <c r="O41" i="1"/>
  <c r="N112" i="1" l="1"/>
  <c r="N89" i="19"/>
  <c r="E60" i="19"/>
  <c r="N60" i="19" s="1"/>
  <c r="E56" i="19"/>
  <c r="N56" i="19" l="1"/>
  <c r="E26" i="35"/>
  <c r="E48" i="35"/>
  <c r="N42" i="7" l="1"/>
  <c r="N91" i="1" l="1"/>
  <c r="N73" i="1"/>
  <c r="N66" i="1"/>
  <c r="N46" i="1"/>
  <c r="N39" i="1"/>
  <c r="N47" i="1" l="1"/>
  <c r="P545" i="23"/>
  <c r="N102" i="1"/>
  <c r="E116" i="1"/>
  <c r="N115" i="1" s="1"/>
  <c r="N123" i="1"/>
  <c r="E9" i="39" l="1"/>
  <c r="E75" i="39" s="1"/>
  <c r="N9" i="39" l="1"/>
  <c r="E83" i="19" l="1"/>
  <c r="N83" i="19" s="1"/>
  <c r="E70" i="19"/>
  <c r="N71" i="19" l="1"/>
  <c r="O94" i="19" s="1"/>
  <c r="O98" i="19" s="1"/>
  <c r="E99" i="19"/>
  <c r="N119" i="1"/>
  <c r="E52" i="1"/>
  <c r="N51" i="1" l="1"/>
  <c r="O100" i="19"/>
  <c r="E58" i="1"/>
  <c r="N57" i="1" s="1"/>
  <c r="N67" i="1" s="1"/>
  <c r="E134" i="1" l="1"/>
  <c r="O32" i="1"/>
  <c r="E20" i="38"/>
  <c r="E496" i="23" l="1"/>
  <c r="E606" i="23"/>
  <c r="C35" i="37" l="1"/>
  <c r="D35" i="37"/>
  <c r="E35" i="37"/>
  <c r="F35" i="37"/>
  <c r="G35" i="37"/>
  <c r="H35" i="37"/>
  <c r="B35" i="37"/>
  <c r="C35" i="36" l="1"/>
  <c r="E35" i="36"/>
  <c r="E9" i="23" l="1"/>
  <c r="E607" i="23" s="1"/>
  <c r="N22" i="23" l="1"/>
  <c r="N24" i="23" s="1"/>
  <c r="N94" i="1"/>
  <c r="N74" i="1"/>
  <c r="N25" i="1"/>
  <c r="E41" i="35"/>
  <c r="E49" i="35" s="1"/>
  <c r="N1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Svoa</author>
  </authors>
  <commentList>
    <comment ref="G11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Svoa: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Svoa</author>
  </authors>
  <commentList>
    <comment ref="A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Svoa: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<sst xmlns="http://schemas.openxmlformats.org/spreadsheetml/2006/main" count="4496" uniqueCount="1374">
  <si>
    <t>ราคาที่ได้มา</t>
  </si>
  <si>
    <t>รายการ</t>
  </si>
  <si>
    <t>หมายเหตุ</t>
  </si>
  <si>
    <t>วัน เดือน ปี</t>
  </si>
  <si>
    <t>ที่ได้มา</t>
  </si>
  <si>
    <t>8 มี.ค. 2532</t>
  </si>
  <si>
    <t>10 ส.ค. 2555</t>
  </si>
  <si>
    <t>หอกระจายข่าวประจำชุมชน</t>
  </si>
  <si>
    <t>271-48-002</t>
  </si>
  <si>
    <t>ชุมชนศรีบุญโยง</t>
  </si>
  <si>
    <t>271-48-003</t>
  </si>
  <si>
    <t>ชุมชนจามเทวี</t>
  </si>
  <si>
    <t>271-48-004</t>
  </si>
  <si>
    <t>ชุมชนเจริญประเทศ</t>
  </si>
  <si>
    <t>271-48-005</t>
  </si>
  <si>
    <t>ชุมชนป่าขาม 1</t>
  </si>
  <si>
    <t>271-48-006</t>
  </si>
  <si>
    <t>ชุมชนตรอกไฟฟ้าเก่า</t>
  </si>
  <si>
    <t>271-48-007</t>
  </si>
  <si>
    <t>ชุมชนสามดวงสามัคคี</t>
  </si>
  <si>
    <t>271-48-008</t>
  </si>
  <si>
    <t>ชุมชนนาก่วมเหนือ</t>
  </si>
  <si>
    <t>271-48-009</t>
  </si>
  <si>
    <t>ชุมชนพระธาตุนาก่วมเหนือ</t>
  </si>
  <si>
    <t>271-48-010</t>
  </si>
  <si>
    <t>ชุมชนศรีบุญเรือง</t>
  </si>
  <si>
    <t>271-48-011</t>
  </si>
  <si>
    <t>ชุมชนสุขสวัสดิ์</t>
  </si>
  <si>
    <t>271-48-012</t>
  </si>
  <si>
    <t>ชุมชนบ้านดงม่อนกระทิง</t>
  </si>
  <si>
    <t>271-48-013</t>
  </si>
  <si>
    <t>ชุมชนประตูตาล</t>
  </si>
  <si>
    <t>271-48-014</t>
  </si>
  <si>
    <t>ชุมชนบ้านศรีปงชัย</t>
  </si>
  <si>
    <t xml:space="preserve">โต๊ะไม้ตั้งเครื่องพิมพ์ดีด </t>
  </si>
  <si>
    <t>400-19-0113</t>
  </si>
  <si>
    <t>โต๊ะทำงาน ไม้ ระดับ 3-6</t>
  </si>
  <si>
    <t>400-24-0505</t>
  </si>
  <si>
    <t>โต๊ะทำงาน ขนาด 60 x 80 x 120 ซม.</t>
  </si>
  <si>
    <t>400-54-5960</t>
  </si>
  <si>
    <t>400-54-5963</t>
  </si>
  <si>
    <t>400-54-5964</t>
  </si>
  <si>
    <t xml:space="preserve">เก้าอี้ โครงสร้างทำจากเหล็กชุบโครเมียม </t>
  </si>
  <si>
    <t>401-47-6215</t>
  </si>
  <si>
    <t>401-47-6216</t>
  </si>
  <si>
    <t>401-47-6217</t>
  </si>
  <si>
    <t>401-47-6218</t>
  </si>
  <si>
    <t>401-47-6219</t>
  </si>
  <si>
    <t>401-47-6220</t>
  </si>
  <si>
    <t>401-47-6221</t>
  </si>
  <si>
    <t>401-52-7902</t>
  </si>
  <si>
    <t xml:space="preserve">ตู้เหล็กเก็บเอกสาร  ยี่ห้อ  คิงคอง </t>
  </si>
  <si>
    <t>406-17-0103</t>
  </si>
  <si>
    <t>ตู้เก็บอุปกรณ์เครื่องกระจายข่าว</t>
  </si>
  <si>
    <t>406-46-1152</t>
  </si>
  <si>
    <t xml:space="preserve">ตู้เหล็กเก็บเอกสาร ชนิดบานเลื่อนทึบ </t>
  </si>
  <si>
    <t>406-47-1141</t>
  </si>
  <si>
    <t xml:space="preserve">ยี่ห้อ SURE ขนาด 1486x406x876 มม. </t>
  </si>
  <si>
    <t xml:space="preserve">ตู้เหล็กเก็บเอกสาร ชนิดบานเลื่อนกระจก </t>
  </si>
  <si>
    <t>406-47-1142</t>
  </si>
  <si>
    <t>ตู้เหล็กใส่ของ ขนาด  40 x 120  x 75  ซม.</t>
  </si>
  <si>
    <t>406-52-1230</t>
  </si>
  <si>
    <t>ตู้ไม้ใส่หนังสือ ขนาด 40 x 120 x 160   ซม.</t>
  </si>
  <si>
    <t>406-52-1231</t>
  </si>
  <si>
    <t>รถประชาสัมพันธ์</t>
  </si>
  <si>
    <t>คอมพิวเตอร์ ยี่ห้อ Acer  รุ่น Veriton M 4 Scries</t>
  </si>
  <si>
    <t>416-55-0695</t>
  </si>
  <si>
    <t>จอคอมพิวเตอร์ ขนาด20 นิ้ว ยี่ห้อ Acer รุ่น v203HL</t>
  </si>
  <si>
    <t>416-55-0684</t>
  </si>
  <si>
    <t>คอมพิวเตอร์ ยี่ห้อ Acer  รุ่น Veriton M2 SERIES</t>
  </si>
  <si>
    <t>416-59-0875</t>
  </si>
  <si>
    <t>จอคอมพิวเตอร์ 18.5 นิ้ว ยี่ห้อ  Acer  รุ่น V196HQL</t>
  </si>
  <si>
    <t>416-59-0876</t>
  </si>
  <si>
    <t xml:space="preserve">เครื่องคอมพิวเตอร์ ยี่ห้อ Dell </t>
  </si>
  <si>
    <t>416-59-0929</t>
  </si>
  <si>
    <t xml:space="preserve">เครื่องปรับอากาศแบบแยกส่วน ขนาดไม่ต่ำกว่า </t>
  </si>
  <si>
    <t>ห้องระบบโทรศัพท์</t>
  </si>
  <si>
    <t>420-59-0259</t>
  </si>
  <si>
    <t>18000 BTU เบอร์ 5 ยี่ห้อ HANJO</t>
  </si>
  <si>
    <t>พัดลมดูดอากาศ ขนาด 8 นิ้ว ยี่ห้อ MUSUBISHI</t>
  </si>
  <si>
    <t>432-52-0709</t>
  </si>
  <si>
    <t>432-52-0710</t>
  </si>
  <si>
    <t>1 ก.ย. 2551</t>
  </si>
  <si>
    <t>ชุมชนศรีล้อมฯ</t>
  </si>
  <si>
    <t>ชุมชนท่ามะโอ</t>
  </si>
  <si>
    <t>ชุมชนพระบาทฯ</t>
  </si>
  <si>
    <t>ชุมชนสิงห์ชัย</t>
  </si>
  <si>
    <t xml:space="preserve">กล้องบันทึกภาพเคลื่อนไหว ยี่ห้อ SONY </t>
  </si>
  <si>
    <t>454-56-0056</t>
  </si>
  <si>
    <t xml:space="preserve"> รุ่น HXR-NX 70P</t>
  </si>
  <si>
    <t>ชุมชนหัวเวียง</t>
  </si>
  <si>
    <t>ชุมชนศรีชุม</t>
  </si>
  <si>
    <t>30 ต.ค. 2546</t>
  </si>
  <si>
    <t>456-59-0078</t>
  </si>
  <si>
    <t>ชุมชนถาวรสุข</t>
  </si>
  <si>
    <t>ห้องออกอากาศ</t>
  </si>
  <si>
    <t>ชุมชนกองต้าเหนือ</t>
  </si>
  <si>
    <t>ชุมชนเจริญสุข</t>
  </si>
  <si>
    <t>ชุมชนท่าคราวน้อย</t>
  </si>
  <si>
    <t>ชุมชนบ้านใหม่ประตูม้า</t>
  </si>
  <si>
    <t>ชุมชนช่างแต้ม</t>
  </si>
  <si>
    <t xml:space="preserve">ลำโพงฮอร์นปากเหลี่ยมขนาด 80 วัตต์ ยี่ห้อ MS รุ่น 150W </t>
  </si>
  <si>
    <t>459-46-0520</t>
  </si>
  <si>
    <t>ชุมชนศรีปงชัย</t>
  </si>
  <si>
    <t>459-46-0521</t>
  </si>
  <si>
    <t>459-46-0522</t>
  </si>
  <si>
    <t>459-46-0523</t>
  </si>
  <si>
    <t>459-46-0524</t>
  </si>
  <si>
    <t>459-46-0525</t>
  </si>
  <si>
    <t>459-46-0526</t>
  </si>
  <si>
    <t>459-46-0527</t>
  </si>
  <si>
    <t>459-46-0528</t>
  </si>
  <si>
    <t>459-46-0529</t>
  </si>
  <si>
    <t>459-46-0530</t>
  </si>
  <si>
    <t>459-46-0531</t>
  </si>
  <si>
    <t>459-46-0532</t>
  </si>
  <si>
    <t>459-46-0533</t>
  </si>
  <si>
    <t>459-46-0534</t>
  </si>
  <si>
    <t>459-46-0535</t>
  </si>
  <si>
    <t>459-46-0536</t>
  </si>
  <si>
    <t>459-46-0537</t>
  </si>
  <si>
    <t>459-46-0538</t>
  </si>
  <si>
    <t>459-46-0539</t>
  </si>
  <si>
    <t>459-46-0540</t>
  </si>
  <si>
    <t>459-46-0541</t>
  </si>
  <si>
    <t>459-46-0542</t>
  </si>
  <si>
    <t>459-46-0543</t>
  </si>
  <si>
    <t>459-46-0544</t>
  </si>
  <si>
    <t>459-46-0545</t>
  </si>
  <si>
    <t>459-46-0546</t>
  </si>
  <si>
    <t>459-46-0547</t>
  </si>
  <si>
    <t>459-46-0548</t>
  </si>
  <si>
    <t>459-46-0549</t>
  </si>
  <si>
    <t>459-46-0550</t>
  </si>
  <si>
    <t>459-46-0551</t>
  </si>
  <si>
    <t>459-46-0552</t>
  </si>
  <si>
    <t>459-46-0553</t>
  </si>
  <si>
    <t>459-46-0554</t>
  </si>
  <si>
    <t>459-46-0555</t>
  </si>
  <si>
    <t>459-46-0556</t>
  </si>
  <si>
    <t>459-46-0557</t>
  </si>
  <si>
    <t>459-46-0558</t>
  </si>
  <si>
    <t>459-46-0559</t>
  </si>
  <si>
    <t>459-46-0560</t>
  </si>
  <si>
    <t>459-46-0561</t>
  </si>
  <si>
    <t>459-46-0562</t>
  </si>
  <si>
    <t>459-46-0563</t>
  </si>
  <si>
    <t>459-46-0564</t>
  </si>
  <si>
    <t>ชุมชนปงสนุก</t>
  </si>
  <si>
    <t>459-46-0565</t>
  </si>
  <si>
    <t>459-46-0566</t>
  </si>
  <si>
    <t>459-46-0567</t>
  </si>
  <si>
    <t>459-46-0568</t>
  </si>
  <si>
    <t>459-46-0569</t>
  </si>
  <si>
    <t>459-46-0570</t>
  </si>
  <si>
    <t>459-46-0571</t>
  </si>
  <si>
    <t>459-46-0572</t>
  </si>
  <si>
    <t>ชุมชนกำแพงเมือง</t>
  </si>
  <si>
    <t>459-46-0573</t>
  </si>
  <si>
    <t>459-46-0574</t>
  </si>
  <si>
    <t>459-46-0575</t>
  </si>
  <si>
    <t>459-46-0576</t>
  </si>
  <si>
    <t>459-46-0577</t>
  </si>
  <si>
    <t>459-46-0578</t>
  </si>
  <si>
    <t>459-46-0579</t>
  </si>
  <si>
    <t>459-46-0580</t>
  </si>
  <si>
    <t>ชุมชนพระแก้ว-หัวข่วง</t>
  </si>
  <si>
    <t>459-46-0581</t>
  </si>
  <si>
    <t>459-46-0582</t>
  </si>
  <si>
    <t>459-46-0583</t>
  </si>
  <si>
    <t>459-46-0584</t>
  </si>
  <si>
    <t>459-46-0585</t>
  </si>
  <si>
    <t>459-46-0586</t>
  </si>
  <si>
    <t>459-46-0587</t>
  </si>
  <si>
    <t>459-46-0588</t>
  </si>
  <si>
    <t>459-46-0589</t>
  </si>
  <si>
    <t>459-46-0590</t>
  </si>
  <si>
    <t>459-46-0591</t>
  </si>
  <si>
    <t>459-46-0592</t>
  </si>
  <si>
    <t>459-46-0593</t>
  </si>
  <si>
    <t>459-46-0594</t>
  </si>
  <si>
    <t>459-46-0595</t>
  </si>
  <si>
    <t>459-46-0596</t>
  </si>
  <si>
    <t>459-46-0597</t>
  </si>
  <si>
    <t>459-46-0598</t>
  </si>
  <si>
    <t>459-46-0599</t>
  </si>
  <si>
    <t>459-46-0600</t>
  </si>
  <si>
    <t>459-46-0601</t>
  </si>
  <si>
    <t>459-46-0602</t>
  </si>
  <si>
    <t>459-46-0603</t>
  </si>
  <si>
    <t>459-46-0604</t>
  </si>
  <si>
    <t>ชุมชนหน้าค่าย</t>
  </si>
  <si>
    <t>459-46-0605</t>
  </si>
  <si>
    <t>459-46-0606</t>
  </si>
  <si>
    <t>459-46-0607</t>
  </si>
  <si>
    <t>459-46-0608</t>
  </si>
  <si>
    <t>459-46-0609</t>
  </si>
  <si>
    <t>459-46-0610</t>
  </si>
  <si>
    <t>459-46-0611</t>
  </si>
  <si>
    <t>459-46-0612</t>
  </si>
  <si>
    <t>ชุมชนป่าขาม 2</t>
  </si>
  <si>
    <t>459-46-0613</t>
  </si>
  <si>
    <t>459-46-0614</t>
  </si>
  <si>
    <t>459-46-0615</t>
  </si>
  <si>
    <t>459-46-0616</t>
  </si>
  <si>
    <t>459-46-0617</t>
  </si>
  <si>
    <t>459-46-0618</t>
  </si>
  <si>
    <t>459-46-0619</t>
  </si>
  <si>
    <t>459-46-0620</t>
  </si>
  <si>
    <t>459-46-0621</t>
  </si>
  <si>
    <t>459-46-0622</t>
  </si>
  <si>
    <t>459-46-0623</t>
  </si>
  <si>
    <t>459-46-0624</t>
  </si>
  <si>
    <t>ชุมชนศรีชุม-ป่าไผ่</t>
  </si>
  <si>
    <t>459-46-0625</t>
  </si>
  <si>
    <t>459-46-0626</t>
  </si>
  <si>
    <t>459-46-0627</t>
  </si>
  <si>
    <t>459-46-0628</t>
  </si>
  <si>
    <t>459-46-0629</t>
  </si>
  <si>
    <t>459-46-0630</t>
  </si>
  <si>
    <t>459-46-0631</t>
  </si>
  <si>
    <t>459-46-0632</t>
  </si>
  <si>
    <t>459-46-0633</t>
  </si>
  <si>
    <t>459-46-0634</t>
  </si>
  <si>
    <t>459-46-0635</t>
  </si>
  <si>
    <t>459-46-0636</t>
  </si>
  <si>
    <t>ชุมชนศรีเกิด</t>
  </si>
  <si>
    <t>459-46-0637</t>
  </si>
  <si>
    <t>459-46-0638</t>
  </si>
  <si>
    <t>459-46-0639</t>
  </si>
  <si>
    <t>459-46-0640</t>
  </si>
  <si>
    <t>459-46-0641</t>
  </si>
  <si>
    <t>459-46-0642</t>
  </si>
  <si>
    <t>459-46-0643</t>
  </si>
  <si>
    <t xml:space="preserve"> ลำโพงฮอร์นปากกลมขนาด 15 นิ้วพร้อมยูนิต</t>
  </si>
  <si>
    <t>459-51-0646</t>
  </si>
  <si>
    <t>459-51-0647</t>
  </si>
  <si>
    <t>459-51-0648</t>
  </si>
  <si>
    <t>459-51-0649</t>
  </si>
  <si>
    <t>459-51-0650</t>
  </si>
  <si>
    <t>ลำโพงฮอร์นปากกลมขนาด 15 นิ้วพร้อมยูนิต</t>
  </si>
  <si>
    <t>459-51-0651</t>
  </si>
  <si>
    <t>459-51-0652</t>
  </si>
  <si>
    <t>459-51-0653</t>
  </si>
  <si>
    <t>459-51-0654</t>
  </si>
  <si>
    <t>459-51-0655</t>
  </si>
  <si>
    <t>459-51-0656</t>
  </si>
  <si>
    <t>459-51-0657</t>
  </si>
  <si>
    <t>459-51-0658</t>
  </si>
  <si>
    <t>459-51-0659</t>
  </si>
  <si>
    <t>459-51-0660</t>
  </si>
  <si>
    <t>459-51-0661</t>
  </si>
  <si>
    <t>459-51-0662</t>
  </si>
  <si>
    <t>459-51-0663</t>
  </si>
  <si>
    <t>459-51-0664</t>
  </si>
  <si>
    <t>459-51-0665</t>
  </si>
  <si>
    <t>459-51-0666</t>
  </si>
  <si>
    <t>459-51-0667</t>
  </si>
  <si>
    <t>459-51-0668</t>
  </si>
  <si>
    <t>459-51-0669</t>
  </si>
  <si>
    <t>459-51-0670</t>
  </si>
  <si>
    <t>459-51-0671</t>
  </si>
  <si>
    <t>459-51-0672</t>
  </si>
  <si>
    <t>459-51-0673</t>
  </si>
  <si>
    <t>459-51-0674</t>
  </si>
  <si>
    <t>459-51-0675</t>
  </si>
  <si>
    <t>459-51-0676</t>
  </si>
  <si>
    <t>459-51-0677</t>
  </si>
  <si>
    <t>459-51-0678</t>
  </si>
  <si>
    <t>459-51-0679</t>
  </si>
  <si>
    <t>459-51-0680</t>
  </si>
  <si>
    <t>459-51-0681</t>
  </si>
  <si>
    <t>459-51-0682</t>
  </si>
  <si>
    <t>459-51-0683</t>
  </si>
  <si>
    <t>459-51-0684</t>
  </si>
  <si>
    <t>459-51-0685</t>
  </si>
  <si>
    <t>459-51-0686</t>
  </si>
  <si>
    <t>ชุมชนบ้านปงสนุก</t>
  </si>
  <si>
    <t>459-51-0687</t>
  </si>
  <si>
    <t>459-51-0688</t>
  </si>
  <si>
    <t>459-51-0689</t>
  </si>
  <si>
    <t>459-51-0690</t>
  </si>
  <si>
    <t>459-51-0691</t>
  </si>
  <si>
    <t>459-51-0692</t>
  </si>
  <si>
    <t>459-51-0693</t>
  </si>
  <si>
    <t>459-51-0694</t>
  </si>
  <si>
    <t>459-51-0695</t>
  </si>
  <si>
    <t>459-51-0696</t>
  </si>
  <si>
    <t>ชุมชนวัดสิงห์ชัย</t>
  </si>
  <si>
    <t>459-51-0697</t>
  </si>
  <si>
    <t>459-51-0698</t>
  </si>
  <si>
    <t>459-51-0699</t>
  </si>
  <si>
    <t>459-51-0700</t>
  </si>
  <si>
    <t>459-51-0701</t>
  </si>
  <si>
    <t>459-51-0702</t>
  </si>
  <si>
    <t>459-51-0703</t>
  </si>
  <si>
    <t>459-51-0704</t>
  </si>
  <si>
    <t>459-51-0705</t>
  </si>
  <si>
    <t>459-51-0706</t>
  </si>
  <si>
    <t>ชุมชนกาดกองต้าใต้</t>
  </si>
  <si>
    <t>459-51-0707</t>
  </si>
  <si>
    <t>459-51-0708</t>
  </si>
  <si>
    <t>459-51-0709</t>
  </si>
  <si>
    <t>459-51-0710</t>
  </si>
  <si>
    <t>459-51-0711</t>
  </si>
  <si>
    <t>459-51-0712</t>
  </si>
  <si>
    <t>459-51-0713</t>
  </si>
  <si>
    <t>459-51-0714</t>
  </si>
  <si>
    <t>459-51-0715</t>
  </si>
  <si>
    <t>459-51-0716</t>
  </si>
  <si>
    <t>ชุมชนกาดกองต้าเหนือ</t>
  </si>
  <si>
    <t>459-51-0717</t>
  </si>
  <si>
    <t>459-51-0718</t>
  </si>
  <si>
    <t>459-51-0719</t>
  </si>
  <si>
    <t>459-51-0720</t>
  </si>
  <si>
    <t>459-51-0721</t>
  </si>
  <si>
    <t>459-51-0722</t>
  </si>
  <si>
    <t>459-51-0723</t>
  </si>
  <si>
    <t>459-51-0724</t>
  </si>
  <si>
    <t>459-51-0725</t>
  </si>
  <si>
    <t>459-51-0726</t>
  </si>
  <si>
    <t>459-51-0727</t>
  </si>
  <si>
    <t>459-51-0728</t>
  </si>
  <si>
    <t>459-51-0729</t>
  </si>
  <si>
    <t>459-51-0730</t>
  </si>
  <si>
    <t>459-51-0731</t>
  </si>
  <si>
    <t>459-51-0732</t>
  </si>
  <si>
    <t>459-51-0733</t>
  </si>
  <si>
    <t>459-51-0734</t>
  </si>
  <si>
    <t>459-51-0735</t>
  </si>
  <si>
    <t>459-51-0736</t>
  </si>
  <si>
    <t>459-51-0737</t>
  </si>
  <si>
    <t>459-51-0738</t>
  </si>
  <si>
    <t>459-51-0739</t>
  </si>
  <si>
    <t>459-51-0740</t>
  </si>
  <si>
    <t>459-51-0741</t>
  </si>
  <si>
    <t>459-51-0742</t>
  </si>
  <si>
    <t>459-51-0743</t>
  </si>
  <si>
    <t>459-51-0744</t>
  </si>
  <si>
    <t>459-51-0745</t>
  </si>
  <si>
    <t>ลำโพงฮอร์นปากกลม ขนาด 15 นิ้ว พร้อมยูนิต</t>
  </si>
  <si>
    <t>459-55-0785</t>
  </si>
  <si>
    <t>459-55-0786</t>
  </si>
  <si>
    <t>459-55-0787</t>
  </si>
  <si>
    <t>459-55-0788</t>
  </si>
  <si>
    <t>459-55-0789</t>
  </si>
  <si>
    <t>459-55-0790</t>
  </si>
  <si>
    <t>459-55-0791</t>
  </si>
  <si>
    <t>459-55-0792</t>
  </si>
  <si>
    <t>459-55-0793</t>
  </si>
  <si>
    <t>459-55-0794</t>
  </si>
  <si>
    <t>459-55-0795</t>
  </si>
  <si>
    <t>459-55-0796</t>
  </si>
  <si>
    <t>459-55-0797</t>
  </si>
  <si>
    <t>459-55-0798</t>
  </si>
  <si>
    <t>459-55-0799</t>
  </si>
  <si>
    <t>459-55-0800</t>
  </si>
  <si>
    <t>459-55-0801</t>
  </si>
  <si>
    <t>459-55-0802</t>
  </si>
  <si>
    <t>459-55-0803</t>
  </si>
  <si>
    <t>459-55-0804</t>
  </si>
  <si>
    <t>459-55-0805</t>
  </si>
  <si>
    <t>459-55-0806</t>
  </si>
  <si>
    <t>459-55-0807</t>
  </si>
  <si>
    <t>459-55-0808</t>
  </si>
  <si>
    <t>459-55-0809</t>
  </si>
  <si>
    <t>459-55-0810</t>
  </si>
  <si>
    <t>459-55-0811</t>
  </si>
  <si>
    <t>459-55-0812</t>
  </si>
  <si>
    <t>459-55-0813</t>
  </si>
  <si>
    <t>459-55-0814</t>
  </si>
  <si>
    <t>ลำโพงฮอร์นปากกลม ขนาด 15 นิ้ว พร้อมยูนิตมีลายน์</t>
  </si>
  <si>
    <t>459-59-0847</t>
  </si>
  <si>
    <t>28 ก.ค.2559</t>
  </si>
  <si>
    <t>459-59-0848</t>
  </si>
  <si>
    <t>459-59-0849</t>
  </si>
  <si>
    <t>459-59-0850</t>
  </si>
  <si>
    <t>459-59-0851</t>
  </si>
  <si>
    <t>459-59-0852</t>
  </si>
  <si>
    <t>459-59-0853</t>
  </si>
  <si>
    <t>459-59-0854</t>
  </si>
  <si>
    <t>459-59-0855</t>
  </si>
  <si>
    <t>459-59-0856</t>
  </si>
  <si>
    <t>459-59-0857</t>
  </si>
  <si>
    <t>459-59-0858</t>
  </si>
  <si>
    <t>459-59-0859</t>
  </si>
  <si>
    <t>459-59-0860</t>
  </si>
  <si>
    <t>459-59-0861</t>
  </si>
  <si>
    <t>459-59-0862</t>
  </si>
  <si>
    <t>459-59-0863</t>
  </si>
  <si>
    <t>459-59-0864</t>
  </si>
  <si>
    <t>459-59-0865</t>
  </si>
  <si>
    <t>459-59-0866</t>
  </si>
  <si>
    <t>459-59-0867</t>
  </si>
  <si>
    <t>459-59-0868</t>
  </si>
  <si>
    <t>459-59-0869</t>
  </si>
  <si>
    <t>459-59-0870</t>
  </si>
  <si>
    <t>459-59-0871</t>
  </si>
  <si>
    <t>459-59-0872</t>
  </si>
  <si>
    <t>459-59-0873</t>
  </si>
  <si>
    <t>459-59-0874</t>
  </si>
  <si>
    <t>459-59-0875</t>
  </si>
  <si>
    <t>459-59-0876</t>
  </si>
  <si>
    <t>459-59-0877</t>
  </si>
  <si>
    <t>459-59-0878</t>
  </si>
  <si>
    <t>459-59-0879</t>
  </si>
  <si>
    <t>459-59-0880</t>
  </si>
  <si>
    <t>459-59-0881</t>
  </si>
  <si>
    <t>459-59-0882</t>
  </si>
  <si>
    <t>459-59-0883</t>
  </si>
  <si>
    <t>459-59-0884</t>
  </si>
  <si>
    <t>459-59-0885</t>
  </si>
  <si>
    <t>459-59-0886</t>
  </si>
  <si>
    <t>459-59-0887</t>
  </si>
  <si>
    <t>459-59-0888</t>
  </si>
  <si>
    <t>459-59-0889</t>
  </si>
  <si>
    <t>459-59-0890</t>
  </si>
  <si>
    <t>459-59-0891</t>
  </si>
  <si>
    <t xml:space="preserve">ตู้ลำโพง ยี่ห้อ NPE รุ่น PQ-400 ขนาด 15 นิ้ว </t>
  </si>
  <si>
    <t>459-59-0897</t>
  </si>
  <si>
    <t>แบบสองทาง 800 วัตต์ พร้อมขาตั้งลำโพง</t>
  </si>
  <si>
    <t>459-59-0898</t>
  </si>
  <si>
    <t>เครื่องเพาเวอร์แอมป์ ยี่ห้อ Music รุ่น KC-1000</t>
  </si>
  <si>
    <t>462-55-0287</t>
  </si>
  <si>
    <t>462-55-0288</t>
  </si>
  <si>
    <t>462-55-0289</t>
  </si>
  <si>
    <t>เครื่องขยายเสียง 1000 วัตต์ ยี่ห้อ NPE รุ่น LDM-1000</t>
  </si>
  <si>
    <t>462-56-0293</t>
  </si>
  <si>
    <t>462-57-0298</t>
  </si>
  <si>
    <t>462-57-0299</t>
  </si>
  <si>
    <t>462-57-0300</t>
  </si>
  <si>
    <t>462-57-0301</t>
  </si>
  <si>
    <t>462-57-0302</t>
  </si>
  <si>
    <t>เครื่องขยายเสียง ยี่ห้อ NPE  รุ่น  LDM-1000</t>
  </si>
  <si>
    <t>462-58-0305</t>
  </si>
  <si>
    <t>462-58-0306</t>
  </si>
  <si>
    <t>462-58-0307</t>
  </si>
  <si>
    <t>462-58-0308</t>
  </si>
  <si>
    <t>462-59-0312</t>
  </si>
  <si>
    <t>462-59-0313</t>
  </si>
  <si>
    <t>462-59-0314</t>
  </si>
  <si>
    <t xml:space="preserve">เพาเวอร์แอมป์ ยี่ห้อ PHONIC รุ่น POWER </t>
  </si>
  <si>
    <t>463-59-0021</t>
  </si>
  <si>
    <t>463-59-0022</t>
  </si>
  <si>
    <t>463-59-0023</t>
  </si>
  <si>
    <t>ชุมชนประตูต้นผึ้ง</t>
  </si>
  <si>
    <t>14 ส.ค. 2556</t>
  </si>
  <si>
    <t>15 ก.ย. 2557</t>
  </si>
  <si>
    <t>459-56-0027</t>
  </si>
  <si>
    <t>459-56-0028</t>
  </si>
  <si>
    <t>459-56-0029</t>
  </si>
  <si>
    <t>459-56-0030</t>
  </si>
  <si>
    <t>459-56-0031</t>
  </si>
  <si>
    <t>459-56-0032</t>
  </si>
  <si>
    <t>459-56-0033</t>
  </si>
  <si>
    <t>459-56-0034</t>
  </si>
  <si>
    <t>459-56-0035</t>
  </si>
  <si>
    <t>459-56-0036</t>
  </si>
  <si>
    <t>459-56-0037</t>
  </si>
  <si>
    <t>459-56-0038</t>
  </si>
  <si>
    <t>459-56-0039</t>
  </si>
  <si>
    <t>459-56-0040</t>
  </si>
  <si>
    <t>459-56-0041</t>
  </si>
  <si>
    <t>459-56-0042</t>
  </si>
  <si>
    <t>459-56-0043</t>
  </si>
  <si>
    <t>ชุมชนตรอกโรงไฟฟ้า</t>
  </si>
  <si>
    <t>459-56-0044</t>
  </si>
  <si>
    <t>459-56-0045</t>
  </si>
  <si>
    <t>459-56-0046</t>
  </si>
  <si>
    <t>459-56-0047</t>
  </si>
  <si>
    <t>459-56-0048</t>
  </si>
  <si>
    <t>459-56-0049</t>
  </si>
  <si>
    <t>459-56-0050</t>
  </si>
  <si>
    <t>459-56-0051</t>
  </si>
  <si>
    <t>ลำโพงตู้ 5 นิ้ว 2 ทาง มี Line ยี่ห้อ NTS NC-502T</t>
  </si>
  <si>
    <t>ภายในสำนักงาน</t>
  </si>
  <si>
    <t>ลำโพงฮอร์น มี Line ยี่ห้อ  ROYAL RY-100L</t>
  </si>
  <si>
    <t xml:space="preserve">ลำโพงฮอร์น 15 นิ้ว พร้อทยูนิต ยี่ห้อ SV-15 </t>
  </si>
  <si>
    <t>459-57-0052</t>
  </si>
  <si>
    <t>459-57-0053</t>
  </si>
  <si>
    <t>ลำโพงฮอร์น 15 นิ้ว พร้อทยูนิต ยี่ห้อ SV-15</t>
  </si>
  <si>
    <t>459-57-0054</t>
  </si>
  <si>
    <t>459-57-0055</t>
  </si>
  <si>
    <t>459-57-0056</t>
  </si>
  <si>
    <t>459-57-0057</t>
  </si>
  <si>
    <t>459-57-0058</t>
  </si>
  <si>
    <t>459-57-0059</t>
  </si>
  <si>
    <t>459-57-0060</t>
  </si>
  <si>
    <t>459-57-0061</t>
  </si>
  <si>
    <t>459-57-0062</t>
  </si>
  <si>
    <t>459-57-0063</t>
  </si>
  <si>
    <t>459-57-0064</t>
  </si>
  <si>
    <t>459-57-0065</t>
  </si>
  <si>
    <t>459-57-0066</t>
  </si>
  <si>
    <t>459-57-0067</t>
  </si>
  <si>
    <t>459-57-0068</t>
  </si>
  <si>
    <t>459-57-0069</t>
  </si>
  <si>
    <t>459-57-0070</t>
  </si>
  <si>
    <t>459-57-0071</t>
  </si>
  <si>
    <t>459-57-0072</t>
  </si>
  <si>
    <t>459-57-0073</t>
  </si>
  <si>
    <t>459-57-0074</t>
  </si>
  <si>
    <t>459-57-0075</t>
  </si>
  <si>
    <t>459-57-0076</t>
  </si>
  <si>
    <t>รหัสครุภัณฑ์</t>
  </si>
  <si>
    <t>รวม</t>
  </si>
  <si>
    <t>29 ธ.ค. 2558</t>
  </si>
  <si>
    <t>กล้องถ่ายรูป (452)</t>
  </si>
  <si>
    <t>9 เม.ย. 2523</t>
  </si>
  <si>
    <t>โต๊ะ (400)</t>
  </si>
  <si>
    <t>เก้าอี้ (401)</t>
  </si>
  <si>
    <t>15 มี.ค. 2547</t>
  </si>
  <si>
    <t>29 ต.ค. 2517</t>
  </si>
  <si>
    <t>23 มิ.ย.2559</t>
  </si>
  <si>
    <t>เครื่องปรับอากาศ (420)</t>
  </si>
  <si>
    <t>เครื่องโทรสาร (424)</t>
  </si>
  <si>
    <t>พัดลม (432)</t>
  </si>
  <si>
    <t>18 ก.ย. 2552</t>
  </si>
  <si>
    <t>ตู้ (406)</t>
  </si>
  <si>
    <t>23 พ.ค. 2559</t>
  </si>
  <si>
    <t>22  มีค. 2556</t>
  </si>
  <si>
    <t>กล้องถ่ายวีดีโอ (454)</t>
  </si>
  <si>
    <t>23 มิ.ย. 2559</t>
  </si>
  <si>
    <t>เครื่องรับโทรทัศน์ (456)</t>
  </si>
  <si>
    <t>เครื่องผสมสัญญาณเสียง (430)</t>
  </si>
  <si>
    <t>ลำโพง (459)</t>
  </si>
  <si>
    <t xml:space="preserve"> 1 ก.พ. 2559</t>
  </si>
  <si>
    <t>หอกระจายข่าวประจำชุมชน  (271)</t>
  </si>
  <si>
    <t>28 ก.ค. 2559</t>
  </si>
  <si>
    <t>8 ธ.ค. 2524</t>
  </si>
  <si>
    <t>16 ก.ย. 2554</t>
  </si>
  <si>
    <t>21 พ.ค. 2555</t>
  </si>
  <si>
    <t>15 มิ.ย. 2555</t>
  </si>
  <si>
    <t>25 มค. 2556</t>
  </si>
  <si>
    <t>8 เม.ย. 2557</t>
  </si>
  <si>
    <t>3 มี.ค. 2558</t>
  </si>
  <si>
    <t>459-57-0077</t>
  </si>
  <si>
    <t>459-57-0078</t>
  </si>
  <si>
    <t>459-57-0079</t>
  </si>
  <si>
    <t>459-57-0080</t>
  </si>
  <si>
    <t>459-57-0081</t>
  </si>
  <si>
    <t>459-57-0082</t>
  </si>
  <si>
    <t>459-57-0083</t>
  </si>
  <si>
    <t>459-57-0084</t>
  </si>
  <si>
    <t>459-57-0085</t>
  </si>
  <si>
    <t>459-57-0086</t>
  </si>
  <si>
    <t>459-57-0087</t>
  </si>
  <si>
    <t>459-57-0088</t>
  </si>
  <si>
    <t>เก้าอี้พนักพิง บุหนังเทียม แบบหมุนได้พร้อมที่ท้าวแขน</t>
  </si>
  <si>
    <t>สถานที่ใช้งาน</t>
  </si>
  <si>
    <t>ใช้ได้</t>
  </si>
  <si>
    <t>ชำรุด</t>
  </si>
  <si>
    <t>สูญหาย</t>
  </si>
  <si>
    <t>สภาพครุภัณฑ์</t>
  </si>
  <si>
    <t>เสื่อม</t>
  </si>
  <si>
    <t>เก็บ</t>
  </si>
  <si>
    <t>หมดความ</t>
  </si>
  <si>
    <t>สภาพ</t>
  </si>
  <si>
    <t>ไว้นาน</t>
  </si>
  <si>
    <t>จำเป็น</t>
  </si>
  <si>
    <t>เครื่องเล่น CD (463)</t>
  </si>
  <si>
    <t>ü</t>
  </si>
  <si>
    <t>185-60-0127</t>
  </si>
  <si>
    <t>2 พ.ค.60</t>
  </si>
  <si>
    <t>185-60-0128</t>
  </si>
  <si>
    <t>185-60-0129</t>
  </si>
  <si>
    <t>185-60-0130</t>
  </si>
  <si>
    <t>185-60-0131</t>
  </si>
  <si>
    <t xml:space="preserve">จอคอมพิวเตอร์ LCD ขนาด 19.5 นิ้ว ยี่ห้อ Lenovo   </t>
  </si>
  <si>
    <t>416-60-1290</t>
  </si>
  <si>
    <t>416-60-1291</t>
  </si>
  <si>
    <t>ชุมชนท่ามะโอฯ</t>
  </si>
  <si>
    <t>เครื่องเล่น DVD  ยี่ห้อ Famiry รุ่น W1010</t>
  </si>
  <si>
    <t xml:space="preserve">กล้องบันทึกภาพ ยี่ห้อ CANON รุ่น EOS 80D </t>
  </si>
  <si>
    <t>452-60-0077</t>
  </si>
  <si>
    <t>เครื่องคอมพิวเตอร์ ยี่ห้อ Lenovo</t>
  </si>
  <si>
    <t xml:space="preserve">จอคอมพิวเตอร์ ขนาด 22 นิ้ว ยี่ห้อ Dell </t>
  </si>
  <si>
    <t>เครื่องขยายเสียง ยี่ห้อ Music รุ่น KU-1000B</t>
  </si>
  <si>
    <t>462-60-0322</t>
  </si>
  <si>
    <t>16 มิ.ย. 2560</t>
  </si>
  <si>
    <t>462-60-0323</t>
  </si>
  <si>
    <t>ชุมชนพระธาตุนาก่วมฯ</t>
  </si>
  <si>
    <t>462-60-0324</t>
  </si>
  <si>
    <t>462-60-0325</t>
  </si>
  <si>
    <t>462-60-0326</t>
  </si>
  <si>
    <t>462-60-0327</t>
  </si>
  <si>
    <t>462-60-0328</t>
  </si>
  <si>
    <t>462-60-0329</t>
  </si>
  <si>
    <t>462-60-0330</t>
  </si>
  <si>
    <t>462-60-0331</t>
  </si>
  <si>
    <t>462-60-0332</t>
  </si>
  <si>
    <t>462-60-0333</t>
  </si>
  <si>
    <t>462-60-0334</t>
  </si>
  <si>
    <t>462-60-0335</t>
  </si>
  <si>
    <t xml:space="preserve">เครื่องเล่น DVD  ยี่ห้อ Famiry รุ่น W-1010 </t>
  </si>
  <si>
    <t>463-60-0024</t>
  </si>
  <si>
    <t>463-60-0025</t>
  </si>
  <si>
    <t>463-60-0026</t>
  </si>
  <si>
    <t>463-60-0027</t>
  </si>
  <si>
    <t>463-60-0028</t>
  </si>
  <si>
    <t>463-60-0029</t>
  </si>
  <si>
    <t>463-60-0030</t>
  </si>
  <si>
    <t>463-60-0031</t>
  </si>
  <si>
    <t>463-60-0032</t>
  </si>
  <si>
    <t>463-60-0033</t>
  </si>
  <si>
    <t>463-60-0034</t>
  </si>
  <si>
    <t>463-60-0035</t>
  </si>
  <si>
    <t>463-60-0036</t>
  </si>
  <si>
    <t>463-60-0037</t>
  </si>
  <si>
    <t>406-31-0419</t>
  </si>
  <si>
    <t>ตู้เหล็กเก็บเอกสารยี่ห้อคิงคอง 15 ลิ้นชัก</t>
  </si>
  <si>
    <t>11 ก.พ. 2531</t>
  </si>
  <si>
    <t>16 มิ.ย. 60</t>
  </si>
  <si>
    <t>ประตูตาล</t>
  </si>
  <si>
    <t>พระธาตุนาก่วมฯ</t>
  </si>
  <si>
    <t>บ้านดงม่อนกระทิง</t>
  </si>
  <si>
    <t>ท่ามะโอ-ประตูป่อง</t>
  </si>
  <si>
    <t>กำแพงเมือง</t>
  </si>
  <si>
    <t>ศรีล้อม-แสงเมืองมา</t>
  </si>
  <si>
    <t>พระแก้ว-หัวข่วง</t>
  </si>
  <si>
    <t>สิงห์ชัย</t>
  </si>
  <si>
    <t>บ้านหน้าค่าย</t>
  </si>
  <si>
    <t>พระบาท-หนองหมู</t>
  </si>
  <si>
    <t>ถาวรสุข</t>
  </si>
  <si>
    <t>หัวเวียง</t>
  </si>
  <si>
    <t>ศรีชุม-ป่าไผ่</t>
  </si>
  <si>
    <t>459-60-0911</t>
  </si>
  <si>
    <t>459-60-0912</t>
  </si>
  <si>
    <t>459-60-0913</t>
  </si>
  <si>
    <t>459-60-0914</t>
  </si>
  <si>
    <t>459-60-0915</t>
  </si>
  <si>
    <t>459-60-0916</t>
  </si>
  <si>
    <t>459-60-0917</t>
  </si>
  <si>
    <t>459-60-0918</t>
  </si>
  <si>
    <t>459-60-0919</t>
  </si>
  <si>
    <t>459-60-0920</t>
  </si>
  <si>
    <t>459-60-0921</t>
  </si>
  <si>
    <t>459-60-0922</t>
  </si>
  <si>
    <t>459-60-0923</t>
  </si>
  <si>
    <t>459-60-0924</t>
  </si>
  <si>
    <t>459-60-0925</t>
  </si>
  <si>
    <t>459-60-0926</t>
  </si>
  <si>
    <t>459-60-0927</t>
  </si>
  <si>
    <t>459-60-0928</t>
  </si>
  <si>
    <t>459-60-0929</t>
  </si>
  <si>
    <t>459-60-0930</t>
  </si>
  <si>
    <t>459-60-0931</t>
  </si>
  <si>
    <t>459-60-0932</t>
  </si>
  <si>
    <t>459-60-0933</t>
  </si>
  <si>
    <t>459-60-0934</t>
  </si>
  <si>
    <t>459-60-0935</t>
  </si>
  <si>
    <t>459-60-0936</t>
  </si>
  <si>
    <t>459-60-0937</t>
  </si>
  <si>
    <t>459-60-0938</t>
  </si>
  <si>
    <t>459-60-0939</t>
  </si>
  <si>
    <t>459-60-0940</t>
  </si>
  <si>
    <t>ลำโพง NTS รุ่น HB-5205 ขนาด 5 นิ้ว</t>
  </si>
  <si>
    <t>459-60-0905</t>
  </si>
  <si>
    <t>459-60-0906</t>
  </si>
  <si>
    <t>459-60-0907</t>
  </si>
  <si>
    <t>459-60-0908</t>
  </si>
  <si>
    <t>459-60-0909</t>
  </si>
  <si>
    <t>459-60-0910</t>
  </si>
  <si>
    <t>โครงสร้างป้ายประชาสัมพันธ์ LED</t>
  </si>
  <si>
    <t>444-60-0023</t>
  </si>
  <si>
    <t>444-60-0024</t>
  </si>
  <si>
    <t>444-60-0025</t>
  </si>
  <si>
    <t>444-60-0026</t>
  </si>
  <si>
    <t>444-60-0027</t>
  </si>
  <si>
    <t>วงเวียนสถานีรถไฟนครลำปาง</t>
  </si>
  <si>
    <t>แยกดอนปาน</t>
  </si>
  <si>
    <t>โครงสร้างป้ายประชาสัมพันธ์ระบบอิเล็กทรอนิกส์ (185)</t>
  </si>
  <si>
    <t xml:space="preserve">สวนสาธารณะประตูเวียง </t>
  </si>
  <si>
    <t>ห้องประชาสัมพันธ์</t>
  </si>
  <si>
    <t>นางเบญญาภา</t>
  </si>
  <si>
    <t>นายนพดล</t>
  </si>
  <si>
    <t>น.ส.ชนิกา</t>
  </si>
  <si>
    <t>416-60-1235</t>
  </si>
  <si>
    <t>416-60-1236</t>
  </si>
  <si>
    <t>(บ้านประธานชุมชน)</t>
  </si>
  <si>
    <t>(ศาลาอเนกประสงค์ชุมชน)</t>
  </si>
  <si>
    <t>(กุฏิวัดศรีชุม)</t>
  </si>
  <si>
    <t>(ศาลาอเนกประสงค์ชุมชน หน้าวัดช่างแต้ม)</t>
  </si>
  <si>
    <t>(ศาลาอเนกประสงค์ในวัดป่าขาม)</t>
  </si>
  <si>
    <t>(ศาลาอเนกประสงค์ชุมชน ข้างวัดท่าคราวน้อย)</t>
  </si>
  <si>
    <t>ชุมชนท่ามะโอ-ประตูป่อง</t>
  </si>
  <si>
    <t>ชุมชนพระบาท-หนองหมู</t>
  </si>
  <si>
    <t>462-59-0317</t>
  </si>
  <si>
    <t xml:space="preserve">โครงสร้างป้ายประชาสัมพันธ์ LED </t>
  </si>
  <si>
    <t>จอประชาสัมพันธ์ LED (444)</t>
  </si>
  <si>
    <t xml:space="preserve">ตู้เหล็กเก็บเอกสาร 15 ลิ้นชัก </t>
  </si>
  <si>
    <t>406-33-0493</t>
  </si>
  <si>
    <t>ตู้เหล็กเก็บเอกสาร 15 ลิ้นชัก ยี่ห้อ TAIYO</t>
  </si>
  <si>
    <t>406-35-0583</t>
  </si>
  <si>
    <t>24 พ.ค. 2533</t>
  </si>
  <si>
    <t>26 พ.ค. 2535</t>
  </si>
  <si>
    <t>416-61-1311</t>
  </si>
  <si>
    <t>22  มิ.ย. 2561</t>
  </si>
  <si>
    <t>จอคอมพิวเตอร์ Dell</t>
  </si>
  <si>
    <t>16 ก.พ. 2560</t>
  </si>
  <si>
    <t>2 พ.ค. 2560</t>
  </si>
  <si>
    <t>459-61-0943</t>
  </si>
  <si>
    <t>459-61-0944</t>
  </si>
  <si>
    <t>459-61-0945</t>
  </si>
  <si>
    <t>459-61-0946</t>
  </si>
  <si>
    <t>459-61-0947</t>
  </si>
  <si>
    <t>459-61-0948</t>
  </si>
  <si>
    <t>459-61-0949</t>
  </si>
  <si>
    <t>459-61-0950</t>
  </si>
  <si>
    <t>459-61-0951</t>
  </si>
  <si>
    <t>459-61-0952</t>
  </si>
  <si>
    <t>459-61-0953</t>
  </si>
  <si>
    <t>459-61-0954</t>
  </si>
  <si>
    <t>459-61-0955</t>
  </si>
  <si>
    <t>459-61-0956</t>
  </si>
  <si>
    <t>459-61-0957</t>
  </si>
  <si>
    <t>459-61-0958</t>
  </si>
  <si>
    <t>459-61-0959</t>
  </si>
  <si>
    <t>459-61-0960</t>
  </si>
  <si>
    <t>459-61-0961</t>
  </si>
  <si>
    <t>459-61-0962</t>
  </si>
  <si>
    <t>459-61-0963</t>
  </si>
  <si>
    <t>459-61-0964</t>
  </si>
  <si>
    <t>459-61-0965</t>
  </si>
  <si>
    <t>459-61-0966</t>
  </si>
  <si>
    <t>459-61-0967</t>
  </si>
  <si>
    <t>459-61-0968</t>
  </si>
  <si>
    <t>459-61-0969</t>
  </si>
  <si>
    <t>459-61-0970</t>
  </si>
  <si>
    <t>459-61-0971</t>
  </si>
  <si>
    <t>459-61-0972</t>
  </si>
  <si>
    <t>459-61-0973</t>
  </si>
  <si>
    <t>459-61-0974</t>
  </si>
  <si>
    <t>459-61-0975</t>
  </si>
  <si>
    <t>459-61-0976</t>
  </si>
  <si>
    <t>459-61-0977</t>
  </si>
  <si>
    <t>459-61-0978</t>
  </si>
  <si>
    <t>459-61-0979</t>
  </si>
  <si>
    <t>459-61-0980</t>
  </si>
  <si>
    <t>459-61-0981</t>
  </si>
  <si>
    <t>459-61-0982</t>
  </si>
  <si>
    <t>21 มี.ค. 2561</t>
  </si>
  <si>
    <t xml:space="preserve">ลำโพงฮอร์น ชนาด 15 นิ้ว ยี่ห้อ NANOVA SV-15 </t>
  </si>
  <si>
    <t xml:space="preserve">เครื่องขยายเสียงตามสาย ยี่ห้อ NPE </t>
  </si>
  <si>
    <t>462-61-0341</t>
  </si>
  <si>
    <t>462-61-0342</t>
  </si>
  <si>
    <t>462-61-0343</t>
  </si>
  <si>
    <t>462-61-0344</t>
  </si>
  <si>
    <t>462-61-0345</t>
  </si>
  <si>
    <t>462-61-0346</t>
  </si>
  <si>
    <t>462-61-0347</t>
  </si>
  <si>
    <t>462-61-0348</t>
  </si>
  <si>
    <t>462-61-0349</t>
  </si>
  <si>
    <t>ชุมชนศรีล้อม-แสงเมือง</t>
  </si>
  <si>
    <t>ชุมชนหลัง ร.ร.เทศบาล 4 (บ้านประธานชุมชน)</t>
  </si>
  <si>
    <t>ชุมชนศรีเกิด (ศาลาอเนกประสงค์ วัดศรีเกิด)</t>
  </si>
  <si>
    <t>ชุมชนบ้านดงไชย (วัดดงไชย)</t>
  </si>
  <si>
    <t>ชุมชนหลัง ร.ร.มัธยมวิทยา(บ้านประธานชุมชน)</t>
  </si>
  <si>
    <t>ชุมชนบ้านหน้าค่าย (ศาลาอเนกประสงค์ชุมชน)</t>
  </si>
  <si>
    <t>ชุมชนศรีชุม-ป่าไผ่ (ศาลาอเนกประสงค์ชุมชน)</t>
  </si>
  <si>
    <t>ชุมชนป่าขาม 1(ศาลาอเนกประสงค์ในวัดป่าขาม)</t>
  </si>
  <si>
    <t>ชุมชนพระธาตุนาก่วมฯ (ศาลาอเนกประสงค์)</t>
  </si>
  <si>
    <t>ชุมชนบ้านดงม่อนกระทิง (ศูนย์พัฒนาเด็กเล็กฯ)</t>
  </si>
  <si>
    <t>ชุมชนบ้านใหม่ประตูม้า (บ้านประธานชุมชน)</t>
  </si>
  <si>
    <t>ชุมชนกำแพงเมือง (ศาลาอเนกประสงค์ชุมชน)</t>
  </si>
  <si>
    <t>ชุมชนแจ่งหัวริน (วัดแจ่งหัวริน)</t>
  </si>
  <si>
    <t>ชุมชนประตูต้นผึ้งฯ (บ้านประธานชุมชน)</t>
  </si>
  <si>
    <t xml:space="preserve">เครื่องเล่น DVD  ยี่ห้อ AJ D-181E </t>
  </si>
  <si>
    <t>463-61-0038</t>
  </si>
  <si>
    <t>463-61-0039</t>
  </si>
  <si>
    <t>463-61-0040</t>
  </si>
  <si>
    <t>463-61-0041</t>
  </si>
  <si>
    <t>463-61-0042</t>
  </si>
  <si>
    <t>463-61-0043</t>
  </si>
  <si>
    <t>463-61-0044</t>
  </si>
  <si>
    <t>ชุมชนศรีบุญเรือง (บ้านประธานชุมชน)</t>
  </si>
  <si>
    <t>ชุมชนบ้านดงม่อนกระทิง (ศูนย์พัฒนาเด็กเล็ก)</t>
  </si>
  <si>
    <t>ชุมชนบ้านดงไชย (วัดบ้านดงไชย)</t>
  </si>
  <si>
    <t>ชุมชนหลัง ร.ร.มัธยมวิทยา (บ้านประธานชุมชน)</t>
  </si>
  <si>
    <t>จอภาพ LED Full color Display out door P10</t>
  </si>
  <si>
    <t>444-61-0030</t>
  </si>
  <si>
    <t xml:space="preserve">เครื่องขยายเสียง </t>
  </si>
  <si>
    <t>462-59-0318</t>
  </si>
  <si>
    <t>424-62-0036</t>
  </si>
  <si>
    <t>26 พ.ย. 2561</t>
  </si>
  <si>
    <t>เครื่องโทรสารแบบใช้กระดาษ A4 ยี่ห้อ Brother</t>
  </si>
  <si>
    <t xml:space="preserve">กล้องบันทึกภาพ DSLR แบบฟลูเฟรม พร้อมเลนส์ </t>
  </si>
  <si>
    <t>ยี่ห้อ CANON ตัวกล้อง รุ่น EOS 6D  MARK II</t>
  </si>
  <si>
    <t xml:space="preserve">เลนส์ รุ่น EF70-300/F4-5.6 </t>
  </si>
  <si>
    <t>452-62-0086</t>
  </si>
  <si>
    <t>21 พ.ย. 2561</t>
  </si>
  <si>
    <t>ลำโพงฮอร์น ขนาด 15 นิ้ว ยี่ห้อ NANOVA รุ่น NU-150 WL</t>
  </si>
  <si>
    <t>459-62-0999</t>
  </si>
  <si>
    <t>18 มี.ค. 2562</t>
  </si>
  <si>
    <t>459-62-1000</t>
  </si>
  <si>
    <t>459-62-1001</t>
  </si>
  <si>
    <t>459-62-1002</t>
  </si>
  <si>
    <t>459-62-1003</t>
  </si>
  <si>
    <t>459-62-1004</t>
  </si>
  <si>
    <t>459-62-1005</t>
  </si>
  <si>
    <t>459-62-1006</t>
  </si>
  <si>
    <t>459-62-1007</t>
  </si>
  <si>
    <t>459-62-1008</t>
  </si>
  <si>
    <t>459-62-1009</t>
  </si>
  <si>
    <t>459-62-1010</t>
  </si>
  <si>
    <t>459-62-1011</t>
  </si>
  <si>
    <t>459-62-1012</t>
  </si>
  <si>
    <t>459-62-1013</t>
  </si>
  <si>
    <t>459-62-1014</t>
  </si>
  <si>
    <t>459-62-1015</t>
  </si>
  <si>
    <t>459-62-1016</t>
  </si>
  <si>
    <t>459-62-1017</t>
  </si>
  <si>
    <t>459-62-1018</t>
  </si>
  <si>
    <t>459-62-1019</t>
  </si>
  <si>
    <t>459-62-1020</t>
  </si>
  <si>
    <t>459-62-1021</t>
  </si>
  <si>
    <t>459-62-1022</t>
  </si>
  <si>
    <t>459-62-1023</t>
  </si>
  <si>
    <t>459-62-1024</t>
  </si>
  <si>
    <t>459-62-1025</t>
  </si>
  <si>
    <t>459-62-1026</t>
  </si>
  <si>
    <t>459-62-1027</t>
  </si>
  <si>
    <t>459-62-1028</t>
  </si>
  <si>
    <t>ชุมชนบ้านหน้าค่าย</t>
  </si>
  <si>
    <t>ชุมชนบ้านดงไชย</t>
  </si>
  <si>
    <t>ลำโพงฮอร์น ยี่ห้อ NANOVA รุ่น SV-15 พร้อมยูนิตฮอร์น</t>
  </si>
  <si>
    <t>459-62-1031</t>
  </si>
  <si>
    <t>8 ส.ค. 2562</t>
  </si>
  <si>
    <t>ชุมชนการเคหะนครลำปาง</t>
  </si>
  <si>
    <t>459-62-1032</t>
  </si>
  <si>
    <t>459-62-1033</t>
  </si>
  <si>
    <t>459-62-1034</t>
  </si>
  <si>
    <t>459-62-1035</t>
  </si>
  <si>
    <t>459-62-1036</t>
  </si>
  <si>
    <t>459-62-1037</t>
  </si>
  <si>
    <t>459-62-1038</t>
  </si>
  <si>
    <t>459-62-1039</t>
  </si>
  <si>
    <t>459-62-1040</t>
  </si>
  <si>
    <t>459-62-1041</t>
  </si>
  <si>
    <t>459-62-1042</t>
  </si>
  <si>
    <t>459-62-1043</t>
  </si>
  <si>
    <t>459-62-1044</t>
  </si>
  <si>
    <t>459-62-1045</t>
  </si>
  <si>
    <t>459-62-1046</t>
  </si>
  <si>
    <t>459-62-1047</t>
  </si>
  <si>
    <t>459-62-1048</t>
  </si>
  <si>
    <t>459-62-1049</t>
  </si>
  <si>
    <t>459-62-1050</t>
  </si>
  <si>
    <t>459-62-1051</t>
  </si>
  <si>
    <t>459-62-1052</t>
  </si>
  <si>
    <t>459-62-1053</t>
  </si>
  <si>
    <t>459-62-1054</t>
  </si>
  <si>
    <t>459-62-1055</t>
  </si>
  <si>
    <t>459-62-1056</t>
  </si>
  <si>
    <t>459-62-1057</t>
  </si>
  <si>
    <t>459-62-1058</t>
  </si>
  <si>
    <t>459-62-1059</t>
  </si>
  <si>
    <t>459-62-1060</t>
  </si>
  <si>
    <t>เครื่องขยายเสียงตามสาย ยี่ห้อ NPE รุ่น LTA-1500</t>
  </si>
  <si>
    <t xml:space="preserve">พร้อมตู้ RACK เก็บเครื่องเสียงสีดำ </t>
  </si>
  <si>
    <t>462-62-0356</t>
  </si>
  <si>
    <t>เครื่องขยายเสียงเคลื่อนที่ชนิดลำโพงตู้ ขนาด 15 นิ้ว</t>
  </si>
  <si>
    <t xml:space="preserve">ยี่ห้อ NTS รุ่น PD-15AB </t>
  </si>
  <si>
    <t>ชุมชนรถไฟนครลำปาง (ที่ทำการชุมชนรถไฟ)</t>
  </si>
  <si>
    <t>งบทรัพย์สิน</t>
  </si>
  <si>
    <t>ณ วันที่ 30 กันยายน 2562</t>
  </si>
  <si>
    <t xml:space="preserve"> ประเภท</t>
  </si>
  <si>
    <t>ครุภัณฑ์</t>
  </si>
  <si>
    <t>ครุภัณฑ์ต่ำกว่าเกณฑ์</t>
  </si>
  <si>
    <t>จำนวนเงิน</t>
  </si>
  <si>
    <t>ครุภัณฑ์สำนักงาน</t>
  </si>
  <si>
    <t>โต๊ะ</t>
  </si>
  <si>
    <t>เก้าอี้</t>
  </si>
  <si>
    <t>ตู้</t>
  </si>
  <si>
    <t>เครื่องปรับอากาศ</t>
  </si>
  <si>
    <t>เครื่องโทรสาร</t>
  </si>
  <si>
    <t>เครื่องเย็บกระดาษ</t>
  </si>
  <si>
    <t>โทรศัพท์</t>
  </si>
  <si>
    <t>ครุภัณฑ์คอมพิวเตอร์</t>
  </si>
  <si>
    <t>เครื่องคอมพิวเตอร์</t>
  </si>
  <si>
    <t>ค่าที่ดินและสิ่งก่อสร้าง</t>
  </si>
  <si>
    <t>โครงสร้างป้ายประชาสัมพันธ์</t>
  </si>
  <si>
    <t>หอกระจายข่าวชุมชน</t>
  </si>
  <si>
    <t>ป้าย</t>
  </si>
  <si>
    <t>พระบรมสาทิศลักษณ์</t>
  </si>
  <si>
    <t>พัดลม</t>
  </si>
  <si>
    <t>ครุภัณฑ์โฆษณาและเผยแพร่</t>
  </si>
  <si>
    <t>จอประชาสัมพันธ์</t>
  </si>
  <si>
    <t>กล้องถ่ายรูป</t>
  </si>
  <si>
    <t>กล้องถ่ายวีดีโอ</t>
  </si>
  <si>
    <t>เครื่องรับโทรทัศน์</t>
  </si>
  <si>
    <t>ครุภัณฑ์ไฟฟ้าและวิทยุ</t>
  </si>
  <si>
    <t>เครื่องผสมสัญญาณเสียง</t>
  </si>
  <si>
    <t>เครื่องเล่น VCD</t>
  </si>
  <si>
    <t>ขาไมค์</t>
  </si>
  <si>
    <t>ไมโครโฟน</t>
  </si>
  <si>
    <t>ลำโพง</t>
  </si>
  <si>
    <t>เครื่องบันทึกเสียง</t>
  </si>
  <si>
    <t>เครื่องรับ-ส่งวิทยุ</t>
  </si>
  <si>
    <t>เครื่องเล่น CD</t>
  </si>
  <si>
    <t>งานประชาสัมพันธ์  ฝ่ายบริการและเผยแพร่วิชาการ  กองวิชาการและแผนงาน</t>
  </si>
  <si>
    <t>ปชส</t>
  </si>
  <si>
    <t>ธุรการ</t>
  </si>
  <si>
    <t>วิเคราห์</t>
  </si>
  <si>
    <t>จัดทำงบ</t>
  </si>
  <si>
    <t>วิจัย</t>
  </si>
  <si>
    <t>งานit</t>
  </si>
  <si>
    <t>เครื่องถอดเทป</t>
  </si>
  <si>
    <t>เครื่องพิมพ์ดีด</t>
  </si>
  <si>
    <t>ฝ่ายนิติการ</t>
  </si>
  <si>
    <t>ชุมชนบ้านศรีปงชัย (ศาลาอเนกประสงค์)</t>
  </si>
  <si>
    <t>ชุมชนรถไฟนครลำปาง (กาดเก๊าจาว)</t>
  </si>
  <si>
    <t>459-63-1066</t>
  </si>
  <si>
    <t>459-63-1067</t>
  </si>
  <si>
    <t>459-63-1068</t>
  </si>
  <si>
    <t>459-63-1069</t>
  </si>
  <si>
    <t>459-63-1070</t>
  </si>
  <si>
    <t>459-63-1071</t>
  </si>
  <si>
    <t>459-63-1072</t>
  </si>
  <si>
    <t>459-63-1073</t>
  </si>
  <si>
    <t>459-63-1074</t>
  </si>
  <si>
    <t>459-63-1075</t>
  </si>
  <si>
    <t>459-63-1076</t>
  </si>
  <si>
    <t>459-63-1077</t>
  </si>
  <si>
    <t>459-63-1078</t>
  </si>
  <si>
    <t>459-63-1079</t>
  </si>
  <si>
    <t>459-63-1080</t>
  </si>
  <si>
    <t>459-63-1081</t>
  </si>
  <si>
    <t>459-63-1082</t>
  </si>
  <si>
    <t>459-63-1083</t>
  </si>
  <si>
    <t>459-63-1084</t>
  </si>
  <si>
    <t>459-63-1085</t>
  </si>
  <si>
    <t>459-63-1086</t>
  </si>
  <si>
    <t>459-63-1087</t>
  </si>
  <si>
    <t>459-63-1088</t>
  </si>
  <si>
    <t>459-63-1089</t>
  </si>
  <si>
    <t>459-63-1090</t>
  </si>
  <si>
    <t>459-63-1091</t>
  </si>
  <si>
    <t>459-63-1092</t>
  </si>
  <si>
    <t>459-63-1093</t>
  </si>
  <si>
    <t>459-63-1094</t>
  </si>
  <si>
    <t>459-63-1095</t>
  </si>
  <si>
    <t>31 มี.ค. 2563</t>
  </si>
  <si>
    <t>เครื่องส่งสัญญาณภาพ LED ยี่ห้อ Colorlight</t>
  </si>
  <si>
    <t>416-63-1586</t>
  </si>
  <si>
    <t>416-63-1587</t>
  </si>
  <si>
    <t>กล้องวงจรปิด ยี่ห้อ Fukuro</t>
  </si>
  <si>
    <t>454-63-0133</t>
  </si>
  <si>
    <t>454-63-0134</t>
  </si>
  <si>
    <t>454-63-0135</t>
  </si>
  <si>
    <t>454-63-0136</t>
  </si>
  <si>
    <t>454-63-0137</t>
  </si>
  <si>
    <t>454-63-0138</t>
  </si>
  <si>
    <t>454-63-0139</t>
  </si>
  <si>
    <t>454-63-0140</t>
  </si>
  <si>
    <t>454-63-0141</t>
  </si>
  <si>
    <t>454-63-0142</t>
  </si>
  <si>
    <t>454-63-0143</t>
  </si>
  <si>
    <t>454-63-0144</t>
  </si>
  <si>
    <t>จอ LED แยกศรีบุญโยง</t>
  </si>
  <si>
    <t>จอ LED แยกวัดประตูต้นผึ้ง</t>
  </si>
  <si>
    <t>จอ LED หัวมุป-แยกวัดป่ารวก</t>
  </si>
  <si>
    <t>จอ LED แยก ร.ร.มัธยมราษฎร์</t>
  </si>
  <si>
    <t>จอ LED ตลาดสนามบิน</t>
  </si>
  <si>
    <t>จอ LED แยกโรงน้ำแข็ง</t>
  </si>
  <si>
    <t>จอ LED แยกสะพานดำรถไฟ</t>
  </si>
  <si>
    <t>จอ LED หลังวัดนาก่วมใต้</t>
  </si>
  <si>
    <t>จอ LED ในสวนฯ เวียงละกอน</t>
  </si>
  <si>
    <t>จอ LED แยกกาดกองต้า (ใต้)</t>
  </si>
  <si>
    <t>จอ LED แยกโรงแรมเวียงทอง</t>
  </si>
  <si>
    <t>185-63-0138</t>
  </si>
  <si>
    <t>185-63-0139</t>
  </si>
  <si>
    <t>185-63-0140</t>
  </si>
  <si>
    <t>185-63-0141</t>
  </si>
  <si>
    <t>185-63-0142</t>
  </si>
  <si>
    <t>185-63-0143</t>
  </si>
  <si>
    <t>185-63-0144</t>
  </si>
  <si>
    <t>185-63-0145</t>
  </si>
  <si>
    <t>185-63-0146</t>
  </si>
  <si>
    <t>185-63-0147</t>
  </si>
  <si>
    <t>185-63-0148</t>
  </si>
  <si>
    <t>185-63-0149</t>
  </si>
  <si>
    <t>วงเวียนสถานีรถไฟ</t>
  </si>
  <si>
    <t>แยกศรีบุญโยง</t>
  </si>
  <si>
    <t>แยกวัดประตูต้นผึ้ง</t>
  </si>
  <si>
    <t>แยก ร.ร.มัธยมราษฎร์</t>
  </si>
  <si>
    <t>ตลาดสนามบิน</t>
  </si>
  <si>
    <t>แยกสะพานดำรถไฟ</t>
  </si>
  <si>
    <t>แยกโรงน้ำแข็ง</t>
  </si>
  <si>
    <t>หลังวัดนาก่วมใต้</t>
  </si>
  <si>
    <t>ในสวนฯ เวียงละกอน</t>
  </si>
  <si>
    <t>แยกกาดกองต้า (ใต้)</t>
  </si>
  <si>
    <t>แยกโรงแรมเวียงทอง</t>
  </si>
  <si>
    <t>18 ธ.ค.62</t>
  </si>
  <si>
    <t>18 ม.ค.51</t>
  </si>
  <si>
    <t>16 ส.ค.48</t>
  </si>
  <si>
    <t>26 ธ.ค.48</t>
  </si>
  <si>
    <t>ขนาด 2x3 ม.พื้นที่ไม่น้อกว่า 6 ตร.ม.</t>
  </si>
  <si>
    <t xml:space="preserve">จอ LED Full Color Display Outdoor P8 </t>
  </si>
  <si>
    <t>22 มิ.ย.61</t>
  </si>
  <si>
    <t xml:space="preserve">จอ LED Full Color Display Outdoor P6 </t>
  </si>
  <si>
    <t>ขนาด 2.304x3.072 ม.พื้นที่ไม่น้อกว่า 7.08 ตร.ม.</t>
  </si>
  <si>
    <t>444-63-0037</t>
  </si>
  <si>
    <t>444-63-0038</t>
  </si>
  <si>
    <t>444-63-0039</t>
  </si>
  <si>
    <t>444-63-0040</t>
  </si>
  <si>
    <t>444-63-0041</t>
  </si>
  <si>
    <t>444-63-0042</t>
  </si>
  <si>
    <t>444-63-0043</t>
  </si>
  <si>
    <t>444-63-0044</t>
  </si>
  <si>
    <t>444-63-0045</t>
  </si>
  <si>
    <t>444-63-0046</t>
  </si>
  <si>
    <t>444-63-0047</t>
  </si>
  <si>
    <t>444-63-0048</t>
  </si>
  <si>
    <t>อุปกรณ์ควบคุมอัตโนมัติ (444)</t>
  </si>
  <si>
    <t>อุปกรณ์ควบคุมอัตโนมัติ (จอ LED) ยี่ห้อ Colorlight</t>
  </si>
  <si>
    <t>444-63-0049</t>
  </si>
  <si>
    <t xml:space="preserve">อุปกรณ์ควบคุมอัตโนมัติ (จอ LED) ยี่ห้อ Colorlight </t>
  </si>
  <si>
    <t>กล้องวงจรปิด (454)</t>
  </si>
  <si>
    <t>หัวมุม-แยกวัดป่ารวก</t>
  </si>
  <si>
    <t>(ศาลาอเนกประสงค์ หลังวัดฯ)</t>
  </si>
  <si>
    <t>ชุมชนตรอกไฟฟ้าเก่า(บ้านป.ธ.)</t>
  </si>
  <si>
    <t>(ศาลาอเนกประสงค์ วัดพระธาตุ)</t>
  </si>
  <si>
    <t>11 พ.ย.2559</t>
  </si>
  <si>
    <t>462-62-0357</t>
  </si>
  <si>
    <t>บ้านดงไชย</t>
  </si>
  <si>
    <t xml:space="preserve">คอมพิวเตอร์สำนักงาน ยี่ห้อ SVOA รุ่น Professional </t>
  </si>
  <si>
    <t xml:space="preserve">S series </t>
  </si>
  <si>
    <t>416-63-1695</t>
  </si>
  <si>
    <t>25 มิ.ย.2563</t>
  </si>
  <si>
    <t>416-63-1696</t>
  </si>
  <si>
    <t>ลำดับ</t>
  </si>
  <si>
    <t>แยกวงเวียนวัดพระแก้วฯ</t>
  </si>
  <si>
    <t>400-63-6631</t>
  </si>
  <si>
    <t>ห้องระบบจอ LED นายธีรเดช</t>
  </si>
  <si>
    <t>นายณัฐวุฒิ</t>
  </si>
  <si>
    <t>416-61-1312</t>
  </si>
  <si>
    <t xml:space="preserve">ป้าย LED Full Color Display Outdoor P6 </t>
  </si>
  <si>
    <t>จอ LED แยกวงเวียนวัดพระแก้วฯ</t>
  </si>
  <si>
    <t>444-63-0050</t>
  </si>
  <si>
    <t>444-63-0051</t>
  </si>
  <si>
    <t>444-63-0052</t>
  </si>
  <si>
    <t>444-63-0053</t>
  </si>
  <si>
    <t>444-63-0054</t>
  </si>
  <si>
    <t>444-63-0055</t>
  </si>
  <si>
    <t>444-63-0056</t>
  </si>
  <si>
    <t>444-63-0057</t>
  </si>
  <si>
    <t>444-63-0058</t>
  </si>
  <si>
    <t>444-63-0059</t>
  </si>
  <si>
    <t>444-63-0060</t>
  </si>
  <si>
    <t>รถม้าลาก</t>
  </si>
  <si>
    <t>022-63-0001</t>
  </si>
  <si>
    <t>7 ม.ค.63</t>
  </si>
  <si>
    <t>29 พ.ย.2563</t>
  </si>
  <si>
    <t>7 ม.ค.2563</t>
  </si>
  <si>
    <t>จอ LED หัวมุม-แยกวัดป่ารวก</t>
  </si>
  <si>
    <t>19 ม.ค. 2554</t>
  </si>
  <si>
    <t>24 ธ.ค. 2556</t>
  </si>
  <si>
    <t>420-54-0163</t>
  </si>
  <si>
    <t>420-54-0164</t>
  </si>
  <si>
    <t xml:space="preserve">24000 BTU ยี่ห้อ </t>
  </si>
  <si>
    <t>420-47-0152</t>
  </si>
  <si>
    <t>420-47-0153</t>
  </si>
  <si>
    <t>ห้องวีดิทัศน์ หอปูมฯ</t>
  </si>
  <si>
    <t>ตู้ไม้เอกสารสีน้ำตาล</t>
  </si>
  <si>
    <t>ตู้ไม้ (404)</t>
  </si>
  <si>
    <t>404-56-0250</t>
  </si>
  <si>
    <t>404-56-0251</t>
  </si>
  <si>
    <t>เครื่องผสมสัญญาณเสียง (448)</t>
  </si>
  <si>
    <t>448-53-0001</t>
  </si>
  <si>
    <t>448-53-0002</t>
  </si>
  <si>
    <t>ขาแขวนเครื่องฉายภาพ</t>
  </si>
  <si>
    <t>31 ม.ค. 2553</t>
  </si>
  <si>
    <t>18000 BTU ยี่ห้อ YORK</t>
  </si>
  <si>
    <t>ขนาด (ก)0.40-0.60 ม. x (ย)2.45 ม.x (ส)2.00 ม.</t>
  </si>
  <si>
    <t>30000 BTU ยี่ห้อ EMINENT</t>
  </si>
  <si>
    <t>20 พ.ค. 2547</t>
  </si>
  <si>
    <t xml:space="preserve">คอมพิวเตอร์สำนักงาน ยี่ห้อ Dell </t>
  </si>
  <si>
    <t>ขนาดจอไม่น้อยกว่า 19 นิ้ว ยี่ห้อ Dell</t>
  </si>
  <si>
    <t>โต๊ะประชุม รุ่น APCB-3212</t>
  </si>
  <si>
    <t>ขนาด (ย)320ซม. x (ก)120ซม.x (ส)74ซม.</t>
  </si>
  <si>
    <t>403-64-0200</t>
  </si>
  <si>
    <t>9 ก.ย. 2564</t>
  </si>
  <si>
    <t>401-64-9774</t>
  </si>
  <si>
    <t>401-64-9775</t>
  </si>
  <si>
    <t>401-64-9776</t>
  </si>
  <si>
    <t>401-64-9777</t>
  </si>
  <si>
    <t>401-64-9778</t>
  </si>
  <si>
    <t>401-64-9779</t>
  </si>
  <si>
    <t>401-64-9780</t>
  </si>
  <si>
    <t>401-64-9781</t>
  </si>
  <si>
    <t>401-64-9782</t>
  </si>
  <si>
    <t>401-64-9783</t>
  </si>
  <si>
    <t>401-64-9784</t>
  </si>
  <si>
    <t>401-64-9785</t>
  </si>
  <si>
    <t>เคาน์เตอร์ (427)</t>
  </si>
  <si>
    <t>427-64-0137</t>
  </si>
  <si>
    <t>ห้องสตูดิโอ (หอปูมฯ)</t>
  </si>
  <si>
    <t>เคาน์เตอร์ประชาสัมพันธ์</t>
  </si>
  <si>
    <t xml:space="preserve"> ขนาดไม่น้อยกว่า (ย)2ม.x(ก)0.70x(ส)0.75เมตร</t>
  </si>
  <si>
    <t>ตู้เหล็กบานเลื่อนกระจก ขนาดไม่น้อยกว่า      (ก)1184มม.x(ล)408มม.x(ส)878มม.</t>
  </si>
  <si>
    <t>406-64-1351</t>
  </si>
  <si>
    <t>พร้อมเลนส์ซูมขนาด 18-135 mm</t>
  </si>
  <si>
    <t>พร้อมเลนส์ซูมขนาด 15-45 mm</t>
  </si>
  <si>
    <t>452-64-0091</t>
  </si>
  <si>
    <t>6 ก.ย. 2564</t>
  </si>
  <si>
    <t>452-64-0092</t>
  </si>
  <si>
    <t>เครื่อง Switcher (456)</t>
  </si>
  <si>
    <t>เครื่อง Switcher  ยี่ห้อ ATEM รุ่น MINI Pro</t>
  </si>
  <si>
    <t>456-64-0127</t>
  </si>
  <si>
    <t>ชุดโคมไฟสตูดิโอ (453)</t>
  </si>
  <si>
    <t>กล้องถ่ายรูป ยี่ห้อ CANON รุ่น EOS 90D</t>
  </si>
  <si>
    <t>ชุดโคมไฟสตูดิโอ ประกอบด้วย</t>
  </si>
  <si>
    <t>2.ฉากหลังผ้าขาว ขนาด 320x640 ซม. จำนวน 1 ชุด</t>
  </si>
  <si>
    <t>1.โครงฉากหลังปรับความสูงความกว้าง จำนวน 1 ชุด</t>
  </si>
  <si>
    <t>3.ขาตั้งไฟปรับความสูงได้ 100-256ซม. จำนวน 5 ชุด</t>
  </si>
  <si>
    <t>4.โคมไฟแปดเหลี่ยมขนาด 90 ซม. จำนวน 1 ชุด</t>
  </si>
  <si>
    <t xml:space="preserve">    แขนบูมพร้อมถุงถ่วงน้ำหนักสำหรับไฟบน จำนวน 1 ชุด</t>
  </si>
  <si>
    <t xml:space="preserve">    หลอดไฟจำนวน 20 หลอด</t>
  </si>
  <si>
    <t>5.หลอดไฟสว่างพิเศษ 1 หลอด และกระเป๋าสำหรับใส่ชุด</t>
  </si>
  <si>
    <t xml:space="preserve">  </t>
  </si>
  <si>
    <t xml:space="preserve">    โครงหลัง 1 ใบ</t>
  </si>
  <si>
    <t>453-64-0007</t>
  </si>
  <si>
    <t>จอ LED จอแบนยึดติดผนัง</t>
  </si>
  <si>
    <t>416-57-0807</t>
  </si>
  <si>
    <t>7 พ.ย. 2557</t>
  </si>
  <si>
    <t>400-31-1759</t>
  </si>
  <si>
    <t>โต๊ะทำงาน ชนิดเหล็ก</t>
  </si>
  <si>
    <t>400-37-2373</t>
  </si>
  <si>
    <t xml:space="preserve">ห้องควบคุมจอ LED </t>
  </si>
  <si>
    <t>ตู้เก็บอุปกรณ์กล้อง</t>
  </si>
  <si>
    <t>ห้องสตูดิโอ หอปูมฯ</t>
  </si>
  <si>
    <t>โต๊ะประชุม (403)</t>
  </si>
  <si>
    <t>420-56-0248</t>
  </si>
  <si>
    <t>16 พ.ค. 2531</t>
  </si>
  <si>
    <t>20 ก.ย. 2536</t>
  </si>
  <si>
    <t>เครื่องขยายเสียง (462)</t>
  </si>
  <si>
    <t>งานประชาสัมพันธ์   ฝ่ายบริการและเผยแพร่วิชาการ  กองยุทธศาสตร์และงบประมาณ</t>
  </si>
  <si>
    <t>ขนาดจอไม่น้อยกว่า 20 นิ้ว</t>
  </si>
  <si>
    <t>จอคอมพิวเตอร์ ยี่ห้อ SVOA รุ่น 20E1H</t>
  </si>
  <si>
    <t>416-65-1954</t>
  </si>
  <si>
    <t>416-65-1955</t>
  </si>
  <si>
    <t>-</t>
  </si>
  <si>
    <t>401-58-0859</t>
  </si>
  <si>
    <t>เก้าอี้สำนักงาน ชนิดหนังมีที่วางแขนและล้อเลื่อน ปรับสูง-ต่ำ ด้วยโช๊คไฮดรอลิค ยี่ห้อ Taiyo</t>
  </si>
  <si>
    <t>19 มิ.ย. 2558</t>
  </si>
  <si>
    <t>ห้องสตูดิโอ</t>
  </si>
  <si>
    <t xml:space="preserve">เครื่องคอมพิวเตอร์  Dell รุ่น Vostro </t>
  </si>
  <si>
    <t xml:space="preserve">น.ส.นัฐธิณี </t>
  </si>
  <si>
    <t>ตู้เก็บของ</t>
  </si>
  <si>
    <t>จอคอมพิวเตอร์ ยี่ห้อ  Dell ขนาด 18.5 นิ้ว</t>
  </si>
  <si>
    <t>นายณฏฐพล</t>
  </si>
  <si>
    <t>นายธีรเดช</t>
  </si>
  <si>
    <t>หลังห้อง</t>
  </si>
  <si>
    <t>ระบบตู้สาขาโทรศัพท์ (422)</t>
  </si>
  <si>
    <t>422-65-0008</t>
  </si>
  <si>
    <t>12 ต.ค.64</t>
  </si>
  <si>
    <t>3xEX08/EX30.2xD30</t>
  </si>
  <si>
    <t>1.ตู้สาขา IP PBX รุ่น Yeastar-S300 รองรับ 300</t>
  </si>
  <si>
    <t>2.อุปกรณ์ระบบ Billing : โปรแกรม Software ระบบ</t>
  </si>
  <si>
    <t>รายงานคำนวนค่าใช้ทาศัพท์สำหรับตู้สาขา IP PBX</t>
  </si>
  <si>
    <t>รุ่น Yeastar-S300</t>
  </si>
  <si>
    <t>เครื่องพิมพ์ Billing ของตู้สาขา IP PBX ยี่ห้อ Canon</t>
  </si>
  <si>
    <t>pixma รุ่น P1010</t>
  </si>
  <si>
    <t>416-65-1835</t>
  </si>
  <si>
    <t>423-65-0059</t>
  </si>
  <si>
    <t>เครื่องโทรศัพท์ (423)</t>
  </si>
  <si>
    <t>ยี่ห้อ GRANDSTREAM รุ่น GXP2170</t>
  </si>
  <si>
    <t>รุ่น Fax-295</t>
  </si>
  <si>
    <t>เครื่องรับโทรศัพท์ สำหรับ Operator</t>
  </si>
  <si>
    <t>เครื่องรับโทรศัพท์ IP Phone</t>
  </si>
  <si>
    <t>ยี่ห้อ GRANDSTREAM รุ่น GRP2602P</t>
  </si>
  <si>
    <t>423-65-0060</t>
  </si>
  <si>
    <t>423-65-0061</t>
  </si>
  <si>
    <t>ตู้ Close Rack สำหรับ Server</t>
  </si>
  <si>
    <t>406-65-1354</t>
  </si>
  <si>
    <t>12 ต.ค. 2564</t>
  </si>
  <si>
    <t>ชุดควบคุมแรงดันและกระแสไฟฟ้า</t>
  </si>
  <si>
    <t>ยี่ห้อ Vertiv Liebert  รุ่น GXT5 3000</t>
  </si>
  <si>
    <t>430-65-0008</t>
  </si>
  <si>
    <t>12 ต.ค. 65</t>
  </si>
  <si>
    <t>อุปกรณ์ Router ยี่ห้อ Mikro Tik รุ่น RB 1100AHx4</t>
  </si>
  <si>
    <t>416-65-1842</t>
  </si>
  <si>
    <t>12 ต.ค. 2565</t>
  </si>
  <si>
    <t>25,400 BTU ยี่ห้อ Unimaster รุ่น UNFV-24</t>
  </si>
  <si>
    <t>เครื่องปรับอากาศชนิดแบบแขวน ขนาดไม่ต่ำกว่า</t>
  </si>
  <si>
    <t>420-65-0441</t>
  </si>
  <si>
    <t>8 มิ.ย. 2565</t>
  </si>
  <si>
    <t>420-65-0442</t>
  </si>
  <si>
    <t>(ศาลาอเนกประสงค์หลังวัดป่ารวก)</t>
  </si>
  <si>
    <t>(ศาลาอเนกประสงค์วัดสุขสวัสดิ์)</t>
  </si>
  <si>
    <t>ข้างห้องประชาสัมพันธ์</t>
  </si>
  <si>
    <t>416-65-1956</t>
  </si>
  <si>
    <t>6 มิ.ย.2565</t>
  </si>
  <si>
    <t>12 ต.ค.2565</t>
  </si>
  <si>
    <t xml:space="preserve">คอมพิวเตอร์สำหรับประมวลผล แบบที่ 2  </t>
  </si>
  <si>
    <t xml:space="preserve">คอมพิวเตอร์โน๊ตบุ๊คสำหรับประเมินผล  </t>
  </si>
  <si>
    <t>ยี่ห้อ Acer รุ่น TMP214-41-G2</t>
  </si>
  <si>
    <t>ยี่ห้อ Acer รุ่น ES2740G Core i7 - 10700</t>
  </si>
  <si>
    <t xml:space="preserve">จอคอมพิวเตอร์ ยี่ห้อ Acer รุ่น V206HQL </t>
  </si>
  <si>
    <t>ชนิดจอแบน LED ขนาด19.5"</t>
  </si>
  <si>
    <t>ห้องงานประชาสัมพันธ์</t>
  </si>
  <si>
    <t>รวมทั้งสิ้น</t>
  </si>
  <si>
    <t>โต๊ะวางคอมพิวเตอร์</t>
  </si>
  <si>
    <t>400-44-4496</t>
  </si>
  <si>
    <t>16 มี.ค..2544</t>
  </si>
  <si>
    <t>กุลธิดา</t>
  </si>
  <si>
    <t>ห้องสตูดิโอ หอปูมละกอน</t>
  </si>
  <si>
    <t>ป้ายประชาสัมพันธ์ส่งเสริมการท่องเที่ยว  (273)</t>
  </si>
  <si>
    <t>273-46-0013</t>
  </si>
  <si>
    <t>24 ส.ค.46</t>
  </si>
  <si>
    <t>273-46-0014</t>
  </si>
  <si>
    <t>273-46-0015</t>
  </si>
  <si>
    <t>273-46-0016</t>
  </si>
  <si>
    <t>273-46-0017</t>
  </si>
  <si>
    <t xml:space="preserve">โครงสร้างป้ายประชาสัมพันธ์ระบบอิเล็กทรอนิกส์ </t>
  </si>
  <si>
    <t>185-51-0123</t>
  </si>
  <si>
    <t>ห้าแยกหอนาฬิกา</t>
  </si>
  <si>
    <t>งานปรับปรุงป้ายประชาสัมพันธ์ (ห้าแยกหอนาฬิกา)</t>
  </si>
  <si>
    <t>24 ก.ค. 59</t>
  </si>
  <si>
    <t>444-59-0021</t>
  </si>
  <si>
    <t>29 ธ.ค.58</t>
  </si>
  <si>
    <t>เครื่องฉายภาพ LCD Projectter 2500    โฆษณา</t>
  </si>
  <si>
    <t>รับโอน</t>
  </si>
  <si>
    <t>สน.ศึกษา</t>
  </si>
  <si>
    <t>Entensions, 60 Concurrents(max), Option:max</t>
  </si>
  <si>
    <t>เก้าอี้ทำงาน รุ่น PACQIAU/N ชนิดพนักพิงหลังตาข่าย ที่นั่งบุฟองน้ำหุ้มผ้า ขนาด (ย)63ซม. x (ก)59ซม.x (ส)96-106ซม.</t>
  </si>
  <si>
    <t>เก้าอี้ทำงาน รุ่น PACQIAU/N ชนิดพนักพิงหลังตาข่าย ที่นั่งบุฟองน้ำหุ้มผ้า  ขนาด (ย)63ซม. x (ก)59ซม.x (ส)96-106ซม.</t>
  </si>
  <si>
    <t>เก้าอี้ทำงาน รุ่น PACQIAU/N ชนิดพนักพิงหลังตาข่าย ที่นั่งบุฟองน้ำหุ้มผ้า   ขนาด (ย)63ซม. x (ก)59ซม.x (ส)96-106ซม.</t>
  </si>
  <si>
    <t>กล้องถ่ายรูป ยี่ห้อ CANON รุ่น EOS M50</t>
  </si>
  <si>
    <t xml:space="preserve">พัดลมดูดอากาศแบบฝังผนัง ขนาด 8 นิ้ว </t>
  </si>
  <si>
    <t>432-66-1618</t>
  </si>
  <si>
    <t>432-66-1619</t>
  </si>
  <si>
    <t>432-66-1620</t>
  </si>
  <si>
    <t>432-66-1621</t>
  </si>
  <si>
    <t>432-66-1622</t>
  </si>
  <si>
    <t>432-66-1623</t>
  </si>
  <si>
    <t>432-66-1624</t>
  </si>
  <si>
    <t>432-66-1625</t>
  </si>
  <si>
    <t>432-66-1626</t>
  </si>
  <si>
    <t>26 เม.ย. 2566</t>
  </si>
  <si>
    <t>โดรน ยี่ห้อ DJI Mavic 3 Combo</t>
  </si>
  <si>
    <t xml:space="preserve"> 480-66-0002</t>
  </si>
  <si>
    <t>20 ก.พ. 2566</t>
  </si>
  <si>
    <t>406-32-0441</t>
  </si>
  <si>
    <t>ตู้เหล็กเก็บเอกสาร 15 ลิ้นชัก</t>
  </si>
  <si>
    <t>โต๊ะทำงานระดับ 3-6</t>
  </si>
  <si>
    <t>400-40-3711</t>
  </si>
  <si>
    <t>400-40-3712</t>
  </si>
  <si>
    <t>22 ธ.ค. 2540</t>
  </si>
  <si>
    <t>23 ก.พ. 2543</t>
  </si>
  <si>
    <t>400-46-5338</t>
  </si>
  <si>
    <t>10 ก.พ.2546</t>
  </si>
  <si>
    <t>สวนเฉลิมพระเกียรติฯ (สวนจีน)</t>
  </si>
  <si>
    <t>หน้าสถานีขนส่งลำปาง</t>
  </si>
  <si>
    <t>แยกเวียงทอง</t>
  </si>
  <si>
    <t>แยกเพ็ญทรัพย์</t>
  </si>
  <si>
    <t>แยกสนามบิน</t>
  </si>
  <si>
    <t>ป้ายประชาสัมพันธ์ส่งเสริมการท่องเที่ยว ขนาดกว้าง 2 เมตร ยาว 6 เมตร เสารับป้ายสูงประมาณ 5 เมตร</t>
  </si>
  <si>
    <t>นางเบญญาภา ต้นกันยา</t>
  </si>
  <si>
    <t>รับโอน สน.ช่าง</t>
  </si>
  <si>
    <t xml:space="preserve">นายณฎฐพล  </t>
  </si>
  <si>
    <t>นางสาวสกาวรัตน์</t>
  </si>
  <si>
    <t>ห้องหัวหน้าฝ่ายบริการและเผยแพร่วิชาการ นางสาวญาดา</t>
  </si>
  <si>
    <t>โต๊ะทำงานชนิดเหล็ก</t>
  </si>
  <si>
    <t>รับโอนจาก สน. ช่าง</t>
  </si>
  <si>
    <t>หลังห้องประชาสัมพันธ์</t>
  </si>
  <si>
    <t>ติดตามอาคารสำนักงาน</t>
  </si>
  <si>
    <t>สวนจีน</t>
  </si>
  <si>
    <t>สวนสาธารณะเขลางค์นคร</t>
  </si>
  <si>
    <t xml:space="preserve">ห้องประชาสัมพันธ์ </t>
  </si>
  <si>
    <t>หน้าสุสานไตรลักษณ์</t>
  </si>
  <si>
    <t>กองยุทธศาสตร์และงบประมาณ</t>
  </si>
  <si>
    <t>เครื่องปรับอากาศที่มีความประสงค์ในการดูแลและรักษาประจำปีงบประมาณ 2567</t>
  </si>
  <si>
    <t>พี่ต้อม</t>
  </si>
  <si>
    <t>โรงเก็บพัสดุ รร เทศบาล 7</t>
  </si>
  <si>
    <t xml:space="preserve">โต๊ะทำงาน ไม้ </t>
  </si>
  <si>
    <t>400-36-2327</t>
  </si>
  <si>
    <t>รับโอนจากธุรการ (อุบล)</t>
  </si>
  <si>
    <t>โต๊ะทำงานระดับ 4</t>
  </si>
  <si>
    <t>หน้าห้อง ปชส.</t>
  </si>
  <si>
    <t>400-47-5372</t>
  </si>
  <si>
    <t>10 ก.พ.2547</t>
  </si>
  <si>
    <t>รับโอนจากธุรการ (สุจินต์)</t>
  </si>
  <si>
    <t>เก้าอี้ทำงานชนิดเบาะหนัง มีที่วางแขนปรับระดับสูงต่ำด้วยโช้คไฮครอลิก มีล้อเลื่อน</t>
  </si>
  <si>
    <t>401-62-9025</t>
  </si>
  <si>
    <t>16 พ.ย.2561</t>
  </si>
  <si>
    <t>รับโอนจากงานงบประมาณ</t>
  </si>
  <si>
    <t>ทีวีดิจิตอล LED  ขนาด 55 นิ้ว  ยี่ห้อ SumSang</t>
  </si>
  <si>
    <t>โทรศัพท์เคลื่อนที่  Samsung GALAXY รุ่น S23</t>
  </si>
  <si>
    <t>423-66-0062</t>
  </si>
  <si>
    <t>9 พ.ย.2566</t>
  </si>
  <si>
    <t>12 ต.ค.2564</t>
  </si>
  <si>
    <t>น.ส. สกาวรัตน์ จันทร์มาทอง</t>
  </si>
  <si>
    <t>416-66-2401</t>
  </si>
  <si>
    <t>15 พ.ย. 2566</t>
  </si>
  <si>
    <t>416-66-2402</t>
  </si>
  <si>
    <t>ยี่ห้อ Acer รุ่น Veriton 52690G</t>
  </si>
  <si>
    <t>จอแสดงภาพขนาด 23.8 นิ้ว</t>
  </si>
  <si>
    <t>416-66-2403</t>
  </si>
  <si>
    <t>416-66-2404</t>
  </si>
  <si>
    <t>ทะเบียนรายงานผลการตรวจนับค่าที่ดินและสิ่งก่อสร้าง  ประจำปี 2567</t>
  </si>
  <si>
    <t>ทะเบียนรายงานผลการตรวจนับครุภัณฑ์สำนักงาน  ประจำปี 2567</t>
  </si>
  <si>
    <t>ทะเบียนรายงานผลการตรวจนับครุภัณฑ์ไฟฟ้าและวิทยุ ประจำปี 2567</t>
  </si>
  <si>
    <t>ทะเบียนรายงานผลการตรวจนับครุภัณฑ์โฆษณาและเผยแพร่  ประจำปี 2567</t>
  </si>
  <si>
    <t>ทะเบียนรายงานผลการตรวจนับครุภัณฑ์คอมพิวเตอร์  ประจำปี 2567</t>
  </si>
  <si>
    <t>ทะเบียนรายงานผลการตรวจนับยานพาหนะและขนส่ง  ประจำปี 2567</t>
  </si>
  <si>
    <t>ทะเบียนรายงานผลการตรวจนับครุภัณฑ์  (ต่ำกว่าเกณฑ์) ประจำปี 2567</t>
  </si>
  <si>
    <t>ตู้เก็บความชื้น (302)</t>
  </si>
  <si>
    <t>ตู้เก็บความชื้น ยี่ห้อ  ANDBON รุ่น AD-2505</t>
  </si>
  <si>
    <t>302-67-0004</t>
  </si>
  <si>
    <t>302-67-0005</t>
  </si>
  <si>
    <t>8 มี.ค. 2567</t>
  </si>
  <si>
    <t>กล้องบันทึกภาพ ยี่ห้อ Canon รุ่น EOS R6 MARK II</t>
  </si>
  <si>
    <t>454-67-0223</t>
  </si>
  <si>
    <t>26 ม.ค. 67</t>
  </si>
  <si>
    <t>454-67-0224</t>
  </si>
  <si>
    <t>กล้องบันทึกภาพ ยี่ห้อ Canon รุ่น EOS R50</t>
  </si>
  <si>
    <t>462-67-0388</t>
  </si>
  <si>
    <t>462-67-0389</t>
  </si>
  <si>
    <t>462-67-0390</t>
  </si>
  <si>
    <t>462-67-0391</t>
  </si>
  <si>
    <t>462-67-0392</t>
  </si>
  <si>
    <t>462-67-0393</t>
  </si>
  <si>
    <t>462-67-0394</t>
  </si>
  <si>
    <t>462-67-0395</t>
  </si>
  <si>
    <t>462-67-0396</t>
  </si>
  <si>
    <t>462-67-0397</t>
  </si>
  <si>
    <t>462-67-0398</t>
  </si>
  <si>
    <t>462-67-0399</t>
  </si>
  <si>
    <t>462-67-0400</t>
  </si>
  <si>
    <t>462-67-0401</t>
  </si>
  <si>
    <t>462-67-0402</t>
  </si>
  <si>
    <t>462-67-0403</t>
  </si>
  <si>
    <t>462-67-0404</t>
  </si>
  <si>
    <t>462-67-0405</t>
  </si>
  <si>
    <t>เครื่องขยายเสียงแบบ 2 แชนแนล ยี่ห้อ PROEUROTECH รุ่น I-1800TD</t>
  </si>
  <si>
    <t>5 มี.ค. 2567</t>
  </si>
  <si>
    <t>เครื่องขยายเสียงแบบ 4 แชนแนล ยี่ห้อ PROEUROTECH รุ่น MT-4800S</t>
  </si>
  <si>
    <t>เครื่องขยายเสียงมี LINEOUTPUT ยี่ห้อ MUSIC รุ่น KU-1200B 1200 W</t>
  </si>
  <si>
    <t>เครื่องผสมสัญญาณเสียง  ยี่ห้อ SOUND CRAFT รุ่น UI-12</t>
  </si>
  <si>
    <t>เครื่องปรับอากาศยี่ห้อ morning star</t>
  </si>
  <si>
    <t>420-30-0005</t>
  </si>
  <si>
    <t>เครื่องปรับอากาศยี่ห้อคูลสแคร์ ขนาด 25000 บีทียู</t>
  </si>
  <si>
    <t>420-40-0158</t>
  </si>
  <si>
    <t xml:space="preserve"> 14 พ.ค.2530</t>
  </si>
  <si>
    <t>17 ก.พ. 2540</t>
  </si>
  <si>
    <t>รวมทั้งสิ้น 565 รายการ</t>
  </si>
  <si>
    <t>จำนวน 44 รายการ</t>
  </si>
  <si>
    <t>นายมานัส ตาวิกา</t>
  </si>
  <si>
    <t>อาคารเวียงละกอน ท. 7</t>
  </si>
  <si>
    <t>น.ส. นัฐธิณี</t>
  </si>
  <si>
    <t>นางสาวเบญญาภา</t>
  </si>
  <si>
    <t>ศูนย์ Call Center</t>
  </si>
  <si>
    <t>รอโอน</t>
  </si>
  <si>
    <t>ห้องโทรศัพท์</t>
  </si>
  <si>
    <t>น.ส. เบญญาภา</t>
  </si>
  <si>
    <t>น.ส. สกาวรัตน์</t>
  </si>
  <si>
    <t>ชุมชนหัวเวียง 1</t>
  </si>
  <si>
    <t>ชุมชนบ้านดงไชย 3</t>
  </si>
  <si>
    <t>ชุมชนท่าคราวน้อย 2</t>
  </si>
  <si>
    <t>ชุมชนศรีบุญเรือง 2</t>
  </si>
  <si>
    <t>ชุมชนนาก่วมเหนือ (ริมน้ำ)</t>
  </si>
  <si>
    <r>
      <t xml:space="preserve">ชุมชนสุขสวัสดิ์ 2 </t>
    </r>
    <r>
      <rPr>
        <sz val="14"/>
        <color rgb="FF0070C0"/>
        <rFont val="TH SarabunPSK"/>
        <family val="2"/>
      </rPr>
      <t>(นาก่วมใต้ 5</t>
    </r>
    <r>
      <rPr>
        <sz val="14"/>
        <color theme="1"/>
        <rFont val="TH SarabunPSK"/>
        <family val="2"/>
      </rPr>
      <t>)</t>
    </r>
  </si>
  <si>
    <t>ชุมชนบ้านม่อนกระทิง 2</t>
  </si>
  <si>
    <t>ชุมชนบ้านม่อนกระทิง 3</t>
  </si>
  <si>
    <t>ชุมชนบ้านปงสนุก 2</t>
  </si>
  <si>
    <t>ชุมชนกำแพงเมือง 2</t>
  </si>
  <si>
    <t>ชุมชนป่าขาม (มิอนสันฐาน)</t>
  </si>
  <si>
    <t>ชุมชนบ้านสนามบิน</t>
  </si>
  <si>
    <t xml:space="preserve">ชุมชนพระบาท (หนองหมู) </t>
  </si>
  <si>
    <t>ชุมชนการเคหะ 3</t>
  </si>
  <si>
    <t>ชุมชนสุขสวัสดิ์ 3</t>
  </si>
  <si>
    <t>รวมทั้งสิ้น 80 รายการ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</si>
</sst>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_ ;\-#,##0\ "/>
    <numFmt numFmtId="189" formatCode="#,##0.00_ ;\-#,##0.00\ "/>
  </numFmts>
  <fonts count="56" x14ac:knownFonts="1">
    <font>
      <sz val="11"/>
      <color theme="1"/>
      <name val="Tahoma"/>
      <family val="2"/>
      <charset val="222"/>
    </font>
    <font>
      <b/>
      <sz val="14"/>
      <name val="TH SarabunPSK"/>
      <family val="2"/>
    </font>
    <font>
      <sz val="14"/>
      <name val="TH SarabunPSK"/>
      <family val="2"/>
    </font>
    <font>
      <sz val="11"/>
      <color indexed="8"/>
      <name val="Tahoma"/>
      <family val="2"/>
      <charset val="222"/>
    </font>
    <font>
      <sz val="8"/>
      <name val="Tahoma"/>
      <family val="2"/>
      <charset val="22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rgb="FFFF0000"/>
      <name val="TH SarabunPSK"/>
      <family val="2"/>
    </font>
    <font>
      <sz val="12"/>
      <color theme="1"/>
      <name val="TH SarabunPSK"/>
      <family val="2"/>
    </font>
    <font>
      <sz val="14"/>
      <color rgb="FF00B050"/>
      <name val="TH SarabunPSK"/>
      <family val="2"/>
    </font>
    <font>
      <b/>
      <sz val="15"/>
      <name val="TH SarabunPSK"/>
      <family val="2"/>
    </font>
    <font>
      <sz val="15"/>
      <name val="TH SarabunPSK"/>
      <family val="2"/>
    </font>
    <font>
      <b/>
      <sz val="15"/>
      <color theme="1"/>
      <name val="TH SarabunPSK"/>
      <family val="2"/>
    </font>
    <font>
      <sz val="15"/>
      <color theme="1"/>
      <name val="TH SarabunPSK"/>
      <family val="2"/>
    </font>
    <font>
      <sz val="15"/>
      <color theme="1"/>
      <name val="Tahoma"/>
      <family val="2"/>
      <charset val="22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1"/>
      <color theme="1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6"/>
      <color theme="1"/>
      <name val="Tahoma"/>
      <family val="2"/>
      <charset val="222"/>
    </font>
    <font>
      <sz val="14"/>
      <color theme="1"/>
      <name val="Tahoma"/>
      <family val="2"/>
      <charset val="222"/>
    </font>
    <font>
      <sz val="13"/>
      <color theme="1"/>
      <name val="TH SarabunPSK"/>
      <family val="2"/>
    </font>
    <font>
      <sz val="13"/>
      <name val="TH SarabunPSK"/>
      <family val="2"/>
    </font>
    <font>
      <b/>
      <sz val="13"/>
      <color theme="1"/>
      <name val="TH SarabunPSK"/>
      <family val="2"/>
    </font>
    <font>
      <sz val="13"/>
      <name val="Wingdings"/>
      <charset val="2"/>
    </font>
    <font>
      <b/>
      <sz val="13"/>
      <name val="TH SarabunPSK"/>
      <family val="2"/>
    </font>
    <font>
      <sz val="13"/>
      <color theme="1"/>
      <name val="Wingdings"/>
      <charset val="2"/>
    </font>
    <font>
      <sz val="13"/>
      <color rgb="FFFF0000"/>
      <name val="TH SarabunPSK"/>
      <family val="2"/>
    </font>
    <font>
      <sz val="16"/>
      <color theme="1"/>
      <name val="TH Sarabun Ne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theme="1"/>
      <name val="TH SarabunPSK"/>
      <family val="2"/>
    </font>
    <font>
      <b/>
      <sz val="13"/>
      <color theme="1"/>
      <name val="TH SarabunPSK"/>
      <family val="2"/>
    </font>
    <font>
      <b/>
      <sz val="14"/>
      <color theme="1"/>
      <name val="TH SarabunPSK"/>
      <family val="2"/>
    </font>
    <font>
      <b/>
      <sz val="16"/>
      <color theme="1"/>
      <name val="TH SarabunPSK"/>
      <family val="2"/>
    </font>
    <font>
      <sz val="13"/>
      <color rgb="FF00B050"/>
      <name val="TH SarabunPSK"/>
      <family val="2"/>
    </font>
    <font>
      <sz val="11"/>
      <color rgb="FF0070C0"/>
      <name val="TH SarabunPSK"/>
      <family val="2"/>
    </font>
    <font>
      <sz val="14"/>
      <color theme="1"/>
      <name val="TH SarabunPSK"/>
      <family val="2"/>
    </font>
    <font>
      <sz val="12"/>
      <color rgb="FF00B050"/>
      <name val="TH SarabunPSK"/>
      <family val="2"/>
    </font>
    <font>
      <sz val="11"/>
      <color rgb="FF00B050"/>
      <name val="TH SarabunPSK"/>
      <family val="2"/>
    </font>
    <font>
      <sz val="16"/>
      <color theme="1"/>
      <name val="Wingdings"/>
      <charset val="2"/>
    </font>
    <font>
      <sz val="16"/>
      <color rgb="FF00B0F0"/>
      <name val="Tahoma"/>
      <family val="2"/>
      <charset val="222"/>
    </font>
    <font>
      <sz val="16"/>
      <name val="Wingdings"/>
      <charset val="2"/>
    </font>
    <font>
      <sz val="16"/>
      <color rgb="FFFF0000"/>
      <name val="TH SarabunPSK"/>
      <family val="2"/>
    </font>
    <font>
      <sz val="16"/>
      <color rgb="FFFF0000"/>
      <name val="Wingdings"/>
      <charset val="2"/>
    </font>
    <font>
      <sz val="16"/>
      <color rgb="FF00B050"/>
      <name val="TH SarabunPSK"/>
      <family val="2"/>
    </font>
    <font>
      <sz val="16"/>
      <color indexed="8"/>
      <name val="TH SarabunPSK"/>
      <family val="2"/>
    </font>
    <font>
      <sz val="16"/>
      <color rgb="FFC00000"/>
      <name val="TH SarabunPSK"/>
      <family val="2"/>
    </font>
    <font>
      <sz val="11"/>
      <name val="TH SarabunPSK"/>
      <family val="2"/>
    </font>
    <font>
      <sz val="14"/>
      <name val="Wingdings"/>
      <charset val="2"/>
    </font>
    <font>
      <sz val="14"/>
      <color rgb="FFFF0000"/>
      <name val="TH SarabunPSK"/>
      <family val="2"/>
    </font>
    <font>
      <sz val="14"/>
      <color rgb="FF0070C0"/>
      <name val="TH SarabunPSK"/>
      <family val="2"/>
    </font>
    <font>
      <b/>
      <sz val="18"/>
      <name val="TH SarabunPSK"/>
      <family val="2"/>
    </font>
    <font>
      <sz val="18"/>
      <name val="TH SarabunPSK"/>
      <family val="2"/>
    </font>
    <font>
      <sz val="18"/>
      <color rgb="FFFF0000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6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2" fillId="0" borderId="2" xfId="0" applyFont="1" applyBorder="1"/>
    <xf numFmtId="0" fontId="5" fillId="0" borderId="6" xfId="0" applyFont="1" applyBorder="1"/>
    <xf numFmtId="0" fontId="5" fillId="0" borderId="2" xfId="0" applyFont="1" applyBorder="1"/>
    <xf numFmtId="0" fontId="1" fillId="0" borderId="2" xfId="0" applyFont="1" applyBorder="1"/>
    <xf numFmtId="0" fontId="2" fillId="0" borderId="8" xfId="0" applyFont="1" applyBorder="1"/>
    <xf numFmtId="0" fontId="5" fillId="0" borderId="0" xfId="0" applyFont="1" applyAlignment="1">
      <alignment horizontal="center"/>
    </xf>
    <xf numFmtId="187" fontId="5" fillId="0" borderId="0" xfId="1" applyNumberFormat="1" applyFont="1"/>
    <xf numFmtId="187" fontId="2" fillId="0" borderId="0" xfId="1" applyNumberFormat="1" applyFont="1" applyBorder="1"/>
    <xf numFmtId="187" fontId="2" fillId="0" borderId="0" xfId="1" applyNumberFormat="1" applyFont="1"/>
    <xf numFmtId="0" fontId="7" fillId="0" borderId="0" xfId="0" applyFont="1"/>
    <xf numFmtId="0" fontId="5" fillId="0" borderId="2" xfId="0" applyFont="1" applyBorder="1" applyAlignment="1">
      <alignment horizontal="left" vertical="center"/>
    </xf>
    <xf numFmtId="0" fontId="9" fillId="0" borderId="0" xfId="0" applyFont="1"/>
    <xf numFmtId="0" fontId="5" fillId="0" borderId="25" xfId="0" applyFont="1" applyBorder="1"/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11" fillId="0" borderId="0" xfId="0" applyFont="1"/>
    <xf numFmtId="0" fontId="13" fillId="0" borderId="0" xfId="0" applyFont="1"/>
    <xf numFmtId="0" fontId="13" fillId="0" borderId="2" xfId="0" applyFont="1" applyBorder="1"/>
    <xf numFmtId="0" fontId="13" fillId="0" borderId="8" xfId="0" applyFont="1" applyBorder="1"/>
    <xf numFmtId="0" fontId="13" fillId="0" borderId="14" xfId="0" applyFont="1" applyBorder="1"/>
    <xf numFmtId="0" fontId="12" fillId="0" borderId="3" xfId="0" applyFont="1" applyBorder="1" applyAlignment="1">
      <alignment horizontal="center"/>
    </xf>
    <xf numFmtId="0" fontId="14" fillId="0" borderId="0" xfId="0" applyFont="1"/>
    <xf numFmtId="0" fontId="13" fillId="0" borderId="3" xfId="0" applyFont="1" applyBorder="1"/>
    <xf numFmtId="0" fontId="13" fillId="0" borderId="24" xfId="0" applyFont="1" applyBorder="1"/>
    <xf numFmtId="187" fontId="16" fillId="0" borderId="25" xfId="1" applyNumberFormat="1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2" xfId="0" applyFont="1" applyBorder="1"/>
    <xf numFmtId="0" fontId="18" fillId="0" borderId="2" xfId="0" applyFont="1" applyBorder="1" applyAlignment="1">
      <alignment horizontal="center"/>
    </xf>
    <xf numFmtId="187" fontId="18" fillId="0" borderId="2" xfId="1" applyNumberFormat="1" applyFont="1" applyBorder="1" applyAlignment="1">
      <alignment horizontal="center"/>
    </xf>
    <xf numFmtId="187" fontId="18" fillId="0" borderId="2" xfId="1" applyNumberFormat="1" applyFont="1" applyBorder="1" applyAlignment="1">
      <alignment horizontal="left"/>
    </xf>
    <xf numFmtId="187" fontId="18" fillId="0" borderId="2" xfId="1" applyNumberFormat="1" applyFont="1" applyBorder="1"/>
    <xf numFmtId="0" fontId="16" fillId="0" borderId="2" xfId="0" applyFont="1" applyBorder="1"/>
    <xf numFmtId="187" fontId="18" fillId="0" borderId="6" xfId="1" applyNumberFormat="1" applyFont="1" applyBorder="1"/>
    <xf numFmtId="0" fontId="18" fillId="0" borderId="6" xfId="0" applyFont="1" applyBorder="1" applyAlignment="1">
      <alignment horizontal="center"/>
    </xf>
    <xf numFmtId="0" fontId="18" fillId="0" borderId="6" xfId="0" applyFont="1" applyBorder="1"/>
    <xf numFmtId="0" fontId="18" fillId="0" borderId="8" xfId="0" applyFont="1" applyBorder="1"/>
    <xf numFmtId="0" fontId="18" fillId="0" borderId="8" xfId="0" applyFont="1" applyBorder="1" applyAlignment="1">
      <alignment horizontal="center"/>
    </xf>
    <xf numFmtId="187" fontId="18" fillId="0" borderId="8" xfId="1" applyNumberFormat="1" applyFont="1" applyBorder="1"/>
    <xf numFmtId="0" fontId="15" fillId="0" borderId="25" xfId="0" applyFont="1" applyBorder="1" applyAlignment="1">
      <alignment horizontal="right"/>
    </xf>
    <xf numFmtId="0" fontId="15" fillId="0" borderId="25" xfId="0" applyFont="1" applyBorder="1"/>
    <xf numFmtId="187" fontId="15" fillId="0" borderId="25" xfId="0" applyNumberFormat="1" applyFont="1" applyBorder="1"/>
    <xf numFmtId="0" fontId="19" fillId="0" borderId="0" xfId="0" applyFont="1"/>
    <xf numFmtId="0" fontId="16" fillId="0" borderId="6" xfId="0" applyFont="1" applyBorder="1" applyAlignment="1">
      <alignment horizontal="left"/>
    </xf>
    <xf numFmtId="187" fontId="18" fillId="0" borderId="6" xfId="1" applyNumberFormat="1" applyFont="1" applyBorder="1" applyAlignment="1">
      <alignment horizontal="center"/>
    </xf>
    <xf numFmtId="0" fontId="15" fillId="0" borderId="9" xfId="0" applyFont="1" applyBorder="1" applyAlignment="1">
      <alignment horizontal="left" vertical="center"/>
    </xf>
    <xf numFmtId="187" fontId="16" fillId="0" borderId="9" xfId="1" applyNumberFormat="1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87" fontId="16" fillId="0" borderId="2" xfId="1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20" fillId="0" borderId="0" xfId="0" applyFont="1"/>
    <xf numFmtId="0" fontId="19" fillId="0" borderId="2" xfId="0" applyFont="1" applyBorder="1" applyAlignment="1">
      <alignment horizontal="left" vertical="center"/>
    </xf>
    <xf numFmtId="187" fontId="16" fillId="0" borderId="9" xfId="1" applyNumberFormat="1" applyFont="1" applyBorder="1" applyAlignment="1"/>
    <xf numFmtId="187" fontId="18" fillId="0" borderId="6" xfId="1" applyNumberFormat="1" applyFont="1" applyBorder="1" applyAlignment="1"/>
    <xf numFmtId="0" fontId="18" fillId="0" borderId="6" xfId="0" applyFont="1" applyBorder="1" applyAlignment="1">
      <alignment horizontal="left"/>
    </xf>
    <xf numFmtId="187" fontId="0" fillId="0" borderId="0" xfId="0" applyNumberFormat="1"/>
    <xf numFmtId="43" fontId="18" fillId="0" borderId="8" xfId="1" applyFont="1" applyBorder="1"/>
    <xf numFmtId="43" fontId="18" fillId="0" borderId="9" xfId="1" applyFont="1" applyBorder="1" applyAlignment="1">
      <alignment horizontal="center"/>
    </xf>
    <xf numFmtId="43" fontId="18" fillId="0" borderId="2" xfId="1" applyFont="1" applyBorder="1" applyAlignment="1">
      <alignment horizontal="center"/>
    </xf>
    <xf numFmtId="43" fontId="18" fillId="0" borderId="6" xfId="1" applyFont="1" applyBorder="1" applyAlignment="1">
      <alignment horizontal="center"/>
    </xf>
    <xf numFmtId="43" fontId="18" fillId="0" borderId="6" xfId="1" applyFont="1" applyBorder="1"/>
    <xf numFmtId="43" fontId="15" fillId="0" borderId="25" xfId="0" applyNumberFormat="1" applyFont="1" applyBorder="1"/>
    <xf numFmtId="0" fontId="1" fillId="0" borderId="25" xfId="0" applyFont="1" applyBorder="1" applyAlignment="1">
      <alignment horizontal="center"/>
    </xf>
    <xf numFmtId="0" fontId="21" fillId="0" borderId="0" xfId="0" applyFont="1"/>
    <xf numFmtId="0" fontId="6" fillId="0" borderId="9" xfId="0" applyFont="1" applyBorder="1" applyAlignment="1">
      <alignment horizontal="left" vertical="center"/>
    </xf>
    <xf numFmtId="43" fontId="2" fillId="0" borderId="9" xfId="1" applyFont="1" applyBorder="1" applyAlignment="1">
      <alignment horizontal="center"/>
    </xf>
    <xf numFmtId="43" fontId="2" fillId="0" borderId="2" xfId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43" fontId="2" fillId="0" borderId="6" xfId="1" applyFont="1" applyBorder="1" applyAlignment="1">
      <alignment horizontal="center"/>
    </xf>
    <xf numFmtId="43" fontId="2" fillId="0" borderId="6" xfId="1" applyFont="1" applyBorder="1"/>
    <xf numFmtId="43" fontId="2" fillId="0" borderId="8" xfId="1" applyFont="1" applyBorder="1"/>
    <xf numFmtId="0" fontId="6" fillId="0" borderId="25" xfId="0" applyFont="1" applyBorder="1" applyAlignment="1">
      <alignment horizontal="right"/>
    </xf>
    <xf numFmtId="43" fontId="6" fillId="0" borderId="25" xfId="0" applyNumberFormat="1" applyFont="1" applyBorder="1"/>
    <xf numFmtId="0" fontId="1" fillId="0" borderId="25" xfId="0" applyFont="1" applyBorder="1" applyAlignment="1">
      <alignment horizontal="center" vertical="center"/>
    </xf>
    <xf numFmtId="43" fontId="6" fillId="0" borderId="33" xfId="0" applyNumberFormat="1" applyFont="1" applyBorder="1"/>
    <xf numFmtId="187" fontId="5" fillId="0" borderId="21" xfId="1" applyNumberFormat="1" applyFont="1" applyBorder="1"/>
    <xf numFmtId="187" fontId="5" fillId="0" borderId="19" xfId="1" applyNumberFormat="1" applyFont="1" applyBorder="1"/>
    <xf numFmtId="0" fontId="5" fillId="0" borderId="31" xfId="0" applyFont="1" applyBorder="1"/>
    <xf numFmtId="43" fontId="6" fillId="0" borderId="32" xfId="0" applyNumberFormat="1" applyFont="1" applyBorder="1"/>
    <xf numFmtId="0" fontId="5" fillId="0" borderId="33" xfId="0" applyFont="1" applyBorder="1"/>
    <xf numFmtId="0" fontId="5" fillId="0" borderId="32" xfId="0" applyFont="1" applyBorder="1"/>
    <xf numFmtId="0" fontId="13" fillId="0" borderId="16" xfId="0" applyFont="1" applyBorder="1"/>
    <xf numFmtId="0" fontId="13" fillId="0" borderId="32" xfId="0" applyFont="1" applyBorder="1"/>
    <xf numFmtId="0" fontId="13" fillId="0" borderId="33" xfId="0" applyFont="1" applyBorder="1"/>
    <xf numFmtId="187" fontId="10" fillId="2" borderId="21" xfId="1" applyNumberFormat="1" applyFont="1" applyFill="1" applyBorder="1" applyAlignment="1">
      <alignment horizontal="center"/>
    </xf>
    <xf numFmtId="187" fontId="10" fillId="2" borderId="19" xfId="1" applyNumberFormat="1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187" fontId="10" fillId="2" borderId="1" xfId="1" applyNumberFormat="1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22" fillId="0" borderId="2" xfId="0" applyFont="1" applyBorder="1" applyAlignment="1">
      <alignment horizontal="left"/>
    </xf>
    <xf numFmtId="0" fontId="23" fillId="0" borderId="2" xfId="0" applyFont="1" applyBorder="1" applyAlignment="1">
      <alignment horizontal="center"/>
    </xf>
    <xf numFmtId="0" fontId="23" fillId="0" borderId="2" xfId="0" applyFont="1" applyBorder="1"/>
    <xf numFmtId="49" fontId="23" fillId="0" borderId="2" xfId="0" applyNumberFormat="1" applyFont="1" applyBorder="1" applyAlignment="1">
      <alignment horizontal="center"/>
    </xf>
    <xf numFmtId="0" fontId="23" fillId="0" borderId="8" xfId="0" applyFont="1" applyBorder="1"/>
    <xf numFmtId="49" fontId="23" fillId="0" borderId="8" xfId="0" applyNumberFormat="1" applyFont="1" applyBorder="1" applyAlignment="1">
      <alignment horizontal="center"/>
    </xf>
    <xf numFmtId="0" fontId="22" fillId="0" borderId="32" xfId="0" applyFont="1" applyBorder="1"/>
    <xf numFmtId="0" fontId="22" fillId="0" borderId="6" xfId="0" applyFont="1" applyBorder="1" applyAlignment="1">
      <alignment horizontal="center"/>
    </xf>
    <xf numFmtId="0" fontId="22" fillId="0" borderId="6" xfId="0" applyFont="1" applyBorder="1"/>
    <xf numFmtId="0" fontId="23" fillId="0" borderId="19" xfId="0" applyFont="1" applyBorder="1" applyAlignment="1">
      <alignment horizontal="center"/>
    </xf>
    <xf numFmtId="49" fontId="23" fillId="0" borderId="19" xfId="0" applyNumberFormat="1" applyFont="1" applyBorder="1" applyAlignment="1">
      <alignment horizontal="center"/>
    </xf>
    <xf numFmtId="0" fontId="24" fillId="2" borderId="10" xfId="0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2" xfId="0" applyFont="1" applyBorder="1"/>
    <xf numFmtId="49" fontId="23" fillId="0" borderId="2" xfId="0" applyNumberFormat="1" applyFont="1" applyBorder="1"/>
    <xf numFmtId="0" fontId="22" fillId="0" borderId="3" xfId="0" applyFont="1" applyBorder="1" applyAlignment="1">
      <alignment horizontal="left"/>
    </xf>
    <xf numFmtId="0" fontId="25" fillId="0" borderId="19" xfId="0" applyFont="1" applyBorder="1" applyAlignment="1">
      <alignment horizontal="center"/>
    </xf>
    <xf numFmtId="188" fontId="23" fillId="0" borderId="2" xfId="1" applyNumberFormat="1" applyFont="1" applyBorder="1" applyAlignment="1">
      <alignment horizontal="right"/>
    </xf>
    <xf numFmtId="0" fontId="25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188" fontId="23" fillId="0" borderId="8" xfId="1" applyNumberFormat="1" applyFont="1" applyBorder="1" applyAlignment="1">
      <alignment horizontal="right"/>
    </xf>
    <xf numFmtId="49" fontId="23" fillId="0" borderId="29" xfId="1" applyNumberFormat="1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2" fillId="0" borderId="8" xfId="0" applyFont="1" applyBorder="1"/>
    <xf numFmtId="0" fontId="22" fillId="0" borderId="14" xfId="0" applyFont="1" applyBorder="1" applyAlignment="1">
      <alignment horizontal="center"/>
    </xf>
    <xf numFmtId="0" fontId="23" fillId="0" borderId="14" xfId="0" applyFont="1" applyBorder="1"/>
    <xf numFmtId="0" fontId="23" fillId="0" borderId="14" xfId="0" applyFont="1" applyBorder="1" applyAlignment="1">
      <alignment horizontal="center"/>
    </xf>
    <xf numFmtId="49" fontId="23" fillId="0" borderId="14" xfId="0" applyNumberFormat="1" applyFont="1" applyBorder="1" applyAlignment="1">
      <alignment horizontal="center"/>
    </xf>
    <xf numFmtId="0" fontId="22" fillId="0" borderId="16" xfId="0" applyFont="1" applyBorder="1" applyAlignment="1">
      <alignment horizontal="left"/>
    </xf>
    <xf numFmtId="0" fontId="25" fillId="0" borderId="14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2" fillId="0" borderId="14" xfId="0" applyFont="1" applyBorder="1"/>
    <xf numFmtId="0" fontId="22" fillId="0" borderId="31" xfId="0" applyFont="1" applyBorder="1"/>
    <xf numFmtId="0" fontId="22" fillId="0" borderId="33" xfId="0" applyFont="1" applyBorder="1"/>
    <xf numFmtId="0" fontId="22" fillId="0" borderId="2" xfId="0" applyFont="1" applyBorder="1" applyAlignment="1">
      <alignment horizontal="center" vertical="center"/>
    </xf>
    <xf numFmtId="49" fontId="22" fillId="0" borderId="2" xfId="0" applyNumberFormat="1" applyFont="1" applyBorder="1"/>
    <xf numFmtId="49" fontId="22" fillId="0" borderId="2" xfId="0" applyNumberFormat="1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187" fontId="26" fillId="2" borderId="21" xfId="1" applyNumberFormat="1" applyFont="1" applyFill="1" applyBorder="1" applyAlignment="1">
      <alignment horizontal="center"/>
    </xf>
    <xf numFmtId="187" fontId="26" fillId="2" borderId="19" xfId="1" applyNumberFormat="1" applyFont="1" applyFill="1" applyBorder="1" applyAlignment="1">
      <alignment horizontal="center"/>
    </xf>
    <xf numFmtId="0" fontId="26" fillId="2" borderId="22" xfId="0" applyFont="1" applyFill="1" applyBorder="1" applyAlignment="1">
      <alignment horizontal="center"/>
    </xf>
    <xf numFmtId="0" fontId="26" fillId="2" borderId="21" xfId="0" applyFont="1" applyFill="1" applyBorder="1" applyAlignment="1">
      <alignment horizontal="center"/>
    </xf>
    <xf numFmtId="187" fontId="26" fillId="2" borderId="1" xfId="1" applyNumberFormat="1" applyFont="1" applyFill="1" applyBorder="1" applyAlignment="1">
      <alignment horizontal="center"/>
    </xf>
    <xf numFmtId="0" fontId="26" fillId="2" borderId="23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49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27" xfId="0" applyFont="1" applyBorder="1"/>
    <xf numFmtId="0" fontId="22" fillId="0" borderId="19" xfId="0" applyFont="1" applyBorder="1"/>
    <xf numFmtId="49" fontId="22" fillId="0" borderId="6" xfId="0" applyNumberFormat="1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2" fillId="0" borderId="32" xfId="0" applyFont="1" applyBorder="1" applyAlignment="1">
      <alignment horizontal="left"/>
    </xf>
    <xf numFmtId="0" fontId="22" fillId="0" borderId="33" xfId="0" applyFont="1" applyBorder="1" applyAlignment="1">
      <alignment horizontal="left"/>
    </xf>
    <xf numFmtId="0" fontId="27" fillId="0" borderId="4" xfId="0" applyFont="1" applyBorder="1" applyAlignment="1">
      <alignment horizontal="center"/>
    </xf>
    <xf numFmtId="49" fontId="22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49" fontId="22" fillId="0" borderId="27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0" fontId="27" fillId="0" borderId="27" xfId="0" applyFont="1" applyBorder="1" applyAlignment="1">
      <alignment horizontal="center"/>
    </xf>
    <xf numFmtId="0" fontId="22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horizontal="left" vertical="center"/>
    </xf>
    <xf numFmtId="0" fontId="22" fillId="0" borderId="29" xfId="0" applyFont="1" applyBorder="1"/>
    <xf numFmtId="49" fontId="22" fillId="0" borderId="29" xfId="0" applyNumberFormat="1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0" fontId="22" fillId="0" borderId="7" xfId="0" applyFont="1" applyBorder="1" applyAlignment="1">
      <alignment horizontal="center" vertical="center"/>
    </xf>
    <xf numFmtId="0" fontId="22" fillId="0" borderId="24" xfId="0" applyFont="1" applyBorder="1" applyAlignment="1">
      <alignment horizontal="left" vertical="center"/>
    </xf>
    <xf numFmtId="187" fontId="5" fillId="0" borderId="0" xfId="0" applyNumberFormat="1" applyFont="1"/>
    <xf numFmtId="3" fontId="5" fillId="0" borderId="0" xfId="0" applyNumberFormat="1" applyFont="1"/>
    <xf numFmtId="189" fontId="23" fillId="0" borderId="2" xfId="1" applyNumberFormat="1" applyFont="1" applyBorder="1" applyAlignment="1">
      <alignment horizontal="right"/>
    </xf>
    <xf numFmtId="189" fontId="23" fillId="0" borderId="14" xfId="1" applyNumberFormat="1" applyFont="1" applyBorder="1" applyAlignment="1">
      <alignment horizontal="right"/>
    </xf>
    <xf numFmtId="0" fontId="22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9" fillId="0" borderId="0" xfId="0" applyFont="1" applyAlignment="1">
      <alignment horizontal="justify" vertical="center"/>
    </xf>
    <xf numFmtId="0" fontId="29" fillId="0" borderId="0" xfId="0" applyFont="1" applyAlignment="1">
      <alignment wrapText="1"/>
    </xf>
    <xf numFmtId="187" fontId="22" fillId="2" borderId="21" xfId="1" applyNumberFormat="1" applyFont="1" applyFill="1" applyBorder="1" applyAlignment="1">
      <alignment horizontal="center"/>
    </xf>
    <xf numFmtId="187" fontId="22" fillId="2" borderId="19" xfId="1" applyNumberFormat="1" applyFont="1" applyFill="1" applyBorder="1" applyAlignment="1">
      <alignment horizontal="center"/>
    </xf>
    <xf numFmtId="0" fontId="22" fillId="2" borderId="22" xfId="0" applyFont="1" applyFill="1" applyBorder="1" applyAlignment="1">
      <alignment horizontal="center"/>
    </xf>
    <xf numFmtId="0" fontId="22" fillId="2" borderId="21" xfId="0" applyFont="1" applyFill="1" applyBorder="1" applyAlignment="1">
      <alignment horizontal="center"/>
    </xf>
    <xf numFmtId="187" fontId="22" fillId="2" borderId="1" xfId="1" applyNumberFormat="1" applyFont="1" applyFill="1" applyBorder="1" applyAlignment="1">
      <alignment horizontal="center"/>
    </xf>
    <xf numFmtId="0" fontId="22" fillId="2" borderId="23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49" fontId="22" fillId="0" borderId="27" xfId="0" applyNumberFormat="1" applyFont="1" applyBorder="1"/>
    <xf numFmtId="0" fontId="32" fillId="0" borderId="2" xfId="0" applyFont="1" applyBorder="1" applyAlignment="1">
      <alignment horizontal="center" vertical="center"/>
    </xf>
    <xf numFmtId="0" fontId="33" fillId="2" borderId="10" xfId="0" applyFont="1" applyFill="1" applyBorder="1" applyAlignment="1">
      <alignment horizontal="center"/>
    </xf>
    <xf numFmtId="0" fontId="36" fillId="0" borderId="2" xfId="0" applyFont="1" applyBorder="1" applyAlignment="1">
      <alignment horizontal="center" vertical="center"/>
    </xf>
    <xf numFmtId="187" fontId="34" fillId="3" borderId="25" xfId="0" applyNumberFormat="1" applyFont="1" applyFill="1" applyBorder="1"/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 wrapText="1"/>
    </xf>
    <xf numFmtId="49" fontId="23" fillId="0" borderId="1" xfId="0" applyNumberFormat="1" applyFont="1" applyBorder="1" applyAlignment="1">
      <alignment horizontal="center" vertical="top"/>
    </xf>
    <xf numFmtId="187" fontId="23" fillId="0" borderId="1" xfId="1" applyNumberFormat="1" applyFont="1" applyBorder="1" applyAlignment="1">
      <alignment horizontal="center" vertical="top"/>
    </xf>
    <xf numFmtId="0" fontId="23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/>
    </xf>
    <xf numFmtId="0" fontId="0" fillId="4" borderId="10" xfId="0" applyFill="1" applyBorder="1"/>
    <xf numFmtId="187" fontId="0" fillId="4" borderId="10" xfId="0" applyNumberFormat="1" applyFill="1" applyBorder="1"/>
    <xf numFmtId="0" fontId="32" fillId="0" borderId="2" xfId="0" applyFont="1" applyBorder="1" applyAlignment="1">
      <alignment horizontal="left" vertical="center"/>
    </xf>
    <xf numFmtId="0" fontId="38" fillId="0" borderId="2" xfId="0" applyFont="1" applyBorder="1" applyAlignment="1">
      <alignment horizontal="left" vertical="center"/>
    </xf>
    <xf numFmtId="0" fontId="39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25" xfId="0" applyFont="1" applyBorder="1"/>
    <xf numFmtId="0" fontId="38" fillId="0" borderId="0" xfId="0" applyFont="1" applyAlignment="1">
      <alignment horizontal="center"/>
    </xf>
    <xf numFmtId="0" fontId="28" fillId="0" borderId="7" xfId="0" applyFont="1" applyBorder="1" applyAlignment="1">
      <alignment horizontal="center" vertical="center"/>
    </xf>
    <xf numFmtId="187" fontId="34" fillId="3" borderId="0" xfId="0" applyNumberFormat="1" applyFont="1" applyFill="1"/>
    <xf numFmtId="0" fontId="32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0" borderId="9" xfId="0" applyFont="1" applyBorder="1"/>
    <xf numFmtId="0" fontId="20" fillId="0" borderId="6" xfId="0" applyFont="1" applyBorder="1"/>
    <xf numFmtId="43" fontId="20" fillId="0" borderId="6" xfId="1" applyFont="1" applyBorder="1"/>
    <xf numFmtId="0" fontId="20" fillId="0" borderId="17" xfId="0" applyFont="1" applyBorder="1"/>
    <xf numFmtId="0" fontId="19" fillId="0" borderId="2" xfId="0" applyFont="1" applyBorder="1" applyAlignment="1">
      <alignment horizontal="center" vertical="center"/>
    </xf>
    <xf numFmtId="49" fontId="19" fillId="0" borderId="2" xfId="0" applyNumberFormat="1" applyFont="1" applyBorder="1"/>
    <xf numFmtId="0" fontId="19" fillId="0" borderId="2" xfId="0" applyFont="1" applyBorder="1" applyAlignment="1">
      <alignment horizontal="center"/>
    </xf>
    <xf numFmtId="49" fontId="19" fillId="0" borderId="2" xfId="0" applyNumberFormat="1" applyFont="1" applyBorder="1" applyAlignment="1">
      <alignment horizontal="center"/>
    </xf>
    <xf numFmtId="43" fontId="19" fillId="0" borderId="2" xfId="1" applyFont="1" applyBorder="1" applyAlignment="1">
      <alignment horizontal="right"/>
    </xf>
    <xf numFmtId="0" fontId="19" fillId="0" borderId="3" xfId="0" applyFont="1" applyBorder="1" applyAlignment="1">
      <alignment horizontal="center"/>
    </xf>
    <xf numFmtId="0" fontId="20" fillId="0" borderId="2" xfId="0" applyFont="1" applyBorder="1"/>
    <xf numFmtId="0" fontId="41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41" fillId="0" borderId="19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42" fillId="0" borderId="2" xfId="0" applyFont="1" applyBorder="1"/>
    <xf numFmtId="0" fontId="19" fillId="0" borderId="31" xfId="0" applyFont="1" applyBorder="1"/>
    <xf numFmtId="0" fontId="19" fillId="0" borderId="32" xfId="0" applyFont="1" applyBorder="1"/>
    <xf numFmtId="0" fontId="19" fillId="0" borderId="33" xfId="0" applyFont="1" applyBorder="1"/>
    <xf numFmtId="0" fontId="15" fillId="3" borderId="10" xfId="0" applyFont="1" applyFill="1" applyBorder="1" applyAlignment="1">
      <alignment horizontal="center"/>
    </xf>
    <xf numFmtId="43" fontId="16" fillId="3" borderId="10" xfId="1" applyFont="1" applyFill="1" applyBorder="1" applyAlignment="1">
      <alignment horizontal="right"/>
    </xf>
    <xf numFmtId="0" fontId="43" fillId="0" borderId="2" xfId="0" applyFont="1" applyBorder="1" applyAlignment="1">
      <alignment horizontal="center"/>
    </xf>
    <xf numFmtId="0" fontId="19" fillId="0" borderId="2" xfId="0" applyFont="1" applyBorder="1"/>
    <xf numFmtId="43" fontId="23" fillId="0" borderId="2" xfId="1" applyFont="1" applyBorder="1" applyAlignment="1">
      <alignment horizontal="right"/>
    </xf>
    <xf numFmtId="0" fontId="18" fillId="0" borderId="0" xfId="0" applyFont="1"/>
    <xf numFmtId="0" fontId="44" fillId="0" borderId="0" xfId="0" applyFont="1"/>
    <xf numFmtId="187" fontId="16" fillId="2" borderId="21" xfId="1" applyNumberFormat="1" applyFont="1" applyFill="1" applyBorder="1" applyAlignment="1">
      <alignment horizontal="center"/>
    </xf>
    <xf numFmtId="187" fontId="16" fillId="2" borderId="19" xfId="1" applyNumberFormat="1" applyFont="1" applyFill="1" applyBorder="1" applyAlignment="1">
      <alignment horizontal="center"/>
    </xf>
    <xf numFmtId="0" fontId="16" fillId="2" borderId="22" xfId="0" applyFont="1" applyFill="1" applyBorder="1" applyAlignment="1">
      <alignment horizontal="center"/>
    </xf>
    <xf numFmtId="0" fontId="16" fillId="2" borderId="21" xfId="0" applyFont="1" applyFill="1" applyBorder="1" applyAlignment="1">
      <alignment horizontal="center"/>
    </xf>
    <xf numFmtId="187" fontId="16" fillId="2" borderId="1" xfId="1" applyNumberFormat="1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9" fillId="0" borderId="11" xfId="0" applyFont="1" applyBorder="1"/>
    <xf numFmtId="0" fontId="15" fillId="0" borderId="9" xfId="0" applyFont="1" applyBorder="1"/>
    <xf numFmtId="0" fontId="19" fillId="0" borderId="9" xfId="0" applyFont="1" applyBorder="1"/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49" fontId="1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left"/>
    </xf>
    <xf numFmtId="0" fontId="43" fillId="0" borderId="4" xfId="0" applyFont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0" borderId="4" xfId="0" applyFont="1" applyBorder="1"/>
    <xf numFmtId="0" fontId="18" fillId="0" borderId="2" xfId="0" applyFont="1" applyBorder="1" applyAlignment="1">
      <alignment horizontal="left"/>
    </xf>
    <xf numFmtId="0" fontId="19" fillId="0" borderId="19" xfId="0" applyFont="1" applyBorder="1"/>
    <xf numFmtId="0" fontId="19" fillId="0" borderId="2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8" xfId="0" applyFont="1" applyBorder="1"/>
    <xf numFmtId="0" fontId="43" fillId="0" borderId="8" xfId="0" applyFont="1" applyBorder="1" applyAlignment="1">
      <alignment horizontal="center"/>
    </xf>
    <xf numFmtId="187" fontId="19" fillId="0" borderId="0" xfId="0" applyNumberFormat="1" applyFont="1"/>
    <xf numFmtId="0" fontId="19" fillId="0" borderId="27" xfId="0" applyFont="1" applyBorder="1"/>
    <xf numFmtId="0" fontId="19" fillId="0" borderId="2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6" xfId="0" applyFont="1" applyBorder="1"/>
    <xf numFmtId="0" fontId="43" fillId="0" borderId="6" xfId="0" applyFont="1" applyBorder="1" applyAlignment="1">
      <alignment horizontal="center"/>
    </xf>
    <xf numFmtId="0" fontId="19" fillId="0" borderId="1" xfId="0" applyFont="1" applyBorder="1"/>
    <xf numFmtId="0" fontId="19" fillId="0" borderId="16" xfId="0" applyFont="1" applyBorder="1" applyAlignment="1">
      <alignment horizontal="center"/>
    </xf>
    <xf numFmtId="49" fontId="18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43" fillId="0" borderId="14" xfId="0" applyFont="1" applyBorder="1" applyAlignment="1">
      <alignment horizontal="center"/>
    </xf>
    <xf numFmtId="0" fontId="19" fillId="0" borderId="14" xfId="0" applyFont="1" applyBorder="1"/>
    <xf numFmtId="0" fontId="19" fillId="0" borderId="16" xfId="0" applyFont="1" applyBorder="1" applyAlignment="1">
      <alignment horizontal="left"/>
    </xf>
    <xf numFmtId="0" fontId="15" fillId="2" borderId="10" xfId="0" applyFont="1" applyFill="1" applyBorder="1" applyAlignment="1">
      <alignment horizontal="center"/>
    </xf>
    <xf numFmtId="0" fontId="19" fillId="0" borderId="33" xfId="0" applyFont="1" applyBorder="1" applyAlignment="1">
      <alignment horizontal="left"/>
    </xf>
    <xf numFmtId="187" fontId="44" fillId="0" borderId="0" xfId="0" applyNumberFormat="1" applyFont="1"/>
    <xf numFmtId="49" fontId="18" fillId="0" borderId="2" xfId="0" applyNumberFormat="1" applyFont="1" applyBorder="1" applyAlignment="1">
      <alignment horizontal="center"/>
    </xf>
    <xf numFmtId="187" fontId="18" fillId="0" borderId="2" xfId="1" applyNumberFormat="1" applyFont="1" applyBorder="1" applyAlignment="1">
      <alignment horizontal="right"/>
    </xf>
    <xf numFmtId="0" fontId="18" fillId="0" borderId="2" xfId="0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/>
    </xf>
    <xf numFmtId="187" fontId="19" fillId="0" borderId="2" xfId="1" applyNumberFormat="1" applyFont="1" applyBorder="1" applyAlignment="1">
      <alignment horizontal="right"/>
    </xf>
    <xf numFmtId="0" fontId="19" fillId="0" borderId="3" xfId="0" applyFont="1" applyBorder="1"/>
    <xf numFmtId="49" fontId="18" fillId="0" borderId="6" xfId="0" applyNumberFormat="1" applyFont="1" applyBorder="1" applyAlignment="1">
      <alignment horizontal="center"/>
    </xf>
    <xf numFmtId="0" fontId="18" fillId="0" borderId="14" xfId="0" applyFont="1" applyBorder="1"/>
    <xf numFmtId="0" fontId="19" fillId="0" borderId="14" xfId="0" applyFont="1" applyBorder="1" applyAlignment="1">
      <alignment horizontal="center"/>
    </xf>
    <xf numFmtId="49" fontId="19" fillId="0" borderId="14" xfId="0" applyNumberFormat="1" applyFont="1" applyBorder="1" applyAlignment="1">
      <alignment horizontal="center"/>
    </xf>
    <xf numFmtId="0" fontId="18" fillId="0" borderId="14" xfId="0" applyFont="1" applyBorder="1" applyAlignment="1">
      <alignment horizontal="left"/>
    </xf>
    <xf numFmtId="0" fontId="44" fillId="0" borderId="14" xfId="0" applyFont="1" applyBorder="1"/>
    <xf numFmtId="0" fontId="19" fillId="0" borderId="0" xfId="0" applyFont="1" applyAlignment="1">
      <alignment horizontal="left"/>
    </xf>
    <xf numFmtId="0" fontId="15" fillId="3" borderId="0" xfId="0" applyFont="1" applyFill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/>
    </xf>
    <xf numFmtId="0" fontId="44" fillId="0" borderId="2" xfId="0" applyFont="1" applyBorder="1"/>
    <xf numFmtId="0" fontId="44" fillId="0" borderId="2" xfId="0" applyFont="1" applyBorder="1" applyAlignment="1">
      <alignment horizontal="left"/>
    </xf>
    <xf numFmtId="0" fontId="18" fillId="0" borderId="13" xfId="0" applyFont="1" applyBorder="1"/>
    <xf numFmtId="0" fontId="43" fillId="0" borderId="13" xfId="0" applyFont="1" applyBorder="1" applyAlignment="1">
      <alignment horizontal="center"/>
    </xf>
    <xf numFmtId="0" fontId="15" fillId="2" borderId="2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5" fillId="0" borderId="6" xfId="0" applyFont="1" applyBorder="1"/>
    <xf numFmtId="0" fontId="19" fillId="0" borderId="5" xfId="0" applyFont="1" applyBorder="1"/>
    <xf numFmtId="0" fontId="19" fillId="0" borderId="26" xfId="0" applyFont="1" applyBorder="1"/>
    <xf numFmtId="43" fontId="19" fillId="0" borderId="6" xfId="1" applyFont="1" applyBorder="1"/>
    <xf numFmtId="43" fontId="19" fillId="0" borderId="8" xfId="1" applyFont="1" applyBorder="1"/>
    <xf numFmtId="43" fontId="15" fillId="2" borderId="10" xfId="1" applyFont="1" applyFill="1" applyBorder="1"/>
    <xf numFmtId="43" fontId="18" fillId="0" borderId="2" xfId="1" applyFont="1" applyBorder="1" applyAlignment="1">
      <alignment horizontal="right"/>
    </xf>
    <xf numFmtId="43" fontId="18" fillId="0" borderId="8" xfId="1" applyFont="1" applyBorder="1" applyAlignment="1">
      <alignment horizontal="right"/>
    </xf>
    <xf numFmtId="43" fontId="18" fillId="0" borderId="6" xfId="1" applyFont="1" applyBorder="1" applyAlignment="1">
      <alignment horizontal="right"/>
    </xf>
    <xf numFmtId="43" fontId="15" fillId="2" borderId="20" xfId="1" applyFont="1" applyFill="1" applyBorder="1"/>
    <xf numFmtId="43" fontId="19" fillId="0" borderId="9" xfId="1" applyFont="1" applyBorder="1"/>
    <xf numFmtId="43" fontId="19" fillId="0" borderId="2" xfId="1" applyFont="1" applyBorder="1" applyAlignment="1">
      <alignment horizontal="center"/>
    </xf>
    <xf numFmtId="43" fontId="15" fillId="2" borderId="21" xfId="1" applyFont="1" applyFill="1" applyBorder="1"/>
    <xf numFmtId="0" fontId="18" fillId="3" borderId="14" xfId="0" applyFont="1" applyFill="1" applyBorder="1" applyAlignment="1">
      <alignment horizontal="left"/>
    </xf>
    <xf numFmtId="0" fontId="13" fillId="3" borderId="0" xfId="0" applyFont="1" applyFill="1"/>
    <xf numFmtId="0" fontId="19" fillId="0" borderId="0" xfId="0" applyFont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44" fillId="0" borderId="6" xfId="0" applyFont="1" applyBorder="1"/>
    <xf numFmtId="0" fontId="45" fillId="0" borderId="6" xfId="0" applyFont="1" applyBorder="1" applyAlignment="1">
      <alignment horizontal="center"/>
    </xf>
    <xf numFmtId="0" fontId="44" fillId="0" borderId="0" xfId="0" applyFont="1" applyAlignment="1">
      <alignment horizontal="left"/>
    </xf>
    <xf numFmtId="0" fontId="46" fillId="0" borderId="0" xfId="0" applyFont="1"/>
    <xf numFmtId="0" fontId="18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26" xfId="0" applyFont="1" applyBorder="1" applyAlignment="1">
      <alignment horizontal="center" vertical="center"/>
    </xf>
    <xf numFmtId="187" fontId="16" fillId="0" borderId="6" xfId="1" applyNumberFormat="1" applyFont="1" applyBorder="1" applyAlignment="1">
      <alignment horizontal="center"/>
    </xf>
    <xf numFmtId="187" fontId="16" fillId="0" borderId="6" xfId="1" applyNumberFormat="1" applyFont="1" applyBorder="1" applyAlignment="1">
      <alignment vertical="center"/>
    </xf>
    <xf numFmtId="49" fontId="18" fillId="0" borderId="2" xfId="0" applyNumberFormat="1" applyFont="1" applyBorder="1"/>
    <xf numFmtId="187" fontId="18" fillId="0" borderId="2" xfId="1" applyNumberFormat="1" applyFont="1" applyBorder="1" applyAlignment="1"/>
    <xf numFmtId="0" fontId="43" fillId="0" borderId="19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8" fillId="0" borderId="36" xfId="0" applyFont="1" applyBorder="1" applyAlignment="1">
      <alignment horizontal="center"/>
    </xf>
    <xf numFmtId="49" fontId="18" fillId="0" borderId="19" xfId="0" applyNumberFormat="1" applyFont="1" applyBorder="1" applyAlignment="1">
      <alignment horizontal="center"/>
    </xf>
    <xf numFmtId="187" fontId="18" fillId="0" borderId="19" xfId="1" applyNumberFormat="1" applyFont="1" applyBorder="1" applyAlignment="1"/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/>
    </xf>
    <xf numFmtId="0" fontId="16" fillId="0" borderId="33" xfId="0" applyFont="1" applyBorder="1" applyAlignment="1">
      <alignment horizontal="center" vertical="center"/>
    </xf>
    <xf numFmtId="187" fontId="16" fillId="2" borderId="10" xfId="1" applyNumberFormat="1" applyFont="1" applyFill="1" applyBorder="1" applyAlignment="1">
      <alignment horizontal="center"/>
    </xf>
    <xf numFmtId="187" fontId="16" fillId="2" borderId="10" xfId="0" applyNumberFormat="1" applyFont="1" applyFill="1" applyBorder="1" applyAlignment="1">
      <alignment horizontal="center"/>
    </xf>
    <xf numFmtId="0" fontId="16" fillId="0" borderId="32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/>
    </xf>
    <xf numFmtId="187" fontId="46" fillId="0" borderId="0" xfId="0" applyNumberFormat="1" applyFont="1"/>
    <xf numFmtId="0" fontId="16" fillId="0" borderId="6" xfId="0" applyFont="1" applyBorder="1"/>
    <xf numFmtId="49" fontId="18" fillId="0" borderId="6" xfId="0" applyNumberFormat="1" applyFont="1" applyBorder="1"/>
    <xf numFmtId="3" fontId="18" fillId="0" borderId="6" xfId="0" applyNumberFormat="1" applyFont="1" applyBorder="1" applyAlignment="1">
      <alignment horizontal="right"/>
    </xf>
    <xf numFmtId="3" fontId="18" fillId="0" borderId="2" xfId="0" applyNumberFormat="1" applyFont="1" applyBorder="1" applyAlignment="1">
      <alignment horizontal="right"/>
    </xf>
    <xf numFmtId="0" fontId="18" fillId="0" borderId="2" xfId="0" applyFont="1" applyBorder="1" applyAlignment="1">
      <alignment horizontal="center" vertical="top"/>
    </xf>
    <xf numFmtId="0" fontId="18" fillId="0" borderId="2" xfId="0" applyFont="1" applyBorder="1" applyAlignment="1">
      <alignment vertical="top" wrapText="1"/>
    </xf>
    <xf numFmtId="49" fontId="18" fillId="0" borderId="2" xfId="0" applyNumberFormat="1" applyFont="1" applyBorder="1" applyAlignment="1">
      <alignment horizontal="center" vertical="top"/>
    </xf>
    <xf numFmtId="187" fontId="18" fillId="0" borderId="6" xfId="1" applyNumberFormat="1" applyFont="1" applyBorder="1" applyAlignment="1">
      <alignment horizontal="center" vertical="top"/>
    </xf>
    <xf numFmtId="0" fontId="18" fillId="0" borderId="2" xfId="0" applyFont="1" applyBorder="1" applyAlignment="1">
      <alignment horizontal="left" vertical="top"/>
    </xf>
    <xf numFmtId="0" fontId="43" fillId="0" borderId="8" xfId="0" applyFont="1" applyBorder="1" applyAlignment="1">
      <alignment horizontal="center" vertical="top"/>
    </xf>
    <xf numFmtId="0" fontId="18" fillId="0" borderId="6" xfId="0" applyFont="1" applyBorder="1" applyAlignment="1">
      <alignment vertical="top"/>
    </xf>
    <xf numFmtId="0" fontId="18" fillId="0" borderId="2" xfId="0" applyFont="1" applyBorder="1" applyAlignment="1">
      <alignment vertical="top"/>
    </xf>
    <xf numFmtId="0" fontId="18" fillId="0" borderId="2" xfId="0" applyFont="1" applyBorder="1" applyAlignment="1">
      <alignment wrapText="1"/>
    </xf>
    <xf numFmtId="187" fontId="18" fillId="0" borderId="2" xfId="1" applyNumberFormat="1" applyFont="1" applyBorder="1" applyAlignment="1">
      <alignment horizontal="center" vertical="top"/>
    </xf>
    <xf numFmtId="0" fontId="43" fillId="0" borderId="2" xfId="0" applyFont="1" applyBorder="1" applyAlignment="1">
      <alignment horizontal="center" vertical="top"/>
    </xf>
    <xf numFmtId="3" fontId="46" fillId="0" borderId="0" xfId="0" applyNumberFormat="1" applyFont="1"/>
    <xf numFmtId="187" fontId="16" fillId="2" borderId="20" xfId="1" applyNumberFormat="1" applyFont="1" applyFill="1" applyBorder="1" applyAlignment="1">
      <alignment horizontal="center"/>
    </xf>
    <xf numFmtId="187" fontId="16" fillId="2" borderId="20" xfId="0" applyNumberFormat="1" applyFont="1" applyFill="1" applyBorder="1" applyAlignment="1">
      <alignment horizontal="center"/>
    </xf>
    <xf numFmtId="187" fontId="16" fillId="2" borderId="10" xfId="0" applyNumberFormat="1" applyFont="1" applyFill="1" applyBorder="1" applyAlignment="1">
      <alignment horizontal="right"/>
    </xf>
    <xf numFmtId="0" fontId="18" fillId="0" borderId="14" xfId="0" applyFont="1" applyBorder="1" applyAlignment="1">
      <alignment horizontal="center"/>
    </xf>
    <xf numFmtId="187" fontId="18" fillId="0" borderId="14" xfId="1" applyNumberFormat="1" applyFont="1" applyBorder="1" applyAlignment="1">
      <alignment horizontal="right"/>
    </xf>
    <xf numFmtId="0" fontId="19" fillId="0" borderId="13" xfId="0" applyFont="1" applyBorder="1" applyAlignment="1">
      <alignment horizontal="left"/>
    </xf>
    <xf numFmtId="0" fontId="46" fillId="0" borderId="30" xfId="0" applyFont="1" applyBorder="1"/>
    <xf numFmtId="0" fontId="16" fillId="0" borderId="0" xfId="0" applyFont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/>
    </xf>
    <xf numFmtId="0" fontId="16" fillId="0" borderId="0" xfId="0" applyFont="1" applyAlignment="1">
      <alignment horizontal="left" vertical="center"/>
    </xf>
    <xf numFmtId="187" fontId="16" fillId="3" borderId="0" xfId="1" applyNumberFormat="1" applyFont="1" applyFill="1" applyBorder="1" applyAlignment="1">
      <alignment horizontal="center"/>
    </xf>
    <xf numFmtId="187" fontId="16" fillId="3" borderId="0" xfId="0" applyNumberFormat="1" applyFont="1" applyFill="1" applyAlignment="1">
      <alignment horizontal="right"/>
    </xf>
    <xf numFmtId="0" fontId="18" fillId="0" borderId="9" xfId="0" applyFont="1" applyBorder="1" applyAlignment="1">
      <alignment horizontal="center"/>
    </xf>
    <xf numFmtId="0" fontId="16" fillId="0" borderId="9" xfId="0" applyFont="1" applyBorder="1"/>
    <xf numFmtId="187" fontId="18" fillId="0" borderId="9" xfId="1" applyNumberFormat="1" applyFont="1" applyBorder="1"/>
    <xf numFmtId="0" fontId="18" fillId="0" borderId="9" xfId="0" applyFont="1" applyBorder="1"/>
    <xf numFmtId="187" fontId="18" fillId="0" borderId="2" xfId="1" applyNumberFormat="1" applyFont="1" applyBorder="1" applyAlignment="1">
      <alignment horizontal="right" vertical="top"/>
    </xf>
    <xf numFmtId="0" fontId="43" fillId="0" borderId="2" xfId="0" applyFont="1" applyBorder="1" applyAlignment="1">
      <alignment horizontal="center" vertical="center"/>
    </xf>
    <xf numFmtId="0" fontId="18" fillId="0" borderId="6" xfId="0" applyFont="1" applyBorder="1" applyAlignment="1">
      <alignment vertical="top" wrapText="1"/>
    </xf>
    <xf numFmtId="0" fontId="18" fillId="0" borderId="6" xfId="0" applyFont="1" applyBorder="1" applyAlignment="1">
      <alignment horizontal="center" vertical="top"/>
    </xf>
    <xf numFmtId="49" fontId="18" fillId="0" borderId="4" xfId="0" applyNumberFormat="1" applyFont="1" applyBorder="1" applyAlignment="1">
      <alignment horizontal="center" vertical="top"/>
    </xf>
    <xf numFmtId="0" fontId="18" fillId="0" borderId="6" xfId="0" applyFont="1" applyBorder="1" applyAlignment="1">
      <alignment horizontal="left" vertical="top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vertical="top" wrapText="1"/>
    </xf>
    <xf numFmtId="0" fontId="18" fillId="0" borderId="14" xfId="0" applyFont="1" applyBorder="1" applyAlignment="1">
      <alignment horizontal="center" vertical="top"/>
    </xf>
    <xf numFmtId="49" fontId="18" fillId="0" borderId="1" xfId="0" applyNumberFormat="1" applyFont="1" applyBorder="1" applyAlignment="1">
      <alignment horizontal="center" vertical="top"/>
    </xf>
    <xf numFmtId="187" fontId="18" fillId="0" borderId="1" xfId="1" applyNumberFormat="1" applyFont="1" applyBorder="1" applyAlignment="1">
      <alignment horizontal="right" vertical="top"/>
    </xf>
    <xf numFmtId="0" fontId="18" fillId="0" borderId="30" xfId="0" applyFont="1" applyBorder="1" applyAlignment="1">
      <alignment horizontal="left" vertical="top"/>
    </xf>
    <xf numFmtId="187" fontId="16" fillId="2" borderId="20" xfId="0" applyNumberFormat="1" applyFont="1" applyFill="1" applyBorder="1" applyAlignment="1">
      <alignment horizontal="right"/>
    </xf>
    <xf numFmtId="187" fontId="19" fillId="0" borderId="6" xfId="1" applyNumberFormat="1" applyFont="1" applyBorder="1"/>
    <xf numFmtId="0" fontId="19" fillId="0" borderId="6" xfId="0" applyFont="1" applyBorder="1" applyAlignment="1">
      <alignment horizontal="left"/>
    </xf>
    <xf numFmtId="187" fontId="19" fillId="0" borderId="6" xfId="1" applyNumberFormat="1" applyFont="1" applyBorder="1" applyAlignment="1">
      <alignment horizontal="center"/>
    </xf>
    <xf numFmtId="49" fontId="19" fillId="0" borderId="8" xfId="0" applyNumberFormat="1" applyFont="1" applyBorder="1" applyAlignment="1">
      <alignment horizontal="center"/>
    </xf>
    <xf numFmtId="187" fontId="19" fillId="0" borderId="8" xfId="1" applyNumberFormat="1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/>
    <xf numFmtId="0" fontId="16" fillId="0" borderId="9" xfId="0" applyFont="1" applyBorder="1" applyAlignment="1">
      <alignment horizontal="center" vertical="center"/>
    </xf>
    <xf numFmtId="187" fontId="16" fillId="3" borderId="9" xfId="1" applyNumberFormat="1" applyFont="1" applyFill="1" applyBorder="1" applyAlignment="1">
      <alignment horizontal="center"/>
    </xf>
    <xf numFmtId="187" fontId="16" fillId="3" borderId="9" xfId="0" applyNumberFormat="1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187" fontId="18" fillId="3" borderId="2" xfId="0" applyNumberFormat="1" applyFont="1" applyFill="1" applyBorder="1" applyAlignment="1">
      <alignment horizontal="center"/>
    </xf>
    <xf numFmtId="0" fontId="18" fillId="3" borderId="4" xfId="0" applyFont="1" applyFill="1" applyBorder="1" applyAlignment="1">
      <alignment horizontal="left" vertical="center"/>
    </xf>
    <xf numFmtId="187" fontId="18" fillId="3" borderId="2" xfId="1" applyNumberFormat="1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187" fontId="19" fillId="0" borderId="2" xfId="1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left" vertical="center"/>
    </xf>
    <xf numFmtId="3" fontId="19" fillId="0" borderId="2" xfId="0" applyNumberFormat="1" applyFont="1" applyBorder="1" applyAlignment="1">
      <alignment horizontal="right" vertical="center"/>
    </xf>
    <xf numFmtId="3" fontId="19" fillId="0" borderId="19" xfId="0" applyNumberFormat="1" applyFont="1" applyBorder="1" applyAlignment="1">
      <alignment horizontal="right" vertical="center"/>
    </xf>
    <xf numFmtId="187" fontId="16" fillId="2" borderId="25" xfId="1" applyNumberFormat="1" applyFont="1" applyFill="1" applyBorder="1" applyAlignment="1">
      <alignment horizontal="center"/>
    </xf>
    <xf numFmtId="187" fontId="16" fillId="2" borderId="25" xfId="0" applyNumberFormat="1" applyFont="1" applyFill="1" applyBorder="1" applyAlignment="1">
      <alignment horizontal="center"/>
    </xf>
    <xf numFmtId="187" fontId="19" fillId="0" borderId="8" xfId="1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7" fontId="18" fillId="0" borderId="8" xfId="1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center"/>
    </xf>
    <xf numFmtId="187" fontId="15" fillId="0" borderId="9" xfId="1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18" fillId="0" borderId="4" xfId="0" applyFont="1" applyBorder="1"/>
    <xf numFmtId="49" fontId="18" fillId="0" borderId="5" xfId="0" applyNumberFormat="1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0" fontId="19" fillId="0" borderId="4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/>
    </xf>
    <xf numFmtId="0" fontId="19" fillId="0" borderId="35" xfId="0" applyFont="1" applyBorder="1" applyAlignment="1">
      <alignment horizontal="center" vertical="center"/>
    </xf>
    <xf numFmtId="0" fontId="18" fillId="0" borderId="35" xfId="0" applyFont="1" applyBorder="1"/>
    <xf numFmtId="0" fontId="18" fillId="0" borderId="1" xfId="0" applyFont="1" applyBorder="1" applyAlignment="1">
      <alignment horizontal="center"/>
    </xf>
    <xf numFmtId="49" fontId="18" fillId="0" borderId="0" xfId="0" applyNumberFormat="1" applyFont="1" applyAlignment="1">
      <alignment horizontal="center"/>
    </xf>
    <xf numFmtId="0" fontId="15" fillId="0" borderId="31" xfId="0" applyFont="1" applyBorder="1" applyAlignment="1">
      <alignment horizontal="center" vertical="center"/>
    </xf>
    <xf numFmtId="0" fontId="18" fillId="0" borderId="32" xfId="0" applyFont="1" applyBorder="1"/>
    <xf numFmtId="0" fontId="18" fillId="0" borderId="33" xfId="0" applyFont="1" applyBorder="1" applyAlignment="1">
      <alignment horizontal="center" vertical="center"/>
    </xf>
    <xf numFmtId="187" fontId="16" fillId="2" borderId="37" xfId="1" applyNumberFormat="1" applyFont="1" applyFill="1" applyBorder="1" applyAlignment="1">
      <alignment horizontal="center" vertical="center"/>
    </xf>
    <xf numFmtId="187" fontId="44" fillId="0" borderId="31" xfId="1" applyNumberFormat="1" applyFont="1" applyBorder="1" applyAlignment="1">
      <alignment horizontal="left" vertical="center"/>
    </xf>
    <xf numFmtId="0" fontId="15" fillId="0" borderId="34" xfId="0" applyFont="1" applyBorder="1" applyAlignment="1">
      <alignment horizontal="center" vertical="center"/>
    </xf>
    <xf numFmtId="0" fontId="18" fillId="0" borderId="22" xfId="0" applyFont="1" applyBorder="1"/>
    <xf numFmtId="0" fontId="18" fillId="0" borderId="28" xfId="0" applyFont="1" applyBorder="1" applyAlignment="1">
      <alignment horizontal="center" vertical="center"/>
    </xf>
    <xf numFmtId="187" fontId="44" fillId="0" borderId="34" xfId="1" applyNumberFormat="1" applyFont="1" applyBorder="1" applyAlignment="1">
      <alignment horizontal="left" vertical="center"/>
    </xf>
    <xf numFmtId="0" fontId="19" fillId="0" borderId="22" xfId="0" applyFont="1" applyBorder="1"/>
    <xf numFmtId="0" fontId="19" fillId="0" borderId="28" xfId="0" applyFont="1" applyBorder="1"/>
    <xf numFmtId="187" fontId="44" fillId="0" borderId="0" xfId="1" applyNumberFormat="1" applyFont="1" applyBorder="1" applyAlignment="1">
      <alignment horizontal="left" vertical="center"/>
    </xf>
    <xf numFmtId="0" fontId="18" fillId="0" borderId="9" xfId="0" applyFont="1" applyBorder="1" applyAlignment="1">
      <alignment horizontal="left"/>
    </xf>
    <xf numFmtId="0" fontId="43" fillId="0" borderId="27" xfId="0" applyFont="1" applyBorder="1" applyAlignment="1">
      <alignment horizontal="center"/>
    </xf>
    <xf numFmtId="49" fontId="18" fillId="0" borderId="8" xfId="0" applyNumberFormat="1" applyFont="1" applyBorder="1"/>
    <xf numFmtId="0" fontId="18" fillId="0" borderId="7" xfId="0" applyFont="1" applyBorder="1" applyAlignment="1">
      <alignment horizontal="center"/>
    </xf>
    <xf numFmtId="187" fontId="19" fillId="0" borderId="5" xfId="0" applyNumberFormat="1" applyFont="1" applyBorder="1"/>
    <xf numFmtId="0" fontId="47" fillId="0" borderId="2" xfId="0" applyFont="1" applyBorder="1" applyAlignment="1">
      <alignment horizontal="left"/>
    </xf>
    <xf numFmtId="0" fontId="47" fillId="0" borderId="2" xfId="0" applyFont="1" applyBorder="1" applyAlignment="1">
      <alignment horizontal="center"/>
    </xf>
    <xf numFmtId="0" fontId="19" fillId="0" borderId="40" xfId="0" applyFont="1" applyBorder="1"/>
    <xf numFmtId="0" fontId="19" fillId="0" borderId="38" xfId="0" applyFont="1" applyBorder="1"/>
    <xf numFmtId="0" fontId="18" fillId="0" borderId="39" xfId="0" applyFont="1" applyBorder="1" applyAlignment="1">
      <alignment horizontal="left"/>
    </xf>
    <xf numFmtId="49" fontId="18" fillId="0" borderId="27" xfId="0" applyNumberFormat="1" applyFont="1" applyBorder="1" applyAlignment="1">
      <alignment horizontal="center"/>
    </xf>
    <xf numFmtId="49" fontId="19" fillId="0" borderId="4" xfId="0" applyNumberFormat="1" applyFont="1" applyBorder="1" applyAlignment="1">
      <alignment horizontal="center"/>
    </xf>
    <xf numFmtId="49" fontId="19" fillId="0" borderId="27" xfId="0" applyNumberFormat="1" applyFont="1" applyBorder="1" applyAlignment="1">
      <alignment horizontal="center"/>
    </xf>
    <xf numFmtId="0" fontId="44" fillId="0" borderId="26" xfId="0" applyFont="1" applyBorder="1" applyAlignment="1">
      <alignment horizontal="center"/>
    </xf>
    <xf numFmtId="0" fontId="44" fillId="0" borderId="6" xfId="0" applyFont="1" applyBorder="1" applyAlignment="1">
      <alignment horizontal="left"/>
    </xf>
    <xf numFmtId="49" fontId="19" fillId="0" borderId="13" xfId="0" applyNumberFormat="1" applyFont="1" applyBorder="1" applyAlignment="1">
      <alignment horizontal="center"/>
    </xf>
    <xf numFmtId="0" fontId="44" fillId="0" borderId="15" xfId="0" applyFont="1" applyBorder="1" applyAlignment="1">
      <alignment horizontal="center"/>
    </xf>
    <xf numFmtId="0" fontId="44" fillId="0" borderId="14" xfId="0" applyFont="1" applyBorder="1" applyAlignment="1">
      <alignment horizontal="left"/>
    </xf>
    <xf numFmtId="3" fontId="44" fillId="0" borderId="0" xfId="0" applyNumberFormat="1" applyFont="1"/>
    <xf numFmtId="0" fontId="15" fillId="2" borderId="19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/>
    </xf>
    <xf numFmtId="187" fontId="44" fillId="3" borderId="9" xfId="1" applyNumberFormat="1" applyFont="1" applyFill="1" applyBorder="1" applyAlignment="1">
      <alignment horizontal="left" vertical="center"/>
    </xf>
    <xf numFmtId="0" fontId="19" fillId="3" borderId="9" xfId="0" applyFont="1" applyFill="1" applyBorder="1"/>
    <xf numFmtId="0" fontId="18" fillId="0" borderId="4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48" fillId="0" borderId="0" xfId="0" applyFont="1"/>
    <xf numFmtId="0" fontId="19" fillId="0" borderId="7" xfId="0" applyFont="1" applyBorder="1" applyAlignment="1">
      <alignment horizontal="center"/>
    </xf>
    <xf numFmtId="0" fontId="44" fillId="0" borderId="26" xfId="0" applyFont="1" applyBorder="1"/>
    <xf numFmtId="0" fontId="41" fillId="0" borderId="6" xfId="0" applyFont="1" applyBorder="1" applyAlignment="1">
      <alignment horizontal="center"/>
    </xf>
    <xf numFmtId="3" fontId="19" fillId="0" borderId="0" xfId="0" applyNumberFormat="1" applyFont="1"/>
    <xf numFmtId="0" fontId="18" fillId="0" borderId="19" xfId="0" applyFont="1" applyBorder="1" applyAlignment="1">
      <alignment horizontal="left"/>
    </xf>
    <xf numFmtId="49" fontId="19" fillId="0" borderId="6" xfId="0" applyNumberFormat="1" applyFont="1" applyBorder="1"/>
    <xf numFmtId="49" fontId="19" fillId="0" borderId="8" xfId="0" applyNumberFormat="1" applyFont="1" applyBorder="1"/>
    <xf numFmtId="0" fontId="19" fillId="0" borderId="23" xfId="0" applyFont="1" applyBorder="1"/>
    <xf numFmtId="43" fontId="19" fillId="0" borderId="19" xfId="1" applyFont="1" applyBorder="1"/>
    <xf numFmtId="0" fontId="41" fillId="0" borderId="14" xfId="0" applyFont="1" applyBorder="1" applyAlignment="1">
      <alignment horizontal="center"/>
    </xf>
    <xf numFmtId="43" fontId="15" fillId="0" borderId="9" xfId="1" applyFont="1" applyBorder="1" applyAlignment="1">
      <alignment horizontal="center" vertical="center"/>
    </xf>
    <xf numFmtId="43" fontId="18" fillId="0" borderId="19" xfId="1" applyFont="1" applyBorder="1" applyAlignment="1">
      <alignment horizontal="right"/>
    </xf>
    <xf numFmtId="43" fontId="16" fillId="2" borderId="10" xfId="1" applyFont="1" applyFill="1" applyBorder="1" applyAlignment="1">
      <alignment vertical="center"/>
    </xf>
    <xf numFmtId="43" fontId="15" fillId="3" borderId="0" xfId="1" applyFont="1" applyFill="1" applyBorder="1"/>
    <xf numFmtId="43" fontId="19" fillId="0" borderId="14" xfId="1" applyFont="1" applyBorder="1"/>
    <xf numFmtId="43" fontId="18" fillId="0" borderId="2" xfId="1" applyFont="1" applyFill="1" applyBorder="1" applyAlignment="1">
      <alignment horizontal="right"/>
    </xf>
    <xf numFmtId="43" fontId="18" fillId="0" borderId="6" xfId="1" applyFont="1" applyFill="1" applyBorder="1" applyAlignment="1">
      <alignment horizontal="right"/>
    </xf>
    <xf numFmtId="43" fontId="19" fillId="0" borderId="2" xfId="1" applyFont="1" applyFill="1" applyBorder="1" applyAlignment="1">
      <alignment horizontal="right"/>
    </xf>
    <xf numFmtId="43" fontId="19" fillId="0" borderId="6" xfId="1" applyFont="1" applyFill="1" applyBorder="1" applyAlignment="1">
      <alignment horizontal="right"/>
    </xf>
    <xf numFmtId="43" fontId="19" fillId="0" borderId="14" xfId="1" applyFont="1" applyFill="1" applyBorder="1" applyAlignment="1">
      <alignment horizontal="right"/>
    </xf>
    <xf numFmtId="43" fontId="15" fillId="2" borderId="19" xfId="1" applyFont="1" applyFill="1" applyBorder="1"/>
    <xf numFmtId="43" fontId="15" fillId="3" borderId="9" xfId="1" applyFont="1" applyFill="1" applyBorder="1"/>
    <xf numFmtId="43" fontId="19" fillId="0" borderId="2" xfId="1" applyFont="1" applyBorder="1"/>
    <xf numFmtId="43" fontId="19" fillId="0" borderId="2" xfId="1" applyFont="1" applyFill="1" applyBorder="1" applyAlignment="1">
      <alignment horizontal="center"/>
    </xf>
    <xf numFmtId="43" fontId="15" fillId="2" borderId="41" xfId="1" applyFont="1" applyFill="1" applyBorder="1"/>
    <xf numFmtId="43" fontId="19" fillId="0" borderId="0" xfId="1" applyFont="1"/>
    <xf numFmtId="0" fontId="18" fillId="0" borderId="2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/>
    </xf>
    <xf numFmtId="49" fontId="18" fillId="0" borderId="2" xfId="0" applyNumberFormat="1" applyFont="1" applyBorder="1" applyAlignment="1">
      <alignment horizontal="left" vertical="top"/>
    </xf>
    <xf numFmtId="49" fontId="19" fillId="0" borderId="2" xfId="0" applyNumberFormat="1" applyFont="1" applyBorder="1" applyAlignment="1">
      <alignment horizontal="left" vertical="top"/>
    </xf>
    <xf numFmtId="0" fontId="19" fillId="0" borderId="5" xfId="0" applyFont="1" applyBorder="1" applyAlignment="1">
      <alignment horizontal="left" vertical="top"/>
    </xf>
    <xf numFmtId="43" fontId="19" fillId="0" borderId="2" xfId="1" applyFont="1" applyBorder="1" applyAlignment="1">
      <alignment horizontal="left" vertical="top"/>
    </xf>
    <xf numFmtId="0" fontId="19" fillId="0" borderId="14" xfId="0" applyFont="1" applyBorder="1" applyAlignment="1">
      <alignment horizontal="left" vertical="top" wrapText="1"/>
    </xf>
    <xf numFmtId="49" fontId="19" fillId="0" borderId="2" xfId="0" applyNumberFormat="1" applyFont="1" applyBorder="1" applyAlignment="1">
      <alignment horizontal="left" vertical="top" wrapText="1"/>
    </xf>
    <xf numFmtId="43" fontId="19" fillId="0" borderId="2" xfId="1" applyFont="1" applyBorder="1" applyAlignment="1">
      <alignment horizontal="left" vertical="top" wrapText="1"/>
    </xf>
    <xf numFmtId="49" fontId="19" fillId="0" borderId="6" xfId="0" applyNumberFormat="1" applyFont="1" applyBorder="1" applyAlignment="1">
      <alignment horizontal="left" vertical="top" wrapText="1"/>
    </xf>
    <xf numFmtId="43" fontId="19" fillId="0" borderId="6" xfId="1" applyFont="1" applyBorder="1" applyAlignment="1">
      <alignment horizontal="left" vertical="top" wrapText="1"/>
    </xf>
    <xf numFmtId="43" fontId="19" fillId="0" borderId="6" xfId="1" applyFont="1" applyFill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49" fontId="19" fillId="0" borderId="8" xfId="0" applyNumberFormat="1" applyFont="1" applyBorder="1" applyAlignment="1">
      <alignment horizontal="left" vertical="top" wrapText="1"/>
    </xf>
    <xf numFmtId="43" fontId="19" fillId="0" borderId="8" xfId="1" applyFont="1" applyFill="1" applyBorder="1" applyAlignment="1">
      <alignment horizontal="left" vertical="top" wrapText="1"/>
    </xf>
    <xf numFmtId="49" fontId="19" fillId="0" borderId="19" xfId="0" applyNumberFormat="1" applyFont="1" applyBorder="1" applyAlignment="1">
      <alignment horizontal="left" vertical="top" wrapText="1"/>
    </xf>
    <xf numFmtId="43" fontId="19" fillId="0" borderId="19" xfId="1" applyFont="1" applyFill="1" applyBorder="1" applyAlignment="1">
      <alignment horizontal="left" vertical="top" wrapText="1"/>
    </xf>
    <xf numFmtId="43" fontId="19" fillId="0" borderId="2" xfId="1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49" fontId="19" fillId="0" borderId="14" xfId="0" applyNumberFormat="1" applyFont="1" applyBorder="1" applyAlignment="1">
      <alignment horizontal="left" vertical="top" wrapText="1"/>
    </xf>
    <xf numFmtId="43" fontId="19" fillId="0" borderId="14" xfId="1" applyFont="1" applyFill="1" applyBorder="1" applyAlignment="1">
      <alignment horizontal="left" vertical="top" wrapText="1"/>
    </xf>
    <xf numFmtId="49" fontId="15" fillId="0" borderId="9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89" fontId="18" fillId="0" borderId="2" xfId="1" applyNumberFormat="1" applyFont="1" applyBorder="1" applyAlignment="1">
      <alignment horizontal="right"/>
    </xf>
    <xf numFmtId="0" fontId="19" fillId="0" borderId="24" xfId="0" applyFont="1" applyBorder="1"/>
    <xf numFmtId="0" fontId="16" fillId="0" borderId="8" xfId="0" applyFont="1" applyBorder="1" applyAlignment="1">
      <alignment horizontal="center"/>
    </xf>
    <xf numFmtId="0" fontId="19" fillId="0" borderId="16" xfId="0" applyFont="1" applyBorder="1"/>
    <xf numFmtId="189" fontId="15" fillId="2" borderId="10" xfId="0" applyNumberFormat="1" applyFont="1" applyFill="1" applyBorder="1"/>
    <xf numFmtId="0" fontId="19" fillId="0" borderId="14" xfId="0" applyFont="1" applyBorder="1" applyAlignment="1">
      <alignment horizontal="center" vertical="center"/>
    </xf>
    <xf numFmtId="49" fontId="19" fillId="0" borderId="14" xfId="0" applyNumberFormat="1" applyFont="1" applyBorder="1"/>
    <xf numFmtId="187" fontId="19" fillId="0" borderId="14" xfId="1" applyNumberFormat="1" applyFont="1" applyBorder="1" applyAlignment="1">
      <alignment horizontal="right"/>
    </xf>
    <xf numFmtId="0" fontId="20" fillId="0" borderId="14" xfId="0" applyFont="1" applyBorder="1"/>
    <xf numFmtId="187" fontId="16" fillId="2" borderId="10" xfId="1" applyNumberFormat="1" applyFont="1" applyFill="1" applyBorder="1" applyAlignment="1">
      <alignment horizontal="right"/>
    </xf>
    <xf numFmtId="187" fontId="18" fillId="0" borderId="2" xfId="1" applyNumberFormat="1" applyFont="1" applyBorder="1" applyAlignment="1">
      <alignment horizontal="left" vertical="top"/>
    </xf>
    <xf numFmtId="49" fontId="18" fillId="0" borderId="14" xfId="0" applyNumberFormat="1" applyFont="1" applyBorder="1" applyAlignment="1">
      <alignment horizontal="left" vertical="top"/>
    </xf>
    <xf numFmtId="187" fontId="18" fillId="0" borderId="14" xfId="1" applyNumberFormat="1" applyFont="1" applyBorder="1" applyAlignment="1">
      <alignment horizontal="left" vertical="top"/>
    </xf>
    <xf numFmtId="0" fontId="15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18" fillId="0" borderId="42" xfId="0" applyFont="1" applyBorder="1"/>
    <xf numFmtId="0" fontId="19" fillId="0" borderId="2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center" vertical="top"/>
    </xf>
    <xf numFmtId="43" fontId="33" fillId="2" borderId="10" xfId="1" applyFont="1" applyFill="1" applyBorder="1"/>
    <xf numFmtId="43" fontId="5" fillId="0" borderId="0" xfId="1" applyFont="1"/>
    <xf numFmtId="43" fontId="22" fillId="3" borderId="2" xfId="1" applyFont="1" applyFill="1" applyBorder="1" applyAlignment="1">
      <alignment horizontal="center" vertical="center"/>
    </xf>
    <xf numFmtId="43" fontId="22" fillId="3" borderId="8" xfId="1" applyFont="1" applyFill="1" applyBorder="1" applyAlignment="1">
      <alignment horizontal="center" vertical="center"/>
    </xf>
    <xf numFmtId="43" fontId="22" fillId="3" borderId="29" xfId="1" applyFont="1" applyFill="1" applyBorder="1" applyAlignment="1">
      <alignment horizontal="center" vertical="center"/>
    </xf>
    <xf numFmtId="43" fontId="22" fillId="3" borderId="27" xfId="1" applyFont="1" applyFill="1" applyBorder="1" applyAlignment="1">
      <alignment horizontal="center" vertical="center"/>
    </xf>
    <xf numFmtId="43" fontId="22" fillId="3" borderId="29" xfId="1" applyFont="1" applyFill="1" applyBorder="1" applyAlignment="1">
      <alignment horizontal="right" vertical="center"/>
    </xf>
    <xf numFmtId="43" fontId="22" fillId="3" borderId="6" xfId="1" applyFont="1" applyFill="1" applyBorder="1" applyAlignment="1">
      <alignment horizontal="center" vertical="center"/>
    </xf>
    <xf numFmtId="43" fontId="22" fillId="3" borderId="2" xfId="1" applyFont="1" applyFill="1" applyBorder="1" applyAlignment="1">
      <alignment horizontal="right" vertical="center"/>
    </xf>
    <xf numFmtId="43" fontId="24" fillId="2" borderId="10" xfId="1" applyFont="1" applyFill="1" applyBorder="1"/>
    <xf numFmtId="0" fontId="18" fillId="0" borderId="31" xfId="0" applyFont="1" applyBorder="1"/>
    <xf numFmtId="0" fontId="19" fillId="0" borderId="33" xfId="0" applyFont="1" applyBorder="1" applyAlignment="1">
      <alignment horizontal="center"/>
    </xf>
    <xf numFmtId="187" fontId="15" fillId="2" borderId="10" xfId="0" applyNumberFormat="1" applyFont="1" applyFill="1" applyBorder="1"/>
    <xf numFmtId="0" fontId="19" fillId="0" borderId="31" xfId="0" applyFont="1" applyBorder="1" applyAlignment="1">
      <alignment horizontal="left"/>
    </xf>
    <xf numFmtId="0" fontId="47" fillId="0" borderId="0" xfId="0" applyFont="1"/>
    <xf numFmtId="0" fontId="47" fillId="0" borderId="0" xfId="0" applyFont="1" applyAlignment="1">
      <alignment horizontal="center"/>
    </xf>
    <xf numFmtId="0" fontId="47" fillId="0" borderId="14" xfId="0" applyFont="1" applyBorder="1"/>
    <xf numFmtId="3" fontId="44" fillId="0" borderId="0" xfId="0" applyNumberFormat="1" applyFont="1" applyAlignment="1">
      <alignment horizontal="left"/>
    </xf>
    <xf numFmtId="187" fontId="44" fillId="0" borderId="0" xfId="0" applyNumberFormat="1" applyFont="1" applyAlignment="1">
      <alignment horizontal="center"/>
    </xf>
    <xf numFmtId="187" fontId="16" fillId="2" borderId="33" xfId="1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33" xfId="0" applyFont="1" applyBorder="1"/>
    <xf numFmtId="3" fontId="44" fillId="0" borderId="0" xfId="0" applyNumberFormat="1" applyFont="1" applyAlignment="1">
      <alignment horizontal="center"/>
    </xf>
    <xf numFmtId="187" fontId="18" fillId="0" borderId="0" xfId="0" applyNumberFormat="1" applyFont="1"/>
    <xf numFmtId="3" fontId="18" fillId="0" borderId="0" xfId="0" applyNumberFormat="1" applyFont="1"/>
    <xf numFmtId="43" fontId="19" fillId="0" borderId="0" xfId="0" applyNumberFormat="1" applyFont="1"/>
    <xf numFmtId="43" fontId="44" fillId="0" borderId="0" xfId="0" applyNumberFormat="1" applyFont="1"/>
    <xf numFmtId="43" fontId="18" fillId="0" borderId="0" xfId="0" applyNumberFormat="1" applyFont="1"/>
    <xf numFmtId="43" fontId="16" fillId="2" borderId="10" xfId="1" applyFont="1" applyFill="1" applyBorder="1" applyAlignment="1">
      <alignment horizontal="right"/>
    </xf>
    <xf numFmtId="0" fontId="19" fillId="0" borderId="12" xfId="0" applyFont="1" applyBorder="1"/>
    <xf numFmtId="0" fontId="19" fillId="0" borderId="11" xfId="0" applyFont="1" applyBorder="1" applyAlignment="1">
      <alignment horizontal="left"/>
    </xf>
    <xf numFmtId="0" fontId="19" fillId="0" borderId="27" xfId="0" applyFont="1" applyBorder="1" applyAlignment="1">
      <alignment horizontal="center"/>
    </xf>
    <xf numFmtId="43" fontId="19" fillId="0" borderId="27" xfId="1" applyFont="1" applyBorder="1"/>
    <xf numFmtId="0" fontId="19" fillId="0" borderId="27" xfId="0" applyFont="1" applyBorder="1" applyAlignment="1">
      <alignment horizontal="left"/>
    </xf>
    <xf numFmtId="0" fontId="19" fillId="0" borderId="18" xfId="0" applyFont="1" applyBorder="1"/>
    <xf numFmtId="43" fontId="19" fillId="0" borderId="4" xfId="1" applyFont="1" applyBorder="1"/>
    <xf numFmtId="0" fontId="19" fillId="0" borderId="30" xfId="0" applyFont="1" applyBorder="1"/>
    <xf numFmtId="43" fontId="19" fillId="0" borderId="30" xfId="1" applyFont="1" applyBorder="1"/>
    <xf numFmtId="0" fontId="18" fillId="0" borderId="3" xfId="0" applyFont="1" applyBorder="1" applyAlignment="1">
      <alignment horizontal="left"/>
    </xf>
    <xf numFmtId="0" fontId="19" fillId="0" borderId="29" xfId="0" applyFont="1" applyBorder="1" applyAlignment="1">
      <alignment horizontal="center"/>
    </xf>
    <xf numFmtId="49" fontId="18" fillId="0" borderId="29" xfId="0" applyNumberFormat="1" applyFont="1" applyBorder="1" applyAlignment="1">
      <alignment horizontal="center"/>
    </xf>
    <xf numFmtId="43" fontId="19" fillId="0" borderId="29" xfId="1" applyFont="1" applyBorder="1"/>
    <xf numFmtId="0" fontId="19" fillId="0" borderId="24" xfId="0" applyFont="1" applyBorder="1" applyAlignment="1">
      <alignment horizontal="center"/>
    </xf>
    <xf numFmtId="0" fontId="18" fillId="0" borderId="24" xfId="0" applyFont="1" applyBorder="1" applyAlignment="1">
      <alignment horizontal="left"/>
    </xf>
    <xf numFmtId="0" fontId="15" fillId="0" borderId="19" xfId="0" applyFont="1" applyBorder="1"/>
    <xf numFmtId="0" fontId="19" fillId="0" borderId="18" xfId="0" applyFont="1" applyBorder="1" applyAlignment="1">
      <alignment horizontal="left"/>
    </xf>
    <xf numFmtId="0" fontId="19" fillId="0" borderId="32" xfId="0" applyFont="1" applyBorder="1" applyAlignment="1">
      <alignment horizontal="left"/>
    </xf>
    <xf numFmtId="0" fontId="24" fillId="3" borderId="34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/>
    </xf>
    <xf numFmtId="43" fontId="24" fillId="3" borderId="22" xfId="1" applyFont="1" applyFill="1" applyBorder="1" applyAlignment="1">
      <alignment horizontal="center" vertical="center"/>
    </xf>
    <xf numFmtId="0" fontId="22" fillId="3" borderId="22" xfId="0" applyFont="1" applyFill="1" applyBorder="1" applyAlignment="1">
      <alignment horizontal="center" vertical="center"/>
    </xf>
    <xf numFmtId="0" fontId="22" fillId="3" borderId="22" xfId="0" applyFont="1" applyFill="1" applyBorder="1"/>
    <xf numFmtId="0" fontId="22" fillId="3" borderId="2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3" fillId="3" borderId="9" xfId="0" applyFont="1" applyFill="1" applyBorder="1"/>
    <xf numFmtId="0" fontId="23" fillId="3" borderId="9" xfId="0" applyFont="1" applyFill="1" applyBorder="1" applyAlignment="1">
      <alignment horizontal="center"/>
    </xf>
    <xf numFmtId="49" fontId="23" fillId="3" borderId="9" xfId="0" applyNumberFormat="1" applyFont="1" applyFill="1" applyBorder="1" applyAlignment="1">
      <alignment horizontal="center"/>
    </xf>
    <xf numFmtId="43" fontId="23" fillId="3" borderId="9" xfId="1" applyFont="1" applyFill="1" applyBorder="1" applyAlignment="1">
      <alignment horizontal="right"/>
    </xf>
    <xf numFmtId="0" fontId="23" fillId="3" borderId="9" xfId="0" applyFont="1" applyFill="1" applyBorder="1" applyAlignment="1">
      <alignment horizontal="left"/>
    </xf>
    <xf numFmtId="0" fontId="25" fillId="3" borderId="9" xfId="0" applyFont="1" applyFill="1" applyBorder="1" applyAlignment="1">
      <alignment horizontal="center"/>
    </xf>
    <xf numFmtId="0" fontId="22" fillId="3" borderId="9" xfId="0" applyFont="1" applyFill="1" applyBorder="1"/>
    <xf numFmtId="0" fontId="49" fillId="3" borderId="9" xfId="0" applyFont="1" applyFill="1" applyBorder="1" applyAlignment="1">
      <alignment horizontal="center"/>
    </xf>
    <xf numFmtId="0" fontId="22" fillId="3" borderId="14" xfId="0" applyFont="1" applyFill="1" applyBorder="1" applyAlignment="1">
      <alignment horizontal="center" vertical="center"/>
    </xf>
    <xf numFmtId="0" fontId="23" fillId="3" borderId="14" xfId="0" applyFont="1" applyFill="1" applyBorder="1"/>
    <xf numFmtId="0" fontId="23" fillId="3" borderId="14" xfId="0" applyFont="1" applyFill="1" applyBorder="1" applyAlignment="1">
      <alignment horizontal="center"/>
    </xf>
    <xf numFmtId="49" fontId="23" fillId="3" borderId="14" xfId="0" applyNumberFormat="1" applyFont="1" applyFill="1" applyBorder="1" applyAlignment="1">
      <alignment horizontal="center"/>
    </xf>
    <xf numFmtId="43" fontId="23" fillId="3" borderId="14" xfId="1" applyFont="1" applyFill="1" applyBorder="1" applyAlignment="1">
      <alignment horizontal="right"/>
    </xf>
    <xf numFmtId="0" fontId="23" fillId="3" borderId="14" xfId="0" applyFont="1" applyFill="1" applyBorder="1" applyAlignment="1">
      <alignment horizontal="left"/>
    </xf>
    <xf numFmtId="0" fontId="25" fillId="3" borderId="14" xfId="0" applyFont="1" applyFill="1" applyBorder="1" applyAlignment="1">
      <alignment horizontal="center"/>
    </xf>
    <xf numFmtId="0" fontId="22" fillId="3" borderId="14" xfId="0" applyFont="1" applyFill="1" applyBorder="1"/>
    <xf numFmtId="0" fontId="49" fillId="3" borderId="14" xfId="0" applyFont="1" applyFill="1" applyBorder="1" applyAlignment="1">
      <alignment horizontal="center"/>
    </xf>
    <xf numFmtId="0" fontId="24" fillId="3" borderId="35" xfId="0" applyFont="1" applyFill="1" applyBorder="1" applyAlignment="1">
      <alignment horizontal="center" vertical="center"/>
    </xf>
    <xf numFmtId="0" fontId="23" fillId="3" borderId="23" xfId="0" applyFont="1" applyFill="1" applyBorder="1"/>
    <xf numFmtId="0" fontId="23" fillId="3" borderId="42" xfId="0" applyFont="1" applyFill="1" applyBorder="1" applyAlignment="1">
      <alignment horizontal="center" vertical="center"/>
    </xf>
    <xf numFmtId="187" fontId="26" fillId="3" borderId="43" xfId="1" applyNumberFormat="1" applyFont="1" applyFill="1" applyBorder="1" applyAlignment="1">
      <alignment horizontal="center" vertical="center"/>
    </xf>
    <xf numFmtId="43" fontId="26" fillId="3" borderId="20" xfId="1" applyFont="1" applyFill="1" applyBorder="1" applyAlignment="1">
      <alignment vertical="center"/>
    </xf>
    <xf numFmtId="187" fontId="28" fillId="3" borderId="35" xfId="1" applyNumberFormat="1" applyFont="1" applyFill="1" applyBorder="1" applyAlignment="1">
      <alignment horizontal="left" vertical="center"/>
    </xf>
    <xf numFmtId="0" fontId="22" fillId="3" borderId="23" xfId="0" applyFont="1" applyFill="1" applyBorder="1"/>
    <xf numFmtId="0" fontId="22" fillId="3" borderId="42" xfId="0" applyFont="1" applyFill="1" applyBorder="1"/>
    <xf numFmtId="0" fontId="19" fillId="0" borderId="17" xfId="0" applyFont="1" applyBorder="1" applyAlignment="1">
      <alignment horizontal="left"/>
    </xf>
    <xf numFmtId="0" fontId="19" fillId="0" borderId="17" xfId="0" applyFont="1" applyBorder="1"/>
    <xf numFmtId="0" fontId="18" fillId="3" borderId="2" xfId="0" applyFont="1" applyFill="1" applyBorder="1" applyAlignment="1">
      <alignment horizontal="center"/>
    </xf>
    <xf numFmtId="0" fontId="18" fillId="3" borderId="2" xfId="0" applyFont="1" applyFill="1" applyBorder="1"/>
    <xf numFmtId="49" fontId="18" fillId="3" borderId="8" xfId="0" applyNumberFormat="1" applyFont="1" applyFill="1" applyBorder="1" applyAlignment="1">
      <alignment horizontal="center"/>
    </xf>
    <xf numFmtId="43" fontId="18" fillId="3" borderId="8" xfId="1" applyFont="1" applyFill="1" applyBorder="1" applyAlignment="1">
      <alignment horizontal="right"/>
    </xf>
    <xf numFmtId="0" fontId="18" fillId="3" borderId="2" xfId="0" applyFont="1" applyFill="1" applyBorder="1" applyAlignment="1">
      <alignment horizontal="left"/>
    </xf>
    <xf numFmtId="0" fontId="43" fillId="3" borderId="2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 vertical="center"/>
    </xf>
    <xf numFmtId="0" fontId="19" fillId="3" borderId="2" xfId="0" applyFont="1" applyFill="1" applyBorder="1"/>
    <xf numFmtId="0" fontId="19" fillId="3" borderId="2" xfId="0" applyFont="1" applyFill="1" applyBorder="1" applyAlignment="1">
      <alignment horizontal="center"/>
    </xf>
    <xf numFmtId="49" fontId="19" fillId="3" borderId="2" xfId="0" applyNumberFormat="1" applyFont="1" applyFill="1" applyBorder="1" applyAlignment="1">
      <alignment horizontal="center"/>
    </xf>
    <xf numFmtId="43" fontId="19" fillId="3" borderId="2" xfId="1" applyFont="1" applyFill="1" applyBorder="1" applyAlignment="1">
      <alignment horizontal="right"/>
    </xf>
    <xf numFmtId="0" fontId="19" fillId="3" borderId="2" xfId="0" applyFont="1" applyFill="1" applyBorder="1" applyAlignment="1">
      <alignment horizontal="center" vertical="center"/>
    </xf>
    <xf numFmtId="0" fontId="18" fillId="3" borderId="6" xfId="0" applyFont="1" applyFill="1" applyBorder="1"/>
    <xf numFmtId="0" fontId="18" fillId="3" borderId="6" xfId="0" applyFont="1" applyFill="1" applyBorder="1" applyAlignment="1">
      <alignment horizontal="center"/>
    </xf>
    <xf numFmtId="49" fontId="18" fillId="3" borderId="6" xfId="0" applyNumberFormat="1" applyFont="1" applyFill="1" applyBorder="1" applyAlignment="1">
      <alignment horizontal="center"/>
    </xf>
    <xf numFmtId="43" fontId="18" fillId="3" borderId="6" xfId="1" applyFont="1" applyFill="1" applyBorder="1" applyAlignment="1">
      <alignment horizontal="right"/>
    </xf>
    <xf numFmtId="0" fontId="43" fillId="3" borderId="6" xfId="0" applyFont="1" applyFill="1" applyBorder="1" applyAlignment="1">
      <alignment horizontal="center"/>
    </xf>
    <xf numFmtId="187" fontId="18" fillId="3" borderId="2" xfId="1" applyNumberFormat="1" applyFont="1" applyFill="1" applyBorder="1" applyAlignment="1">
      <alignment horizontal="right"/>
    </xf>
    <xf numFmtId="43" fontId="18" fillId="3" borderId="2" xfId="1" applyFont="1" applyFill="1" applyBorder="1" applyAlignment="1">
      <alignment horizontal="center"/>
    </xf>
    <xf numFmtId="0" fontId="43" fillId="3" borderId="2" xfId="0" applyFont="1" applyFill="1" applyBorder="1" applyAlignment="1">
      <alignment horizontal="left"/>
    </xf>
    <xf numFmtId="0" fontId="43" fillId="0" borderId="2" xfId="0" applyFont="1" applyBorder="1" applyAlignment="1">
      <alignment horizontal="left"/>
    </xf>
    <xf numFmtId="0" fontId="19" fillId="3" borderId="14" xfId="0" applyFont="1" applyFill="1" applyBorder="1" applyAlignment="1">
      <alignment horizontal="center" vertical="center"/>
    </xf>
    <xf numFmtId="0" fontId="18" fillId="3" borderId="14" xfId="0" applyFont="1" applyFill="1" applyBorder="1"/>
    <xf numFmtId="0" fontId="19" fillId="3" borderId="14" xfId="0" applyFont="1" applyFill="1" applyBorder="1" applyAlignment="1">
      <alignment horizontal="center"/>
    </xf>
    <xf numFmtId="49" fontId="19" fillId="3" borderId="14" xfId="0" applyNumberFormat="1" applyFont="1" applyFill="1" applyBorder="1" applyAlignment="1">
      <alignment horizontal="center"/>
    </xf>
    <xf numFmtId="43" fontId="19" fillId="3" borderId="14" xfId="1" applyFont="1" applyFill="1" applyBorder="1" applyAlignment="1">
      <alignment horizontal="right"/>
    </xf>
    <xf numFmtId="0" fontId="43" fillId="3" borderId="14" xfId="0" applyFont="1" applyFill="1" applyBorder="1" applyAlignment="1">
      <alignment horizontal="center"/>
    </xf>
    <xf numFmtId="187" fontId="15" fillId="3" borderId="0" xfId="0" applyNumberFormat="1" applyFont="1" applyFill="1"/>
    <xf numFmtId="49" fontId="19" fillId="0" borderId="9" xfId="0" applyNumberFormat="1" applyFont="1" applyBorder="1" applyAlignment="1">
      <alignment horizontal="center"/>
    </xf>
    <xf numFmtId="187" fontId="19" fillId="0" borderId="9" xfId="1" applyNumberFormat="1" applyFont="1" applyBorder="1" applyAlignment="1">
      <alignment horizontal="right"/>
    </xf>
    <xf numFmtId="0" fontId="43" fillId="0" borderId="9" xfId="0" applyFont="1" applyBorder="1" applyAlignment="1">
      <alignment horizontal="center"/>
    </xf>
    <xf numFmtId="43" fontId="19" fillId="0" borderId="6" xfId="1" applyFont="1" applyBorder="1" applyAlignment="1">
      <alignment horizontal="right"/>
    </xf>
    <xf numFmtId="0" fontId="19" fillId="0" borderId="13" xfId="0" applyFont="1" applyBorder="1" applyAlignment="1">
      <alignment horizontal="center" vertical="center"/>
    </xf>
    <xf numFmtId="43" fontId="19" fillId="0" borderId="14" xfId="1" applyFont="1" applyBorder="1" applyAlignment="1">
      <alignment horizontal="right"/>
    </xf>
    <xf numFmtId="0" fontId="18" fillId="0" borderId="13" xfId="0" applyFont="1" applyBorder="1" applyAlignment="1">
      <alignment horizontal="left"/>
    </xf>
    <xf numFmtId="0" fontId="44" fillId="0" borderId="13" xfId="0" applyFont="1" applyBorder="1"/>
    <xf numFmtId="0" fontId="19" fillId="0" borderId="36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187" fontId="44" fillId="0" borderId="3" xfId="0" applyNumberFormat="1" applyFont="1" applyBorder="1" applyAlignment="1">
      <alignment horizontal="left"/>
    </xf>
    <xf numFmtId="0" fontId="18" fillId="0" borderId="16" xfId="0" applyFont="1" applyBorder="1" applyAlignment="1">
      <alignment horizontal="center"/>
    </xf>
    <xf numFmtId="0" fontId="19" fillId="0" borderId="25" xfId="0" applyFont="1" applyBorder="1"/>
    <xf numFmtId="43" fontId="19" fillId="0" borderId="25" xfId="1" applyFont="1" applyBorder="1"/>
    <xf numFmtId="0" fontId="19" fillId="0" borderId="25" xfId="0" applyFont="1" applyBorder="1" applyAlignment="1">
      <alignment horizontal="left"/>
    </xf>
    <xf numFmtId="0" fontId="15" fillId="0" borderId="32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/>
    </xf>
    <xf numFmtId="43" fontId="15" fillId="0" borderId="10" xfId="1" applyFont="1" applyBorder="1"/>
    <xf numFmtId="0" fontId="15" fillId="3" borderId="22" xfId="0" applyFont="1" applyFill="1" applyBorder="1" applyAlignment="1">
      <alignment horizontal="left" vertical="center"/>
    </xf>
    <xf numFmtId="43" fontId="18" fillId="0" borderId="0" xfId="1" applyFont="1"/>
    <xf numFmtId="43" fontId="19" fillId="6" borderId="0" xfId="1" applyFont="1" applyFill="1"/>
    <xf numFmtId="43" fontId="13" fillId="3" borderId="0" xfId="1" applyFont="1" applyFill="1"/>
    <xf numFmtId="43" fontId="44" fillId="0" borderId="0" xfId="1" applyFont="1"/>
    <xf numFmtId="43" fontId="44" fillId="0" borderId="30" xfId="1" applyFont="1" applyBorder="1"/>
    <xf numFmtId="43" fontId="19" fillId="6" borderId="0" xfId="1" applyFont="1" applyFill="1" applyBorder="1"/>
    <xf numFmtId="43" fontId="13" fillId="6" borderId="0" xfId="1" applyFont="1" applyFill="1"/>
    <xf numFmtId="187" fontId="46" fillId="7" borderId="0" xfId="0" applyNumberFormat="1" applyFont="1" applyFill="1"/>
    <xf numFmtId="187" fontId="46" fillId="8" borderId="0" xfId="0" applyNumberFormat="1" applyFont="1" applyFill="1"/>
    <xf numFmtId="43" fontId="46" fillId="8" borderId="0" xfId="0" applyNumberFormat="1" applyFont="1" applyFill="1"/>
    <xf numFmtId="0" fontId="19" fillId="0" borderId="5" xfId="0" applyFont="1" applyBorder="1" applyAlignment="1">
      <alignment horizontal="center" vertical="top" wrapText="1"/>
    </xf>
    <xf numFmtId="0" fontId="19" fillId="0" borderId="26" xfId="0" applyFont="1" applyBorder="1" applyAlignment="1">
      <alignment horizontal="center" vertical="top" wrapText="1"/>
    </xf>
    <xf numFmtId="0" fontId="19" fillId="0" borderId="7" xfId="0" applyFont="1" applyBorder="1" applyAlignment="1">
      <alignment horizontal="center" vertical="top" wrapText="1"/>
    </xf>
    <xf numFmtId="0" fontId="19" fillId="0" borderId="23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/>
    </xf>
    <xf numFmtId="49" fontId="19" fillId="0" borderId="2" xfId="0" applyNumberFormat="1" applyFont="1" applyBorder="1" applyAlignment="1">
      <alignment wrapText="1"/>
    </xf>
    <xf numFmtId="49" fontId="19" fillId="3" borderId="2" xfId="0" applyNumberFormat="1" applyFont="1" applyFill="1" applyBorder="1"/>
    <xf numFmtId="187" fontId="18" fillId="3" borderId="19" xfId="1" applyNumberFormat="1" applyFont="1" applyFill="1" applyBorder="1" applyAlignment="1"/>
    <xf numFmtId="187" fontId="18" fillId="3" borderId="2" xfId="1" applyNumberFormat="1" applyFont="1" applyFill="1" applyBorder="1"/>
    <xf numFmtId="0" fontId="46" fillId="3" borderId="0" xfId="0" applyFont="1" applyFill="1"/>
    <xf numFmtId="0" fontId="44" fillId="3" borderId="0" xfId="0" applyFont="1" applyFill="1" applyAlignment="1">
      <alignment horizontal="center"/>
    </xf>
    <xf numFmtId="0" fontId="18" fillId="3" borderId="0" xfId="0" applyFont="1" applyFill="1"/>
    <xf numFmtId="49" fontId="18" fillId="3" borderId="2" xfId="0" applyNumberFormat="1" applyFont="1" applyFill="1" applyBorder="1" applyAlignment="1">
      <alignment horizontal="center"/>
    </xf>
    <xf numFmtId="0" fontId="19" fillId="3" borderId="0" xfId="0" applyFont="1" applyFill="1"/>
    <xf numFmtId="187" fontId="18" fillId="0" borderId="2" xfId="1" applyNumberFormat="1" applyFont="1" applyBorder="1" applyAlignment="1">
      <alignment vertical="top"/>
    </xf>
    <xf numFmtId="0" fontId="46" fillId="0" borderId="0" xfId="0" applyFont="1" applyAlignment="1">
      <alignment vertical="top"/>
    </xf>
    <xf numFmtId="0" fontId="44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49" fontId="18" fillId="3" borderId="2" xfId="0" applyNumberFormat="1" applyFont="1" applyFill="1" applyBorder="1"/>
    <xf numFmtId="187" fontId="19" fillId="3" borderId="2" xfId="1" applyNumberFormat="1" applyFont="1" applyFill="1" applyBorder="1" applyAlignment="1">
      <alignment horizontal="right"/>
    </xf>
    <xf numFmtId="0" fontId="18" fillId="3" borderId="2" xfId="0" applyFont="1" applyFill="1" applyBorder="1" applyAlignment="1">
      <alignment horizontal="left" wrapText="1"/>
    </xf>
    <xf numFmtId="187" fontId="46" fillId="3" borderId="0" xfId="0" applyNumberFormat="1" applyFont="1" applyFill="1"/>
    <xf numFmtId="49" fontId="18" fillId="3" borderId="6" xfId="0" applyNumberFormat="1" applyFont="1" applyFill="1" applyBorder="1"/>
    <xf numFmtId="187" fontId="18" fillId="3" borderId="6" xfId="1" applyNumberFormat="1" applyFont="1" applyFill="1" applyBorder="1" applyAlignment="1">
      <alignment horizontal="right"/>
    </xf>
    <xf numFmtId="0" fontId="18" fillId="3" borderId="6" xfId="0" applyFont="1" applyFill="1" applyBorder="1" applyAlignment="1">
      <alignment horizontal="left"/>
    </xf>
    <xf numFmtId="0" fontId="43" fillId="3" borderId="19" xfId="0" applyFont="1" applyFill="1" applyBorder="1" applyAlignment="1">
      <alignment horizontal="center"/>
    </xf>
    <xf numFmtId="43" fontId="18" fillId="3" borderId="2" xfId="1" applyFont="1" applyFill="1" applyBorder="1" applyAlignment="1">
      <alignment horizontal="right"/>
    </xf>
    <xf numFmtId="43" fontId="18" fillId="3" borderId="0" xfId="0" applyNumberFormat="1" applyFont="1" applyFill="1"/>
    <xf numFmtId="0" fontId="19" fillId="3" borderId="0" xfId="0" applyFont="1" applyFill="1" applyAlignment="1">
      <alignment horizontal="left"/>
    </xf>
    <xf numFmtId="43" fontId="19" fillId="3" borderId="0" xfId="1" applyFont="1" applyFill="1"/>
    <xf numFmtId="187" fontId="44" fillId="3" borderId="0" xfId="0" applyNumberFormat="1" applyFont="1" applyFill="1"/>
    <xf numFmtId="187" fontId="19" fillId="3" borderId="2" xfId="1" applyNumberFormat="1" applyFont="1" applyFill="1" applyBorder="1" applyAlignment="1">
      <alignment vertical="top"/>
    </xf>
    <xf numFmtId="0" fontId="41" fillId="3" borderId="8" xfId="0" applyFont="1" applyFill="1" applyBorder="1" applyAlignment="1">
      <alignment horizontal="center" vertical="top"/>
    </xf>
    <xf numFmtId="0" fontId="19" fillId="3" borderId="0" xfId="0" applyFont="1" applyFill="1" applyAlignment="1">
      <alignment vertical="top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187" fontId="2" fillId="0" borderId="6" xfId="1" applyNumberFormat="1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51" fillId="0" borderId="0" xfId="0" applyFont="1"/>
    <xf numFmtId="0" fontId="18" fillId="0" borderId="25" xfId="0" applyFont="1" applyBorder="1"/>
    <xf numFmtId="0" fontId="19" fillId="0" borderId="25" xfId="0" applyFont="1" applyBorder="1" applyAlignment="1">
      <alignment horizontal="center"/>
    </xf>
    <xf numFmtId="0" fontId="19" fillId="0" borderId="25" xfId="0" applyFont="1" applyBorder="1" applyAlignment="1">
      <alignment horizontal="left" wrapText="1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vertical="top" wrapText="1"/>
    </xf>
    <xf numFmtId="49" fontId="2" fillId="0" borderId="6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/>
    </xf>
    <xf numFmtId="0" fontId="50" fillId="0" borderId="6" xfId="0" applyFont="1" applyBorder="1" applyAlignment="1">
      <alignment horizontal="center" vertical="top"/>
    </xf>
    <xf numFmtId="0" fontId="2" fillId="0" borderId="25" xfId="0" applyFont="1" applyBorder="1" applyAlignment="1">
      <alignment horizontal="center" vertical="center"/>
    </xf>
    <xf numFmtId="0" fontId="1" fillId="0" borderId="25" xfId="0" applyFont="1" applyBorder="1"/>
    <xf numFmtId="0" fontId="2" fillId="0" borderId="25" xfId="0" applyFont="1" applyBorder="1" applyAlignment="1">
      <alignment horizontal="center"/>
    </xf>
    <xf numFmtId="187" fontId="2" fillId="0" borderId="25" xfId="1" applyNumberFormat="1" applyFont="1" applyBorder="1"/>
    <xf numFmtId="0" fontId="2" fillId="0" borderId="25" xfId="0" applyFont="1" applyBorder="1"/>
    <xf numFmtId="49" fontId="2" fillId="0" borderId="6" xfId="0" applyNumberFormat="1" applyFont="1" applyBorder="1" applyAlignment="1">
      <alignment horizontal="center"/>
    </xf>
    <xf numFmtId="187" fontId="2" fillId="0" borderId="6" xfId="1" applyNumberFormat="1" applyFont="1" applyBorder="1" applyAlignment="1">
      <alignment horizontal="right"/>
    </xf>
    <xf numFmtId="0" fontId="2" fillId="0" borderId="6" xfId="0" applyFont="1" applyBorder="1" applyAlignment="1">
      <alignment horizontal="left" wrapText="1"/>
    </xf>
    <xf numFmtId="0" fontId="50" fillId="0" borderId="2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87" fontId="2" fillId="0" borderId="2" xfId="1" applyNumberFormat="1" applyFont="1" applyBorder="1" applyAlignment="1">
      <alignment horizontal="right"/>
    </xf>
    <xf numFmtId="0" fontId="2" fillId="0" borderId="2" xfId="0" applyFont="1" applyBorder="1" applyAlignment="1">
      <alignment horizontal="left" wrapText="1"/>
    </xf>
    <xf numFmtId="0" fontId="50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50" fillId="0" borderId="2" xfId="0" applyFont="1" applyBorder="1" applyAlignment="1">
      <alignment horizontal="center"/>
    </xf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187" fontId="2" fillId="0" borderId="19" xfId="1" applyNumberFormat="1" applyFont="1" applyBorder="1" applyAlignment="1">
      <alignment horizontal="right"/>
    </xf>
    <xf numFmtId="0" fontId="2" fillId="0" borderId="19" xfId="0" applyFont="1" applyBorder="1" applyAlignment="1">
      <alignment horizontal="left" wrapText="1"/>
    </xf>
    <xf numFmtId="0" fontId="50" fillId="0" borderId="30" xfId="0" applyFont="1" applyBorder="1" applyAlignment="1">
      <alignment horizontal="center"/>
    </xf>
    <xf numFmtId="0" fontId="5" fillId="0" borderId="19" xfId="0" applyFont="1" applyBorder="1"/>
    <xf numFmtId="0" fontId="2" fillId="0" borderId="19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187" fontId="2" fillId="0" borderId="8" xfId="1" applyNumberFormat="1" applyFont="1" applyBorder="1" applyAlignment="1">
      <alignment horizontal="right"/>
    </xf>
    <xf numFmtId="0" fontId="15" fillId="0" borderId="0" xfId="0" applyFont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/>
    </xf>
    <xf numFmtId="49" fontId="19" fillId="0" borderId="19" xfId="0" applyNumberFormat="1" applyFont="1" applyBorder="1" applyAlignment="1">
      <alignment horizontal="center"/>
    </xf>
    <xf numFmtId="0" fontId="18" fillId="3" borderId="2" xfId="0" applyFont="1" applyFill="1" applyBorder="1" applyAlignment="1">
      <alignment horizontal="center" vertical="top"/>
    </xf>
    <xf numFmtId="43" fontId="16" fillId="5" borderId="10" xfId="1" applyFont="1" applyFill="1" applyBorder="1" applyAlignment="1">
      <alignment horizontal="center"/>
    </xf>
    <xf numFmtId="49" fontId="19" fillId="0" borderId="9" xfId="0" applyNumberFormat="1" applyFont="1" applyBorder="1"/>
    <xf numFmtId="0" fontId="19" fillId="0" borderId="12" xfId="0" applyFont="1" applyBorder="1" applyAlignment="1">
      <alignment horizontal="center"/>
    </xf>
    <xf numFmtId="43" fontId="19" fillId="0" borderId="9" xfId="1" applyFont="1" applyBorder="1" applyAlignment="1">
      <alignment horizontal="right"/>
    </xf>
    <xf numFmtId="0" fontId="41" fillId="0" borderId="11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44" fillId="0" borderId="8" xfId="0" applyFont="1" applyBorder="1"/>
    <xf numFmtId="0" fontId="44" fillId="0" borderId="8" xfId="0" applyFont="1" applyBorder="1" applyAlignment="1">
      <alignment horizontal="left"/>
    </xf>
    <xf numFmtId="187" fontId="18" fillId="3" borderId="2" xfId="1" applyNumberFormat="1" applyFont="1" applyFill="1" applyBorder="1" applyAlignment="1"/>
    <xf numFmtId="0" fontId="43" fillId="3" borderId="8" xfId="0" applyFont="1" applyFill="1" applyBorder="1" applyAlignment="1">
      <alignment horizontal="center"/>
    </xf>
    <xf numFmtId="187" fontId="18" fillId="3" borderId="2" xfId="1" applyNumberFormat="1" applyFont="1" applyFill="1" applyBorder="1" applyAlignment="1">
      <alignment vertical="top"/>
    </xf>
    <xf numFmtId="0" fontId="18" fillId="3" borderId="2" xfId="0" applyFont="1" applyFill="1" applyBorder="1" applyAlignment="1">
      <alignment vertical="top"/>
    </xf>
    <xf numFmtId="0" fontId="18" fillId="3" borderId="2" xfId="0" applyFont="1" applyFill="1" applyBorder="1" applyAlignment="1">
      <alignment horizontal="left" vertical="top"/>
    </xf>
    <xf numFmtId="0" fontId="44" fillId="3" borderId="0" xfId="0" applyFont="1" applyFill="1" applyAlignment="1">
      <alignment horizontal="center" vertical="top"/>
    </xf>
    <xf numFmtId="0" fontId="18" fillId="3" borderId="0" xfId="0" applyFont="1" applyFill="1" applyAlignment="1">
      <alignment vertical="top"/>
    </xf>
    <xf numFmtId="43" fontId="19" fillId="0" borderId="6" xfId="1" applyFont="1" applyBorder="1" applyAlignment="1">
      <alignment horizontal="center"/>
    </xf>
    <xf numFmtId="0" fontId="15" fillId="0" borderId="30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22" fillId="3" borderId="2" xfId="0" applyFont="1" applyFill="1" applyBorder="1"/>
    <xf numFmtId="0" fontId="22" fillId="3" borderId="2" xfId="0" applyFont="1" applyFill="1" applyBorder="1" applyAlignment="1">
      <alignment horizontal="center" vertical="center"/>
    </xf>
    <xf numFmtId="49" fontId="22" fillId="3" borderId="2" xfId="0" applyNumberFormat="1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left" vertical="center"/>
    </xf>
    <xf numFmtId="0" fontId="27" fillId="3" borderId="29" xfId="0" applyFont="1" applyFill="1" applyBorder="1" applyAlignment="1">
      <alignment horizontal="center"/>
    </xf>
    <xf numFmtId="0" fontId="40" fillId="3" borderId="2" xfId="0" applyFont="1" applyFill="1" applyBorder="1" applyAlignment="1">
      <alignment horizontal="center" vertical="center"/>
    </xf>
    <xf numFmtId="0" fontId="5" fillId="3" borderId="0" xfId="0" applyFont="1" applyFill="1"/>
    <xf numFmtId="0" fontId="22" fillId="3" borderId="2" xfId="0" applyFont="1" applyFill="1" applyBorder="1" applyAlignment="1">
      <alignment horizontal="left" vertical="center"/>
    </xf>
    <xf numFmtId="0" fontId="32" fillId="3" borderId="4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49" fontId="22" fillId="3" borderId="2" xfId="0" applyNumberFormat="1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 vertical="center"/>
    </xf>
    <xf numFmtId="0" fontId="22" fillId="3" borderId="3" xfId="0" applyFont="1" applyFill="1" applyBorder="1"/>
    <xf numFmtId="0" fontId="27" fillId="3" borderId="3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3" borderId="36" xfId="0" applyFont="1" applyFill="1" applyBorder="1" applyAlignment="1">
      <alignment horizontal="center"/>
    </xf>
    <xf numFmtId="49" fontId="18" fillId="3" borderId="19" xfId="0" applyNumberFormat="1" applyFont="1" applyFill="1" applyBorder="1" applyAlignment="1">
      <alignment horizontal="center"/>
    </xf>
    <xf numFmtId="0" fontId="41" fillId="3" borderId="8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 vertical="top"/>
    </xf>
    <xf numFmtId="49" fontId="19" fillId="3" borderId="2" xfId="0" applyNumberFormat="1" applyFont="1" applyFill="1" applyBorder="1" applyAlignment="1">
      <alignment vertical="top"/>
    </xf>
    <xf numFmtId="49" fontId="18" fillId="3" borderId="2" xfId="0" applyNumberFormat="1" applyFont="1" applyFill="1" applyBorder="1" applyAlignment="1">
      <alignment horizontal="center" vertical="top"/>
    </xf>
    <xf numFmtId="0" fontId="19" fillId="3" borderId="2" xfId="0" applyFont="1" applyFill="1" applyBorder="1" applyAlignment="1">
      <alignment vertical="top"/>
    </xf>
    <xf numFmtId="0" fontId="19" fillId="3" borderId="2" xfId="0" applyFont="1" applyFill="1" applyBorder="1" applyAlignment="1">
      <alignment horizontal="left" vertical="top"/>
    </xf>
    <xf numFmtId="0" fontId="19" fillId="3" borderId="0" xfId="0" applyFont="1" applyFill="1" applyAlignment="1">
      <alignment horizontal="center" vertical="top"/>
    </xf>
    <xf numFmtId="0" fontId="18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0" fontId="43" fillId="3" borderId="8" xfId="0" applyFont="1" applyFill="1" applyBorder="1" applyAlignment="1">
      <alignment horizontal="center" vertical="top"/>
    </xf>
    <xf numFmtId="0" fontId="16" fillId="3" borderId="2" xfId="0" applyFont="1" applyFill="1" applyBorder="1" applyAlignment="1">
      <alignment horizontal="center"/>
    </xf>
    <xf numFmtId="0" fontId="19" fillId="3" borderId="3" xfId="0" applyFont="1" applyFill="1" applyBorder="1"/>
    <xf numFmtId="0" fontId="20" fillId="3" borderId="0" xfId="0" applyFont="1" applyFill="1"/>
    <xf numFmtId="0" fontId="18" fillId="3" borderId="19" xfId="0" applyFont="1" applyFill="1" applyBorder="1" applyAlignment="1">
      <alignment horizontal="center"/>
    </xf>
    <xf numFmtId="0" fontId="18" fillId="3" borderId="8" xfId="0" applyFont="1" applyFill="1" applyBorder="1"/>
    <xf numFmtId="0" fontId="19" fillId="3" borderId="4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center"/>
    </xf>
    <xf numFmtId="49" fontId="18" fillId="3" borderId="4" xfId="0" applyNumberFormat="1" applyFont="1" applyFill="1" applyBorder="1" applyAlignment="1">
      <alignment horizontal="center"/>
    </xf>
    <xf numFmtId="43" fontId="19" fillId="3" borderId="4" xfId="1" applyFont="1" applyFill="1" applyBorder="1"/>
    <xf numFmtId="0" fontId="18" fillId="3" borderId="4" xfId="0" applyFont="1" applyFill="1" applyBorder="1" applyAlignment="1">
      <alignment horizontal="left"/>
    </xf>
    <xf numFmtId="0" fontId="43" fillId="3" borderId="4" xfId="0" applyFont="1" applyFill="1" applyBorder="1" applyAlignment="1">
      <alignment horizontal="center"/>
    </xf>
    <xf numFmtId="0" fontId="44" fillId="3" borderId="0" xfId="0" applyFont="1" applyFill="1"/>
    <xf numFmtId="0" fontId="19" fillId="3" borderId="30" xfId="0" applyFont="1" applyFill="1" applyBorder="1"/>
    <xf numFmtId="43" fontId="19" fillId="3" borderId="30" xfId="1" applyFont="1" applyFill="1" applyBorder="1"/>
    <xf numFmtId="0" fontId="19" fillId="3" borderId="19" xfId="0" applyFont="1" applyFill="1" applyBorder="1"/>
    <xf numFmtId="0" fontId="18" fillId="3" borderId="3" xfId="0" applyFont="1" applyFill="1" applyBorder="1" applyAlignment="1">
      <alignment horizontal="left"/>
    </xf>
    <xf numFmtId="43" fontId="54" fillId="0" borderId="0" xfId="1" applyFont="1"/>
    <xf numFmtId="0" fontId="55" fillId="0" borderId="0" xfId="0" applyFont="1"/>
    <xf numFmtId="0" fontId="54" fillId="0" borderId="0" xfId="0" applyFont="1"/>
    <xf numFmtId="0" fontId="19" fillId="3" borderId="2" xfId="0" applyFont="1" applyFill="1" applyBorder="1" applyAlignment="1">
      <alignment horizontal="center" vertical="top" wrapText="1"/>
    </xf>
    <xf numFmtId="0" fontId="19" fillId="3" borderId="2" xfId="0" applyFont="1" applyFill="1" applyBorder="1" applyAlignment="1">
      <alignment horizontal="left" vertical="top" wrapText="1"/>
    </xf>
    <xf numFmtId="49" fontId="19" fillId="3" borderId="2" xfId="0" applyNumberFormat="1" applyFont="1" applyFill="1" applyBorder="1" applyAlignment="1">
      <alignment horizontal="left" vertical="top" wrapText="1"/>
    </xf>
    <xf numFmtId="43" fontId="19" fillId="3" borderId="2" xfId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center" wrapText="1"/>
    </xf>
    <xf numFmtId="0" fontId="19" fillId="3" borderId="26" xfId="0" applyFont="1" applyFill="1" applyBorder="1"/>
    <xf numFmtId="0" fontId="19" fillId="3" borderId="6" xfId="0" applyFont="1" applyFill="1" applyBorder="1"/>
    <xf numFmtId="0" fontId="19" fillId="3" borderId="2" xfId="0" applyFont="1" applyFill="1" applyBorder="1" applyAlignment="1">
      <alignment horizontal="left"/>
    </xf>
    <xf numFmtId="0" fontId="15" fillId="3" borderId="31" xfId="0" applyFont="1" applyFill="1" applyBorder="1" applyAlignment="1">
      <alignment horizontal="center" vertical="center"/>
    </xf>
    <xf numFmtId="0" fontId="18" fillId="3" borderId="32" xfId="0" applyFont="1" applyFill="1" applyBorder="1"/>
    <xf numFmtId="0" fontId="18" fillId="3" borderId="33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/>
    </xf>
    <xf numFmtId="43" fontId="15" fillId="3" borderId="20" xfId="1" applyFont="1" applyFill="1" applyBorder="1"/>
    <xf numFmtId="187" fontId="44" fillId="3" borderId="31" xfId="1" applyNumberFormat="1" applyFont="1" applyFill="1" applyBorder="1" applyAlignment="1">
      <alignment horizontal="left" vertical="center"/>
    </xf>
    <xf numFmtId="0" fontId="19" fillId="3" borderId="32" xfId="0" applyFont="1" applyFill="1" applyBorder="1"/>
    <xf numFmtId="0" fontId="19" fillId="3" borderId="33" xfId="0" applyFont="1" applyFill="1" applyBorder="1"/>
    <xf numFmtId="0" fontId="18" fillId="0" borderId="0" xfId="0" applyFont="1" applyAlignment="1">
      <alignment horizontal="center" vertical="center"/>
    </xf>
    <xf numFmtId="187" fontId="16" fillId="2" borderId="0" xfId="1" applyNumberFormat="1" applyFont="1" applyFill="1" applyBorder="1" applyAlignment="1">
      <alignment horizontal="center" vertical="center"/>
    </xf>
    <xf numFmtId="43" fontId="16" fillId="2" borderId="19" xfId="1" applyFont="1" applyFill="1" applyBorder="1" applyAlignment="1">
      <alignment vertical="center"/>
    </xf>
    <xf numFmtId="0" fontId="19" fillId="0" borderId="36" xfId="0" applyFont="1" applyBorder="1"/>
    <xf numFmtId="49" fontId="18" fillId="3" borderId="2" xfId="0" applyNumberFormat="1" applyFont="1" applyFill="1" applyBorder="1" applyAlignment="1">
      <alignment vertical="top"/>
    </xf>
    <xf numFmtId="187" fontId="19" fillId="3" borderId="2" xfId="1" applyNumberFormat="1" applyFont="1" applyFill="1" applyBorder="1" applyAlignment="1"/>
    <xf numFmtId="187" fontId="19" fillId="3" borderId="2" xfId="1" applyNumberFormat="1" applyFont="1" applyFill="1" applyBorder="1"/>
    <xf numFmtId="0" fontId="19" fillId="3" borderId="0" xfId="0" applyFont="1" applyFill="1" applyAlignment="1">
      <alignment horizontal="center"/>
    </xf>
    <xf numFmtId="0" fontId="18" fillId="3" borderId="2" xfId="0" applyFont="1" applyFill="1" applyBorder="1" applyAlignment="1">
      <alignment horizontal="left" vertical="top" wrapText="1"/>
    </xf>
    <xf numFmtId="0" fontId="18" fillId="3" borderId="8" xfId="0" applyFont="1" applyFill="1" applyBorder="1" applyAlignment="1">
      <alignment horizontal="center"/>
    </xf>
    <xf numFmtId="187" fontId="18" fillId="3" borderId="8" xfId="1" applyNumberFormat="1" applyFont="1" applyFill="1" applyBorder="1"/>
    <xf numFmtId="0" fontId="18" fillId="3" borderId="2" xfId="0" applyFont="1" applyFill="1" applyBorder="1" applyAlignment="1">
      <alignment vertical="top" wrapText="1"/>
    </xf>
    <xf numFmtId="187" fontId="18" fillId="3" borderId="6" xfId="1" applyNumberFormat="1" applyFont="1" applyFill="1" applyBorder="1" applyAlignment="1">
      <alignment horizontal="center" vertical="top"/>
    </xf>
    <xf numFmtId="0" fontId="18" fillId="3" borderId="6" xfId="0" applyFont="1" applyFill="1" applyBorder="1" applyAlignment="1">
      <alignment vertical="top"/>
    </xf>
    <xf numFmtId="3" fontId="19" fillId="0" borderId="8" xfId="0" applyNumberFormat="1" applyFont="1" applyBorder="1" applyAlignment="1">
      <alignment horizontal="right" vertical="center"/>
    </xf>
    <xf numFmtId="49" fontId="19" fillId="0" borderId="6" xfId="0" applyNumberFormat="1" applyFont="1" applyBorder="1" applyAlignment="1">
      <alignment horizontal="center" vertical="center"/>
    </xf>
    <xf numFmtId="187" fontId="19" fillId="0" borderId="6" xfId="1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0" fontId="18" fillId="0" borderId="25" xfId="0" applyFont="1" applyBorder="1" applyAlignment="1">
      <alignment horizontal="center"/>
    </xf>
    <xf numFmtId="0" fontId="16" fillId="0" borderId="25" xfId="0" applyFont="1" applyBorder="1"/>
    <xf numFmtId="187" fontId="18" fillId="0" borderId="25" xfId="1" applyNumberFormat="1" applyFont="1" applyBorder="1"/>
    <xf numFmtId="0" fontId="18" fillId="0" borderId="25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0" fontId="15" fillId="0" borderId="17" xfId="0" applyFont="1" applyBorder="1" applyAlignment="1">
      <alignment horizontal="left"/>
    </xf>
    <xf numFmtId="0" fontId="16" fillId="2" borderId="2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2" borderId="34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187" fontId="16" fillId="2" borderId="21" xfId="1" applyNumberFormat="1" applyFont="1" applyFill="1" applyBorder="1" applyAlignment="1">
      <alignment horizontal="center" vertical="center"/>
    </xf>
    <xf numFmtId="187" fontId="16" fillId="2" borderId="19" xfId="1" applyNumberFormat="1" applyFont="1" applyFill="1" applyBorder="1" applyAlignment="1">
      <alignment horizontal="center" vertical="center"/>
    </xf>
    <xf numFmtId="187" fontId="16" fillId="2" borderId="1" xfId="1" applyNumberFormat="1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/>
    </xf>
    <xf numFmtId="0" fontId="16" fillId="2" borderId="32" xfId="0" applyFont="1" applyFill="1" applyBorder="1" applyAlignment="1">
      <alignment horizontal="center"/>
    </xf>
    <xf numFmtId="0" fontId="16" fillId="2" borderId="33" xfId="0" applyFont="1" applyFill="1" applyBorder="1" applyAlignment="1">
      <alignment horizont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6" fillId="2" borderId="2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43" fontId="16" fillId="2" borderId="21" xfId="1" applyFont="1" applyFill="1" applyBorder="1" applyAlignment="1">
      <alignment horizontal="center" vertical="center"/>
    </xf>
    <xf numFmtId="43" fontId="16" fillId="2" borderId="19" xfId="1" applyFont="1" applyFill="1" applyBorder="1" applyAlignment="1">
      <alignment horizontal="center" vertical="center"/>
    </xf>
    <xf numFmtId="43" fontId="16" fillId="2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2" fillId="2" borderId="34" xfId="0" applyFont="1" applyFill="1" applyBorder="1" applyAlignment="1">
      <alignment horizontal="center" vertical="center"/>
    </xf>
    <xf numFmtId="0" fontId="32" fillId="2" borderId="30" xfId="0" applyFont="1" applyFill="1" applyBorder="1" applyAlignment="1">
      <alignment horizontal="center" vertical="center"/>
    </xf>
    <xf numFmtId="0" fontId="32" fillId="2" borderId="35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23" xfId="0" applyFont="1" applyFill="1" applyBorder="1" applyAlignment="1">
      <alignment horizontal="center" vertical="center"/>
    </xf>
    <xf numFmtId="43" fontId="8" fillId="2" borderId="21" xfId="1" applyFont="1" applyFill="1" applyBorder="1" applyAlignment="1">
      <alignment horizontal="center" vertical="center"/>
    </xf>
    <xf numFmtId="43" fontId="8" fillId="2" borderId="19" xfId="1" applyFont="1" applyFill="1" applyBorder="1" applyAlignment="1">
      <alignment horizontal="center" vertical="center"/>
    </xf>
    <xf numFmtId="43" fontId="8" fillId="2" borderId="1" xfId="1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/>
    </xf>
    <xf numFmtId="0" fontId="22" fillId="2" borderId="35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center"/>
    </xf>
    <xf numFmtId="0" fontId="22" fillId="2" borderId="32" xfId="0" applyFont="1" applyFill="1" applyBorder="1" applyAlignment="1">
      <alignment horizontal="center"/>
    </xf>
    <xf numFmtId="0" fontId="22" fillId="2" borderId="33" xfId="0" applyFont="1" applyFill="1" applyBorder="1" applyAlignment="1">
      <alignment horizontal="center"/>
    </xf>
    <xf numFmtId="0" fontId="22" fillId="2" borderId="2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2" borderId="34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187" fontId="10" fillId="2" borderId="21" xfId="1" applyNumberFormat="1" applyFont="1" applyFill="1" applyBorder="1" applyAlignment="1">
      <alignment horizontal="center" vertical="center"/>
    </xf>
    <xf numFmtId="187" fontId="10" fillId="2" borderId="19" xfId="1" applyNumberFormat="1" applyFont="1" applyFill="1" applyBorder="1" applyAlignment="1">
      <alignment horizontal="center" vertical="center"/>
    </xf>
    <xf numFmtId="187" fontId="10" fillId="2" borderId="1" xfId="1" applyNumberFormat="1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0" fontId="10" fillId="2" borderId="33" xfId="0" applyFont="1" applyFill="1" applyBorder="1" applyAlignment="1">
      <alignment horizontal="center"/>
    </xf>
    <xf numFmtId="0" fontId="26" fillId="2" borderId="2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187" fontId="26" fillId="2" borderId="21" xfId="1" applyNumberFormat="1" applyFont="1" applyFill="1" applyBorder="1" applyAlignment="1">
      <alignment horizontal="center" vertical="center"/>
    </xf>
    <xf numFmtId="187" fontId="26" fillId="2" borderId="19" xfId="1" applyNumberFormat="1" applyFont="1" applyFill="1" applyBorder="1" applyAlignment="1">
      <alignment horizontal="center" vertical="center"/>
    </xf>
    <xf numFmtId="187" fontId="26" fillId="2" borderId="1" xfId="1" applyNumberFormat="1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/>
    </xf>
    <xf numFmtId="0" fontId="26" fillId="2" borderId="32" xfId="0" applyFont="1" applyFill="1" applyBorder="1" applyAlignment="1">
      <alignment horizontal="center"/>
    </xf>
    <xf numFmtId="0" fontId="26" fillId="2" borderId="33" xfId="0" applyFont="1" applyFill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6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/>
    </xf>
    <xf numFmtId="187" fontId="16" fillId="0" borderId="25" xfId="0" applyNumberFormat="1" applyFont="1" applyBorder="1" applyAlignment="1">
      <alignment horizontal="center"/>
    </xf>
  </cellXfs>
  <cellStyles count="3">
    <cellStyle name="จุลภาค" xfId="1" builtinId="3"/>
    <cellStyle name="จุลภาค 2" xfId="2" xr:uid="{5F04517E-22B1-461A-A142-8118FDE4BC90}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116416</xdr:colOff>
      <xdr:row>18</xdr:row>
      <xdr:rowOff>42333</xdr:rowOff>
    </xdr:from>
    <xdr:to>
      <xdr:col>4</xdr:col>
      <xdr:colOff>264583</xdr:colOff>
      <xdr:row>19</xdr:row>
      <xdr:rowOff>127000</xdr:rowOff>
    </xdr:to>
    <xdr:sp macro="" textlink="">
      <xdr:nvSpPr>
        <xdr:cNvPr id="2" name="วงเล็บปีกกาขวา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551083" y="7461250"/>
          <a:ext cx="148167" cy="317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105833</xdr:colOff>
      <xdr:row>8</xdr:row>
      <xdr:rowOff>52916</xdr:rowOff>
    </xdr:from>
    <xdr:to>
      <xdr:col>4</xdr:col>
      <xdr:colOff>264583</xdr:colOff>
      <xdr:row>9</xdr:row>
      <xdr:rowOff>127000</xdr:rowOff>
    </xdr:to>
    <xdr:sp macro="" textlink="">
      <xdr:nvSpPr>
        <xdr:cNvPr id="3" name="วงเล็บปีกกาขวา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540500" y="4011083"/>
          <a:ext cx="158750" cy="317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</xdr:colOff>
      <xdr:row>18</xdr:row>
      <xdr:rowOff>121920</xdr:rowOff>
    </xdr:from>
    <xdr:to>
      <xdr:col>6</xdr:col>
      <xdr:colOff>144780</xdr:colOff>
      <xdr:row>19</xdr:row>
      <xdr:rowOff>205740</xdr:rowOff>
    </xdr:to>
    <xdr:sp macro="" textlink="">
      <xdr:nvSpPr>
        <xdr:cNvPr id="4" name="วงเล็บปีกกาขวา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338060" y="6141720"/>
          <a:ext cx="99060" cy="3124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50"/>
  <sheetViews>
    <sheetView topLeftCell="A33" zoomScale="110" zoomScaleNormal="110" workbookViewId="0">
      <selection activeCell="A27" sqref="A27:M49"/>
    </sheetView>
  </sheetViews>
  <sheetFormatPr defaultColWidth="8.75" defaultRowHeight="19.5" x14ac:dyDescent="0.25"/>
  <cols>
    <col min="1" max="1" width="6" style="53" customWidth="1"/>
    <col min="2" max="2" width="37.75" style="53" customWidth="1"/>
    <col min="3" max="3" width="12.75" style="53" customWidth="1"/>
    <col min="4" max="4" width="10.75" style="53" bestFit="1" customWidth="1"/>
    <col min="5" max="5" width="15" style="53" customWidth="1"/>
    <col min="6" max="6" width="22.25" style="53" bestFit="1" customWidth="1"/>
    <col min="7" max="7" width="4.5" style="53" bestFit="1" customWidth="1"/>
    <col min="8" max="8" width="4.875" style="53" bestFit="1" customWidth="1"/>
    <col min="9" max="9" width="5.25" style="53" bestFit="1" customWidth="1"/>
    <col min="10" max="10" width="6.75" style="53" bestFit="1" customWidth="1"/>
    <col min="11" max="11" width="5.875" style="53" bestFit="1" customWidth="1"/>
    <col min="12" max="12" width="8.375" style="53" bestFit="1" customWidth="1"/>
    <col min="13" max="13" width="10.75" style="53" customWidth="1"/>
    <col min="14" max="16384" width="8.75" style="53"/>
  </cols>
  <sheetData>
    <row r="1" spans="1:13" s="232" customFormat="1" ht="23.25" x14ac:dyDescent="0.35">
      <c r="A1" s="877" t="s">
        <v>1301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</row>
    <row r="2" spans="1:13" s="232" customFormat="1" ht="21" x14ac:dyDescent="0.35">
      <c r="A2" s="878" t="s">
        <v>1137</v>
      </c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</row>
    <row r="3" spans="1:13" s="232" customFormat="1" ht="21" x14ac:dyDescent="0.35">
      <c r="A3" s="879" t="s">
        <v>1031</v>
      </c>
      <c r="B3" s="875" t="s">
        <v>1</v>
      </c>
      <c r="C3" s="883" t="s">
        <v>504</v>
      </c>
      <c r="D3" s="234"/>
      <c r="E3" s="886" t="s">
        <v>0</v>
      </c>
      <c r="F3" s="875" t="s">
        <v>549</v>
      </c>
      <c r="G3" s="889" t="s">
        <v>553</v>
      </c>
      <c r="H3" s="890"/>
      <c r="I3" s="890"/>
      <c r="J3" s="890"/>
      <c r="K3" s="890"/>
      <c r="L3" s="891"/>
      <c r="M3" s="875" t="s">
        <v>2</v>
      </c>
    </row>
    <row r="4" spans="1:13" s="232" customFormat="1" ht="21" x14ac:dyDescent="0.35">
      <c r="A4" s="880"/>
      <c r="B4" s="882"/>
      <c r="C4" s="884"/>
      <c r="D4" s="235" t="s">
        <v>3</v>
      </c>
      <c r="E4" s="887"/>
      <c r="F4" s="882"/>
      <c r="G4" s="879" t="s">
        <v>550</v>
      </c>
      <c r="H4" s="875" t="s">
        <v>551</v>
      </c>
      <c r="I4" s="236" t="s">
        <v>554</v>
      </c>
      <c r="J4" s="875" t="s">
        <v>552</v>
      </c>
      <c r="K4" s="236" t="s">
        <v>555</v>
      </c>
      <c r="L4" s="237" t="s">
        <v>556</v>
      </c>
      <c r="M4" s="882"/>
    </row>
    <row r="5" spans="1:13" s="232" customFormat="1" ht="21" x14ac:dyDescent="0.35">
      <c r="A5" s="881"/>
      <c r="B5" s="876"/>
      <c r="C5" s="885"/>
      <c r="D5" s="238" t="s">
        <v>4</v>
      </c>
      <c r="E5" s="888"/>
      <c r="F5" s="876"/>
      <c r="G5" s="881"/>
      <c r="H5" s="876"/>
      <c r="I5" s="239" t="s">
        <v>557</v>
      </c>
      <c r="J5" s="876"/>
      <c r="K5" s="239" t="s">
        <v>558</v>
      </c>
      <c r="L5" s="240" t="s">
        <v>559</v>
      </c>
      <c r="M5" s="876"/>
    </row>
    <row r="6" spans="1:13" s="45" customFormat="1" ht="21" customHeight="1" x14ac:dyDescent="0.35">
      <c r="A6" s="892" t="s">
        <v>671</v>
      </c>
      <c r="B6" s="893"/>
      <c r="C6" s="894"/>
      <c r="D6" s="526"/>
      <c r="E6" s="424"/>
      <c r="F6" s="421"/>
      <c r="G6" s="421"/>
      <c r="H6" s="421"/>
      <c r="I6" s="243"/>
      <c r="J6" s="243"/>
      <c r="K6" s="243"/>
      <c r="L6" s="243"/>
      <c r="M6" s="243"/>
    </row>
    <row r="7" spans="1:13" s="45" customFormat="1" ht="21" customHeight="1" x14ac:dyDescent="0.35">
      <c r="A7" s="214">
        <v>1</v>
      </c>
      <c r="B7" s="213" t="s">
        <v>1215</v>
      </c>
      <c r="C7" s="214" t="s">
        <v>1216</v>
      </c>
      <c r="D7" s="215" t="s">
        <v>994</v>
      </c>
      <c r="E7" s="216">
        <v>586989</v>
      </c>
      <c r="F7" s="249" t="s">
        <v>1217</v>
      </c>
      <c r="G7" s="230"/>
      <c r="H7" s="214"/>
      <c r="I7" s="229" t="s">
        <v>561</v>
      </c>
      <c r="J7" s="230"/>
      <c r="K7" s="230"/>
      <c r="L7" s="221"/>
      <c r="M7" s="217"/>
    </row>
    <row r="8" spans="1:13" s="45" customFormat="1" ht="21" customHeight="1" x14ac:dyDescent="0.35">
      <c r="A8" s="214"/>
      <c r="B8" s="213" t="s">
        <v>1218</v>
      </c>
      <c r="C8" s="214" t="s">
        <v>1216</v>
      </c>
      <c r="D8" s="215" t="s">
        <v>1219</v>
      </c>
      <c r="E8" s="216">
        <v>100790</v>
      </c>
      <c r="F8" s="249" t="s">
        <v>1217</v>
      </c>
      <c r="H8" s="214"/>
      <c r="I8" s="229"/>
      <c r="J8" s="230"/>
      <c r="K8" s="230"/>
      <c r="L8" s="221"/>
      <c r="M8" s="217"/>
    </row>
    <row r="9" spans="1:13" ht="21" customHeight="1" x14ac:dyDescent="0.35">
      <c r="A9" s="214">
        <v>2</v>
      </c>
      <c r="B9" s="30" t="s">
        <v>688</v>
      </c>
      <c r="C9" s="31" t="s">
        <v>562</v>
      </c>
      <c r="D9" s="274" t="s">
        <v>563</v>
      </c>
      <c r="E9" s="306">
        <v>135214</v>
      </c>
      <c r="F9" s="30" t="s">
        <v>982</v>
      </c>
      <c r="G9" s="229" t="s">
        <v>561</v>
      </c>
      <c r="H9" s="230"/>
      <c r="I9" s="230"/>
      <c r="J9" s="230"/>
      <c r="K9" s="230"/>
      <c r="L9" s="230"/>
      <c r="M9" s="527"/>
    </row>
    <row r="10" spans="1:13" ht="21" customHeight="1" x14ac:dyDescent="0.35">
      <c r="A10" s="214">
        <v>3</v>
      </c>
      <c r="B10" s="30" t="s">
        <v>663</v>
      </c>
      <c r="C10" s="31" t="s">
        <v>564</v>
      </c>
      <c r="D10" s="274" t="s">
        <v>563</v>
      </c>
      <c r="E10" s="306">
        <v>135214</v>
      </c>
      <c r="F10" s="30" t="s">
        <v>670</v>
      </c>
      <c r="G10" s="229" t="s">
        <v>561</v>
      </c>
      <c r="H10" s="52"/>
      <c r="I10" s="230"/>
      <c r="J10" s="230"/>
      <c r="K10" s="230"/>
      <c r="L10" s="230"/>
      <c r="M10" s="279"/>
    </row>
    <row r="11" spans="1:13" s="817" customFormat="1" ht="21" customHeight="1" x14ac:dyDescent="0.35">
      <c r="A11" s="638">
        <v>4</v>
      </c>
      <c r="B11" s="631" t="s">
        <v>663</v>
      </c>
      <c r="C11" s="801" t="s">
        <v>565</v>
      </c>
      <c r="D11" s="699" t="s">
        <v>563</v>
      </c>
      <c r="E11" s="713">
        <v>135214</v>
      </c>
      <c r="F11" s="631" t="s">
        <v>1191</v>
      </c>
      <c r="G11" s="635"/>
      <c r="H11" s="815"/>
      <c r="I11" s="635" t="s">
        <v>561</v>
      </c>
      <c r="J11" s="637"/>
      <c r="K11" s="637"/>
      <c r="L11" s="637"/>
      <c r="M11" s="816"/>
    </row>
    <row r="12" spans="1:13" s="817" customFormat="1" ht="21" customHeight="1" x14ac:dyDescent="0.35">
      <c r="A12" s="638">
        <v>5</v>
      </c>
      <c r="B12" s="631" t="s">
        <v>663</v>
      </c>
      <c r="C12" s="630" t="s">
        <v>566</v>
      </c>
      <c r="D12" s="699" t="s">
        <v>563</v>
      </c>
      <c r="E12" s="713">
        <v>135215</v>
      </c>
      <c r="F12" s="631" t="s">
        <v>1253</v>
      </c>
      <c r="G12" s="635"/>
      <c r="H12" s="637"/>
      <c r="I12" s="635" t="s">
        <v>561</v>
      </c>
      <c r="J12" s="637"/>
      <c r="K12" s="637"/>
      <c r="L12" s="637"/>
      <c r="M12" s="816"/>
    </row>
    <row r="13" spans="1:13" s="817" customFormat="1" ht="21" customHeight="1" x14ac:dyDescent="0.35">
      <c r="A13" s="638">
        <v>6</v>
      </c>
      <c r="B13" s="631" t="s">
        <v>663</v>
      </c>
      <c r="C13" s="818" t="s">
        <v>567</v>
      </c>
      <c r="D13" s="699" t="s">
        <v>563</v>
      </c>
      <c r="E13" s="633">
        <v>135215</v>
      </c>
      <c r="F13" s="819" t="s">
        <v>672</v>
      </c>
      <c r="G13" s="635"/>
      <c r="H13" s="815"/>
      <c r="I13" s="635" t="s">
        <v>561</v>
      </c>
      <c r="J13" s="637"/>
      <c r="K13" s="637"/>
      <c r="L13" s="637"/>
      <c r="M13" s="816"/>
    </row>
    <row r="14" spans="1:13" ht="21" customHeight="1" x14ac:dyDescent="0.35">
      <c r="A14" s="214">
        <v>7</v>
      </c>
      <c r="B14" s="30" t="s">
        <v>663</v>
      </c>
      <c r="C14" s="31" t="s">
        <v>970</v>
      </c>
      <c r="D14" s="274" t="s">
        <v>1052</v>
      </c>
      <c r="E14" s="528">
        <v>76562.210000000006</v>
      </c>
      <c r="F14" s="249" t="s">
        <v>983</v>
      </c>
      <c r="G14" s="329" t="s">
        <v>561</v>
      </c>
      <c r="H14" s="52"/>
      <c r="I14" s="230"/>
      <c r="J14" s="230"/>
      <c r="K14" s="230"/>
      <c r="L14" s="230"/>
      <c r="M14" s="529"/>
    </row>
    <row r="15" spans="1:13" ht="21" customHeight="1" x14ac:dyDescent="0.35">
      <c r="A15" s="214">
        <v>8</v>
      </c>
      <c r="B15" s="30" t="s">
        <v>663</v>
      </c>
      <c r="C15" s="31" t="s">
        <v>971</v>
      </c>
      <c r="D15" s="274" t="s">
        <v>1052</v>
      </c>
      <c r="E15" s="528">
        <v>76562.210000000006</v>
      </c>
      <c r="F15" s="253" t="s">
        <v>984</v>
      </c>
      <c r="G15" s="229" t="s">
        <v>561</v>
      </c>
      <c r="H15" s="52"/>
      <c r="I15" s="230"/>
      <c r="J15" s="230"/>
      <c r="K15" s="230"/>
      <c r="L15" s="230"/>
      <c r="M15" s="529"/>
    </row>
    <row r="16" spans="1:13" ht="21" customHeight="1" x14ac:dyDescent="0.35">
      <c r="A16" s="214">
        <v>9</v>
      </c>
      <c r="B16" s="30" t="s">
        <v>663</v>
      </c>
      <c r="C16" s="31" t="s">
        <v>972</v>
      </c>
      <c r="D16" s="274" t="s">
        <v>1052</v>
      </c>
      <c r="E16" s="528">
        <v>76562.210000000006</v>
      </c>
      <c r="F16" s="253" t="s">
        <v>1032</v>
      </c>
      <c r="G16" s="329" t="s">
        <v>561</v>
      </c>
      <c r="H16" s="52"/>
      <c r="I16" s="230"/>
      <c r="J16" s="230"/>
      <c r="K16" s="230"/>
      <c r="L16" s="230"/>
      <c r="M16" s="529"/>
    </row>
    <row r="17" spans="1:13" ht="21" customHeight="1" x14ac:dyDescent="0.35">
      <c r="A17" s="214">
        <v>10</v>
      </c>
      <c r="B17" s="30" t="s">
        <v>663</v>
      </c>
      <c r="C17" s="31" t="s">
        <v>973</v>
      </c>
      <c r="D17" s="274" t="s">
        <v>1052</v>
      </c>
      <c r="E17" s="528">
        <v>76562.210000000006</v>
      </c>
      <c r="F17" s="253" t="s">
        <v>1019</v>
      </c>
      <c r="G17" s="229" t="s">
        <v>561</v>
      </c>
      <c r="H17" s="52"/>
      <c r="I17" s="230"/>
      <c r="J17" s="230"/>
      <c r="K17" s="230"/>
      <c r="L17" s="230"/>
      <c r="M17" s="529"/>
    </row>
    <row r="18" spans="1:13" ht="21" customHeight="1" x14ac:dyDescent="0.35">
      <c r="A18" s="214">
        <v>11</v>
      </c>
      <c r="B18" s="30" t="s">
        <v>663</v>
      </c>
      <c r="C18" s="31" t="s">
        <v>974</v>
      </c>
      <c r="D18" s="274" t="s">
        <v>1052</v>
      </c>
      <c r="E18" s="528">
        <v>76562.210000000006</v>
      </c>
      <c r="F18" s="253" t="s">
        <v>985</v>
      </c>
      <c r="G18" s="329" t="s">
        <v>561</v>
      </c>
      <c r="H18" s="52"/>
      <c r="I18" s="230"/>
      <c r="J18" s="230"/>
      <c r="K18" s="230"/>
      <c r="L18" s="230"/>
      <c r="M18" s="529"/>
    </row>
    <row r="19" spans="1:13" ht="21" customHeight="1" x14ac:dyDescent="0.35">
      <c r="A19" s="214">
        <v>12</v>
      </c>
      <c r="B19" s="30" t="s">
        <v>663</v>
      </c>
      <c r="C19" s="31" t="s">
        <v>975</v>
      </c>
      <c r="D19" s="274" t="s">
        <v>1052</v>
      </c>
      <c r="E19" s="528">
        <v>76562.210000000006</v>
      </c>
      <c r="F19" s="253" t="s">
        <v>986</v>
      </c>
      <c r="G19" s="229" t="s">
        <v>561</v>
      </c>
      <c r="H19" s="52"/>
      <c r="I19" s="230"/>
      <c r="J19" s="230"/>
      <c r="K19" s="230"/>
      <c r="L19" s="230"/>
      <c r="M19" s="529"/>
    </row>
    <row r="20" spans="1:13" ht="21" customHeight="1" x14ac:dyDescent="0.35">
      <c r="A20" s="214">
        <v>13</v>
      </c>
      <c r="B20" s="30" t="s">
        <v>663</v>
      </c>
      <c r="C20" s="31" t="s">
        <v>976</v>
      </c>
      <c r="D20" s="274" t="s">
        <v>1052</v>
      </c>
      <c r="E20" s="528">
        <v>76562.210000000006</v>
      </c>
      <c r="F20" s="253" t="s">
        <v>987</v>
      </c>
      <c r="G20" s="329" t="s">
        <v>561</v>
      </c>
      <c r="H20" s="530"/>
      <c r="I20" s="256"/>
      <c r="J20" s="256"/>
      <c r="K20" s="256"/>
      <c r="L20" s="256"/>
      <c r="M20" s="529"/>
    </row>
    <row r="21" spans="1:13" ht="21" customHeight="1" x14ac:dyDescent="0.35">
      <c r="A21" s="214">
        <v>14</v>
      </c>
      <c r="B21" s="30" t="s">
        <v>663</v>
      </c>
      <c r="C21" s="31" t="s">
        <v>977</v>
      </c>
      <c r="D21" s="274" t="s">
        <v>1052</v>
      </c>
      <c r="E21" s="528">
        <v>76562.210000000006</v>
      </c>
      <c r="F21" s="253" t="s">
        <v>988</v>
      </c>
      <c r="G21" s="229" t="s">
        <v>561</v>
      </c>
      <c r="H21" s="530"/>
      <c r="I21" s="256"/>
      <c r="J21" s="256"/>
      <c r="K21" s="256"/>
      <c r="L21" s="256"/>
      <c r="M21" s="529"/>
    </row>
    <row r="22" spans="1:13" ht="21" customHeight="1" x14ac:dyDescent="0.35">
      <c r="A22" s="214">
        <v>15</v>
      </c>
      <c r="B22" s="30" t="s">
        <v>663</v>
      </c>
      <c r="C22" s="31" t="s">
        <v>978</v>
      </c>
      <c r="D22" s="274" t="s">
        <v>1052</v>
      </c>
      <c r="E22" s="528">
        <v>76562.210000000006</v>
      </c>
      <c r="F22" s="249" t="s">
        <v>989</v>
      </c>
      <c r="G22" s="329" t="s">
        <v>561</v>
      </c>
      <c r="H22" s="530"/>
      <c r="I22" s="256"/>
      <c r="J22" s="256"/>
      <c r="K22" s="256"/>
      <c r="L22" s="256"/>
      <c r="M22" s="529"/>
    </row>
    <row r="23" spans="1:13" ht="21" customHeight="1" x14ac:dyDescent="0.35">
      <c r="A23" s="214">
        <v>16</v>
      </c>
      <c r="B23" s="30" t="s">
        <v>663</v>
      </c>
      <c r="C23" s="31" t="s">
        <v>979</v>
      </c>
      <c r="D23" s="274" t="s">
        <v>1052</v>
      </c>
      <c r="E23" s="528">
        <v>76562.210000000006</v>
      </c>
      <c r="F23" s="249" t="s">
        <v>990</v>
      </c>
      <c r="G23" s="229" t="s">
        <v>561</v>
      </c>
      <c r="H23" s="530"/>
      <c r="I23" s="256"/>
      <c r="J23" s="256"/>
      <c r="K23" s="256"/>
      <c r="L23" s="256"/>
      <c r="M23" s="529"/>
    </row>
    <row r="24" spans="1:13" ht="21" customHeight="1" x14ac:dyDescent="0.35">
      <c r="A24" s="214">
        <v>17</v>
      </c>
      <c r="B24" s="30" t="s">
        <v>663</v>
      </c>
      <c r="C24" s="31" t="s">
        <v>980</v>
      </c>
      <c r="D24" s="274" t="s">
        <v>1052</v>
      </c>
      <c r="E24" s="528">
        <v>76562.210000000006</v>
      </c>
      <c r="F24" s="249" t="s">
        <v>991</v>
      </c>
      <c r="G24" s="229" t="s">
        <v>561</v>
      </c>
      <c r="H24" s="530"/>
      <c r="I24" s="256"/>
      <c r="J24" s="256"/>
      <c r="K24" s="256"/>
      <c r="L24" s="256"/>
      <c r="M24" s="529"/>
    </row>
    <row r="25" spans="1:13" ht="21" customHeight="1" x14ac:dyDescent="0.35">
      <c r="A25" s="214">
        <v>18</v>
      </c>
      <c r="B25" s="281" t="s">
        <v>663</v>
      </c>
      <c r="C25" s="361" t="s">
        <v>981</v>
      </c>
      <c r="D25" s="266" t="s">
        <v>1052</v>
      </c>
      <c r="E25" s="528">
        <v>76562.22</v>
      </c>
      <c r="F25" s="270" t="s">
        <v>992</v>
      </c>
      <c r="G25" s="268" t="s">
        <v>561</v>
      </c>
      <c r="H25" s="396"/>
      <c r="I25" s="269"/>
      <c r="J25" s="269"/>
      <c r="K25" s="269"/>
      <c r="L25" s="269"/>
      <c r="M25" s="531"/>
    </row>
    <row r="26" spans="1:13" ht="21" customHeight="1" thickBot="1" x14ac:dyDescent="0.4">
      <c r="A26" s="224"/>
      <c r="B26" s="225"/>
      <c r="C26" s="226"/>
      <c r="D26" s="271" t="s">
        <v>505</v>
      </c>
      <c r="E26" s="532">
        <f>SUM(E7:E25)</f>
        <v>2282597.5299999998</v>
      </c>
      <c r="F26" s="224"/>
      <c r="G26" s="225"/>
      <c r="H26" s="225"/>
      <c r="I26" s="225"/>
      <c r="J26" s="225"/>
      <c r="K26" s="225"/>
      <c r="L26" s="225"/>
      <c r="M26" s="226"/>
    </row>
    <row r="27" spans="1:13" ht="21" customHeight="1" thickTop="1" x14ac:dyDescent="0.35">
      <c r="A27" s="873" t="s">
        <v>527</v>
      </c>
      <c r="B27" s="874"/>
      <c r="C27" s="208"/>
      <c r="D27" s="209"/>
      <c r="E27" s="209"/>
      <c r="F27" s="208"/>
      <c r="G27" s="208"/>
      <c r="H27" s="208"/>
      <c r="I27" s="208"/>
      <c r="J27" s="208"/>
      <c r="K27" s="208"/>
      <c r="L27" s="208"/>
      <c r="M27" s="211"/>
    </row>
    <row r="28" spans="1:13" ht="21" customHeight="1" x14ac:dyDescent="0.35">
      <c r="A28" s="212">
        <v>1</v>
      </c>
      <c r="B28" s="213" t="s">
        <v>7</v>
      </c>
      <c r="C28" s="214" t="s">
        <v>8</v>
      </c>
      <c r="D28" s="215" t="s">
        <v>995</v>
      </c>
      <c r="E28" s="278">
        <v>43440</v>
      </c>
      <c r="F28" s="217" t="s">
        <v>9</v>
      </c>
      <c r="G28" s="218"/>
      <c r="H28" s="219" t="s">
        <v>561</v>
      </c>
      <c r="I28" s="219"/>
      <c r="J28" s="218"/>
      <c r="K28" s="218"/>
      <c r="L28" s="218"/>
      <c r="M28" s="220"/>
    </row>
    <row r="29" spans="1:13" ht="21" customHeight="1" x14ac:dyDescent="0.35">
      <c r="A29" s="212">
        <v>2</v>
      </c>
      <c r="B29" s="213" t="s">
        <v>7</v>
      </c>
      <c r="C29" s="214" t="s">
        <v>10</v>
      </c>
      <c r="D29" s="215" t="s">
        <v>995</v>
      </c>
      <c r="E29" s="706">
        <v>43400</v>
      </c>
      <c r="F29" s="217" t="s">
        <v>11</v>
      </c>
      <c r="G29" s="218"/>
      <c r="H29" s="221" t="s">
        <v>561</v>
      </c>
      <c r="I29" s="221"/>
      <c r="J29" s="218"/>
      <c r="K29" s="218"/>
      <c r="L29" s="218"/>
      <c r="M29" s="220"/>
    </row>
    <row r="30" spans="1:13" ht="21" customHeight="1" x14ac:dyDescent="0.35">
      <c r="A30" s="212">
        <v>3</v>
      </c>
      <c r="B30" s="213" t="s">
        <v>7</v>
      </c>
      <c r="C30" s="214" t="s">
        <v>12</v>
      </c>
      <c r="D30" s="215" t="s">
        <v>995</v>
      </c>
      <c r="E30" s="706">
        <v>43400</v>
      </c>
      <c r="F30" s="217" t="s">
        <v>13</v>
      </c>
      <c r="G30" s="218"/>
      <c r="H30" s="222" t="s">
        <v>561</v>
      </c>
      <c r="I30" s="222"/>
      <c r="J30" s="223"/>
      <c r="K30" s="218"/>
      <c r="L30" s="218"/>
      <c r="M30" s="220"/>
    </row>
    <row r="31" spans="1:13" ht="21" customHeight="1" x14ac:dyDescent="0.35">
      <c r="A31" s="212">
        <v>4</v>
      </c>
      <c r="B31" s="213" t="s">
        <v>7</v>
      </c>
      <c r="C31" s="214" t="s">
        <v>14</v>
      </c>
      <c r="D31" s="215" t="s">
        <v>995</v>
      </c>
      <c r="E31" s="706">
        <v>43400</v>
      </c>
      <c r="F31" s="217" t="s">
        <v>15</v>
      </c>
      <c r="G31" s="218"/>
      <c r="H31" s="222" t="s">
        <v>561</v>
      </c>
      <c r="I31" s="222"/>
      <c r="J31" s="218"/>
      <c r="K31" s="218"/>
      <c r="L31" s="218"/>
      <c r="M31" s="220"/>
    </row>
    <row r="32" spans="1:13" ht="21" customHeight="1" x14ac:dyDescent="0.35">
      <c r="A32" s="212">
        <v>5</v>
      </c>
      <c r="B32" s="213" t="s">
        <v>7</v>
      </c>
      <c r="C32" s="214" t="s">
        <v>16</v>
      </c>
      <c r="D32" s="215" t="s">
        <v>995</v>
      </c>
      <c r="E32" s="706">
        <v>43400</v>
      </c>
      <c r="F32" s="217" t="s">
        <v>17</v>
      </c>
      <c r="G32" s="218"/>
      <c r="H32" s="222" t="s">
        <v>561</v>
      </c>
      <c r="I32" s="222"/>
      <c r="J32" s="218"/>
      <c r="K32" s="218"/>
      <c r="L32" s="218"/>
      <c r="M32" s="220"/>
    </row>
    <row r="33" spans="1:13" ht="21" customHeight="1" x14ac:dyDescent="0.35">
      <c r="A33" s="212">
        <v>6</v>
      </c>
      <c r="B33" s="213" t="s">
        <v>7</v>
      </c>
      <c r="C33" s="214" t="s">
        <v>18</v>
      </c>
      <c r="D33" s="215" t="s">
        <v>996</v>
      </c>
      <c r="E33" s="278">
        <v>40000</v>
      </c>
      <c r="F33" s="217" t="s">
        <v>19</v>
      </c>
      <c r="G33" s="218"/>
      <c r="H33" s="219" t="s">
        <v>561</v>
      </c>
      <c r="I33" s="219"/>
      <c r="J33" s="218"/>
      <c r="K33" s="218"/>
      <c r="L33" s="218"/>
      <c r="M33" s="220"/>
    </row>
    <row r="34" spans="1:13" ht="21" customHeight="1" x14ac:dyDescent="0.35">
      <c r="A34" s="212">
        <v>7</v>
      </c>
      <c r="B34" s="213" t="s">
        <v>7</v>
      </c>
      <c r="C34" s="214" t="s">
        <v>20</v>
      </c>
      <c r="D34" s="215" t="s">
        <v>996</v>
      </c>
      <c r="E34" s="278">
        <v>40000</v>
      </c>
      <c r="F34" s="217" t="s">
        <v>21</v>
      </c>
      <c r="G34" s="218"/>
      <c r="H34" s="219" t="s">
        <v>561</v>
      </c>
      <c r="I34" s="219"/>
      <c r="J34" s="218"/>
      <c r="K34" s="218"/>
      <c r="L34" s="218"/>
      <c r="M34" s="220"/>
    </row>
    <row r="35" spans="1:13" ht="21" customHeight="1" x14ac:dyDescent="0.35">
      <c r="A35" s="212">
        <v>8</v>
      </c>
      <c r="B35" s="213" t="s">
        <v>7</v>
      </c>
      <c r="C35" s="214" t="s">
        <v>22</v>
      </c>
      <c r="D35" s="215" t="s">
        <v>996</v>
      </c>
      <c r="E35" s="278">
        <v>40000</v>
      </c>
      <c r="F35" s="217" t="s">
        <v>23</v>
      </c>
      <c r="G35" s="218"/>
      <c r="H35" s="221" t="s">
        <v>561</v>
      </c>
      <c r="I35" s="221"/>
      <c r="J35" s="218"/>
      <c r="K35" s="218"/>
      <c r="L35" s="218"/>
      <c r="M35" s="220"/>
    </row>
    <row r="36" spans="1:13" ht="21" customHeight="1" x14ac:dyDescent="0.35">
      <c r="A36" s="212">
        <v>9</v>
      </c>
      <c r="B36" s="213" t="s">
        <v>7</v>
      </c>
      <c r="C36" s="214" t="s">
        <v>24</v>
      </c>
      <c r="D36" s="215" t="s">
        <v>996</v>
      </c>
      <c r="E36" s="278">
        <v>40000</v>
      </c>
      <c r="F36" s="217" t="s">
        <v>25</v>
      </c>
      <c r="G36" s="218"/>
      <c r="H36" s="219" t="s">
        <v>561</v>
      </c>
      <c r="I36" s="219"/>
      <c r="J36" s="218"/>
      <c r="K36" s="218"/>
      <c r="L36" s="218"/>
      <c r="M36" s="220"/>
    </row>
    <row r="37" spans="1:13" ht="21" customHeight="1" x14ac:dyDescent="0.35">
      <c r="A37" s="212">
        <v>10</v>
      </c>
      <c r="B37" s="213" t="s">
        <v>7</v>
      </c>
      <c r="C37" s="214" t="s">
        <v>26</v>
      </c>
      <c r="D37" s="215" t="s">
        <v>996</v>
      </c>
      <c r="E37" s="278">
        <v>40000</v>
      </c>
      <c r="F37" s="217" t="s">
        <v>27</v>
      </c>
      <c r="G37" s="218"/>
      <c r="H37" s="221" t="s">
        <v>561</v>
      </c>
      <c r="I37" s="221"/>
      <c r="J37" s="218"/>
      <c r="K37" s="218"/>
      <c r="L37" s="218"/>
      <c r="M37" s="217"/>
    </row>
    <row r="38" spans="1:13" ht="21" customHeight="1" x14ac:dyDescent="0.35">
      <c r="A38" s="212">
        <v>11</v>
      </c>
      <c r="B38" s="213" t="s">
        <v>7</v>
      </c>
      <c r="C38" s="214" t="s">
        <v>28</v>
      </c>
      <c r="D38" s="215" t="s">
        <v>996</v>
      </c>
      <c r="E38" s="278">
        <v>40000</v>
      </c>
      <c r="F38" s="217" t="s">
        <v>29</v>
      </c>
      <c r="G38" s="218"/>
      <c r="H38" s="219" t="s">
        <v>561</v>
      </c>
      <c r="I38" s="219"/>
      <c r="J38" s="218"/>
      <c r="K38" s="218"/>
      <c r="L38" s="218"/>
      <c r="M38" s="217"/>
    </row>
    <row r="39" spans="1:13" ht="21" customHeight="1" x14ac:dyDescent="0.35">
      <c r="A39" s="212">
        <v>12</v>
      </c>
      <c r="B39" s="213" t="s">
        <v>7</v>
      </c>
      <c r="C39" s="214" t="s">
        <v>30</v>
      </c>
      <c r="D39" s="215" t="s">
        <v>996</v>
      </c>
      <c r="E39" s="278">
        <v>40000</v>
      </c>
      <c r="F39" s="217" t="s">
        <v>31</v>
      </c>
      <c r="G39" s="218"/>
      <c r="H39" s="221" t="s">
        <v>561</v>
      </c>
      <c r="I39" s="221"/>
      <c r="J39" s="218"/>
      <c r="K39" s="218"/>
      <c r="L39" s="218"/>
      <c r="M39" s="217"/>
    </row>
    <row r="40" spans="1:13" ht="21" customHeight="1" x14ac:dyDescent="0.35">
      <c r="A40" s="533">
        <v>13</v>
      </c>
      <c r="B40" s="534" t="s">
        <v>7</v>
      </c>
      <c r="C40" s="282" t="s">
        <v>32</v>
      </c>
      <c r="D40" s="283" t="s">
        <v>996</v>
      </c>
      <c r="E40" s="535">
        <v>40000</v>
      </c>
      <c r="F40" s="265" t="s">
        <v>33</v>
      </c>
      <c r="G40" s="536"/>
      <c r="H40" s="485" t="s">
        <v>561</v>
      </c>
      <c r="I40" s="485"/>
      <c r="J40" s="536"/>
      <c r="K40" s="536"/>
      <c r="L40" s="536"/>
      <c r="M40" s="265"/>
    </row>
    <row r="41" spans="1:13" ht="21" customHeight="1" thickBot="1" x14ac:dyDescent="0.4">
      <c r="A41" s="224"/>
      <c r="B41" s="225"/>
      <c r="C41" s="226"/>
      <c r="D41" s="271" t="s">
        <v>505</v>
      </c>
      <c r="E41" s="537">
        <f>SUM(E28:E40)</f>
        <v>537040</v>
      </c>
      <c r="F41" s="224"/>
      <c r="G41" s="225"/>
      <c r="H41" s="225"/>
      <c r="I41" s="225"/>
      <c r="J41" s="225"/>
      <c r="K41" s="225"/>
      <c r="L41" s="225"/>
      <c r="M41" s="226"/>
    </row>
    <row r="42" spans="1:13" ht="21" customHeight="1" thickTop="1" x14ac:dyDescent="0.35">
      <c r="A42" s="873" t="s">
        <v>1208</v>
      </c>
      <c r="B42" s="874"/>
      <c r="C42" s="208"/>
      <c r="D42" s="209"/>
      <c r="E42" s="210"/>
      <c r="F42" s="208"/>
      <c r="G42" s="208"/>
      <c r="H42" s="208"/>
      <c r="I42" s="208"/>
      <c r="J42" s="208"/>
      <c r="K42" s="208"/>
      <c r="L42" s="208"/>
      <c r="M42" s="211"/>
    </row>
    <row r="43" spans="1:13" ht="45" customHeight="1" x14ac:dyDescent="0.35">
      <c r="A43" s="212">
        <v>1</v>
      </c>
      <c r="B43" s="692" t="s">
        <v>1258</v>
      </c>
      <c r="C43" s="214" t="s">
        <v>1209</v>
      </c>
      <c r="D43" s="215" t="s">
        <v>1210</v>
      </c>
      <c r="E43" s="216">
        <v>66800</v>
      </c>
      <c r="F43" s="217" t="s">
        <v>1254</v>
      </c>
      <c r="G43" s="219" t="s">
        <v>561</v>
      </c>
      <c r="H43" s="219"/>
      <c r="I43" s="219"/>
      <c r="J43" s="218"/>
      <c r="K43" s="218"/>
      <c r="L43" s="218"/>
      <c r="M43" s="220"/>
    </row>
    <row r="44" spans="1:13" ht="45" customHeight="1" x14ac:dyDescent="0.35">
      <c r="A44" s="212">
        <v>2</v>
      </c>
      <c r="B44" s="692" t="s">
        <v>1258</v>
      </c>
      <c r="C44" s="214" t="s">
        <v>1211</v>
      </c>
      <c r="D44" s="215" t="s">
        <v>1210</v>
      </c>
      <c r="E44" s="216">
        <v>66800</v>
      </c>
      <c r="F44" s="217" t="s">
        <v>1255</v>
      </c>
      <c r="G44" s="221" t="s">
        <v>561</v>
      </c>
      <c r="H44" s="221"/>
      <c r="I44" s="221"/>
      <c r="J44" s="218"/>
      <c r="K44" s="218"/>
      <c r="L44" s="218"/>
      <c r="M44" s="220"/>
    </row>
    <row r="45" spans="1:13" ht="45" customHeight="1" x14ac:dyDescent="0.35">
      <c r="A45" s="212">
        <v>3</v>
      </c>
      <c r="B45" s="692" t="s">
        <v>1258</v>
      </c>
      <c r="C45" s="214" t="s">
        <v>1212</v>
      </c>
      <c r="D45" s="215" t="s">
        <v>1210</v>
      </c>
      <c r="E45" s="216">
        <v>66800</v>
      </c>
      <c r="F45" s="217" t="s">
        <v>1256</v>
      </c>
      <c r="G45" s="222" t="s">
        <v>561</v>
      </c>
      <c r="H45" s="222"/>
      <c r="I45" s="222"/>
      <c r="J45" s="223"/>
      <c r="K45" s="218"/>
      <c r="L45" s="218"/>
      <c r="M45" s="220"/>
    </row>
    <row r="46" spans="1:13" ht="45" customHeight="1" x14ac:dyDescent="0.35">
      <c r="A46" s="212">
        <v>4</v>
      </c>
      <c r="B46" s="692" t="s">
        <v>1258</v>
      </c>
      <c r="C46" s="214" t="s">
        <v>1213</v>
      </c>
      <c r="D46" s="215" t="s">
        <v>1210</v>
      </c>
      <c r="E46" s="216">
        <v>66800</v>
      </c>
      <c r="F46" s="217" t="s">
        <v>1257</v>
      </c>
      <c r="G46" s="222" t="s">
        <v>561</v>
      </c>
      <c r="H46" s="222"/>
      <c r="I46" s="222"/>
      <c r="J46" s="218"/>
      <c r="K46" s="218"/>
      <c r="L46" s="218"/>
      <c r="M46" s="220"/>
    </row>
    <row r="47" spans="1:13" ht="45" customHeight="1" x14ac:dyDescent="0.35">
      <c r="A47" s="212">
        <v>5</v>
      </c>
      <c r="B47" s="692" t="s">
        <v>1258</v>
      </c>
      <c r="C47" s="214" t="s">
        <v>1214</v>
      </c>
      <c r="D47" s="215" t="s">
        <v>1210</v>
      </c>
      <c r="E47" s="216">
        <v>66800</v>
      </c>
      <c r="F47" s="217" t="s">
        <v>1271</v>
      </c>
      <c r="G47" s="222" t="s">
        <v>561</v>
      </c>
      <c r="H47" s="222"/>
      <c r="I47" s="222"/>
      <c r="J47" s="218"/>
      <c r="K47" s="218"/>
      <c r="L47" s="218"/>
      <c r="M47" s="220"/>
    </row>
    <row r="48" spans="1:13" ht="21" customHeight="1" thickBot="1" x14ac:dyDescent="0.4">
      <c r="A48" s="224"/>
      <c r="B48" s="225"/>
      <c r="C48" s="226"/>
      <c r="D48" s="227" t="s">
        <v>505</v>
      </c>
      <c r="E48" s="228">
        <f>SUM(E43:E47)</f>
        <v>334000</v>
      </c>
      <c r="F48" s="224"/>
      <c r="G48" s="225"/>
      <c r="H48" s="225"/>
      <c r="I48" s="225"/>
      <c r="J48" s="225"/>
      <c r="K48" s="225"/>
      <c r="L48" s="225"/>
      <c r="M48" s="226"/>
    </row>
    <row r="49" spans="1:13" ht="22.5" thickTop="1" thickBot="1" x14ac:dyDescent="0.4">
      <c r="A49" s="224"/>
      <c r="B49" s="225"/>
      <c r="C49" s="226"/>
      <c r="D49" s="227" t="s">
        <v>1202</v>
      </c>
      <c r="E49" s="228">
        <f>+E26+E41+E48</f>
        <v>3153637.53</v>
      </c>
      <c r="F49" s="224"/>
      <c r="G49" s="225"/>
      <c r="H49" s="225"/>
      <c r="I49" s="225"/>
      <c r="J49" s="225"/>
      <c r="K49" s="225"/>
      <c r="L49" s="225"/>
      <c r="M49" s="226"/>
    </row>
    <row r="50" spans="1:13" ht="20.25" thickTop="1" x14ac:dyDescent="0.25"/>
  </sheetData>
  <mergeCells count="15">
    <mergeCell ref="A42:B42"/>
    <mergeCell ref="A27:B27"/>
    <mergeCell ref="H4:H5"/>
    <mergeCell ref="J4:J5"/>
    <mergeCell ref="A1:M1"/>
    <mergeCell ref="A2:M2"/>
    <mergeCell ref="A3:A5"/>
    <mergeCell ref="B3:B5"/>
    <mergeCell ref="C3:C5"/>
    <mergeCell ref="E3:E5"/>
    <mergeCell ref="F3:F5"/>
    <mergeCell ref="G3:L3"/>
    <mergeCell ref="M3:M5"/>
    <mergeCell ref="G4:G5"/>
    <mergeCell ref="A6:C6"/>
  </mergeCells>
  <pageMargins left="0.19685039370078741" right="0.11811023622047245" top="0.82677165354330717" bottom="0.35433070866141736" header="0.31496062992125984" footer="0.31496062992125984"/>
  <pageSetup paperSize="9" scale="90" orientation="landscape" horizontalDpi="4294967293" verticalDpi="0" r:id="rId1"/>
  <headerFooter differentFirst="1" scaleWithDoc="0" alignWithMargins="0"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O140"/>
  <sheetViews>
    <sheetView tabSelected="1" topLeftCell="A14" zoomScale="110" zoomScaleNormal="110" workbookViewId="0">
      <selection activeCell="C46" sqref="C46:C47"/>
    </sheetView>
  </sheetViews>
  <sheetFormatPr defaultColWidth="9" defaultRowHeight="18.75" x14ac:dyDescent="0.3"/>
  <cols>
    <col min="1" max="1" width="5.75" style="1" customWidth="1"/>
    <col min="2" max="2" width="35.125" style="2" customWidth="1"/>
    <col min="3" max="3" width="15.375" style="1" customWidth="1"/>
    <col min="4" max="4" width="14.125" style="12" customWidth="1"/>
    <col min="5" max="5" width="12.625" style="1" customWidth="1"/>
    <col min="6" max="6" width="18.625" style="2" customWidth="1"/>
    <col min="7" max="7" width="6.625" style="2" bestFit="1" customWidth="1"/>
    <col min="8" max="8" width="4.875" style="2" bestFit="1" customWidth="1"/>
    <col min="9" max="9" width="5.25" style="2" bestFit="1" customWidth="1"/>
    <col min="10" max="10" width="6.75" style="2" bestFit="1" customWidth="1"/>
    <col min="11" max="11" width="5.875" style="2" bestFit="1" customWidth="1"/>
    <col min="12" max="12" width="8.375" style="2" bestFit="1" customWidth="1"/>
    <col min="13" max="13" width="19.5" style="2" customWidth="1"/>
    <col min="14" max="14" width="12.5" style="15" customWidth="1"/>
    <col min="15" max="15" width="14.125" style="2" customWidth="1"/>
    <col min="16" max="16384" width="9" style="2"/>
  </cols>
  <sheetData>
    <row r="1" spans="1:15" ht="23.25" x14ac:dyDescent="0.35">
      <c r="A1" s="877" t="s">
        <v>1302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</row>
    <row r="2" spans="1:15" ht="21" x14ac:dyDescent="0.35">
      <c r="A2" s="878" t="s">
        <v>1137</v>
      </c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</row>
    <row r="3" spans="1:15" s="232" customFormat="1" ht="21" x14ac:dyDescent="0.35">
      <c r="A3" s="879" t="s">
        <v>1031</v>
      </c>
      <c r="B3" s="875" t="s">
        <v>1</v>
      </c>
      <c r="C3" s="883" t="s">
        <v>504</v>
      </c>
      <c r="D3" s="234"/>
      <c r="E3" s="886" t="s">
        <v>0</v>
      </c>
      <c r="F3" s="875" t="s">
        <v>549</v>
      </c>
      <c r="G3" s="889" t="s">
        <v>553</v>
      </c>
      <c r="H3" s="890"/>
      <c r="I3" s="890"/>
      <c r="J3" s="890"/>
      <c r="K3" s="890"/>
      <c r="L3" s="891"/>
      <c r="M3" s="875" t="s">
        <v>2</v>
      </c>
      <c r="N3" s="321"/>
    </row>
    <row r="4" spans="1:15" s="232" customFormat="1" ht="21" x14ac:dyDescent="0.35">
      <c r="A4" s="880"/>
      <c r="B4" s="882"/>
      <c r="C4" s="884"/>
      <c r="D4" s="235" t="s">
        <v>3</v>
      </c>
      <c r="E4" s="887"/>
      <c r="F4" s="882"/>
      <c r="G4" s="879" t="s">
        <v>550</v>
      </c>
      <c r="H4" s="875" t="s">
        <v>551</v>
      </c>
      <c r="I4" s="236" t="s">
        <v>554</v>
      </c>
      <c r="J4" s="875" t="s">
        <v>552</v>
      </c>
      <c r="K4" s="236" t="s">
        <v>555</v>
      </c>
      <c r="L4" s="237" t="s">
        <v>556</v>
      </c>
      <c r="M4" s="882"/>
      <c r="N4" s="321"/>
    </row>
    <row r="5" spans="1:15" s="232" customFormat="1" ht="21" x14ac:dyDescent="0.35">
      <c r="A5" s="881"/>
      <c r="B5" s="876"/>
      <c r="C5" s="885"/>
      <c r="D5" s="238" t="s">
        <v>4</v>
      </c>
      <c r="E5" s="888"/>
      <c r="F5" s="876"/>
      <c r="G5" s="881"/>
      <c r="H5" s="876"/>
      <c r="I5" s="239" t="s">
        <v>557</v>
      </c>
      <c r="J5" s="876"/>
      <c r="K5" s="239" t="s">
        <v>558</v>
      </c>
      <c r="L5" s="240" t="s">
        <v>559</v>
      </c>
      <c r="M5" s="876"/>
      <c r="N5" s="321"/>
    </row>
    <row r="6" spans="1:15" s="232" customFormat="1" ht="21" x14ac:dyDescent="0.35">
      <c r="A6" s="322"/>
      <c r="B6" s="323" t="s">
        <v>1308</v>
      </c>
      <c r="C6" s="324"/>
      <c r="D6" s="325"/>
      <c r="E6" s="326"/>
      <c r="F6" s="324"/>
      <c r="G6" s="38"/>
      <c r="H6" s="38"/>
      <c r="I6" s="38"/>
      <c r="J6" s="38"/>
      <c r="K6" s="38"/>
      <c r="L6" s="38"/>
      <c r="M6" s="38"/>
      <c r="N6" s="321"/>
    </row>
    <row r="7" spans="1:15" s="698" customFormat="1" ht="21" x14ac:dyDescent="0.35">
      <c r="A7" s="636">
        <v>1</v>
      </c>
      <c r="B7" s="705" t="s">
        <v>1309</v>
      </c>
      <c r="C7" s="630" t="s">
        <v>1310</v>
      </c>
      <c r="D7" s="699" t="s">
        <v>1312</v>
      </c>
      <c r="E7" s="775">
        <v>20000</v>
      </c>
      <c r="F7" s="634" t="s">
        <v>673</v>
      </c>
      <c r="G7" s="776" t="s">
        <v>561</v>
      </c>
      <c r="H7" s="630"/>
      <c r="I7" s="776"/>
      <c r="J7" s="631"/>
      <c r="K7" s="631"/>
      <c r="L7" s="631"/>
      <c r="M7" s="634"/>
      <c r="N7" s="696"/>
      <c r="O7" s="697"/>
    </row>
    <row r="8" spans="1:15" s="781" customFormat="1" ht="21" x14ac:dyDescent="0.35">
      <c r="A8" s="765">
        <v>2</v>
      </c>
      <c r="B8" s="705" t="s">
        <v>1309</v>
      </c>
      <c r="C8" s="630" t="s">
        <v>1311</v>
      </c>
      <c r="D8" s="699" t="s">
        <v>1312</v>
      </c>
      <c r="E8" s="777">
        <v>20000</v>
      </c>
      <c r="F8" s="634" t="s">
        <v>673</v>
      </c>
      <c r="G8" s="776" t="s">
        <v>561</v>
      </c>
      <c r="H8" s="765"/>
      <c r="I8" s="776"/>
      <c r="J8" s="778"/>
      <c r="K8" s="778"/>
      <c r="L8" s="778"/>
      <c r="M8" s="779"/>
      <c r="N8" s="720" t="s">
        <v>1274</v>
      </c>
      <c r="O8" s="780"/>
    </row>
    <row r="9" spans="1:15" s="232" customFormat="1" ht="21.75" thickBot="1" x14ac:dyDescent="0.4">
      <c r="A9" s="334"/>
      <c r="B9" s="335"/>
      <c r="C9" s="336"/>
      <c r="D9" s="337" t="s">
        <v>505</v>
      </c>
      <c r="E9" s="338">
        <f>SUM(E7:E8)</f>
        <v>40000</v>
      </c>
      <c r="F9" s="334"/>
      <c r="G9" s="339"/>
      <c r="H9" s="339"/>
      <c r="I9" s="340"/>
      <c r="J9" s="339"/>
      <c r="K9" s="340"/>
      <c r="L9" s="340"/>
      <c r="M9" s="336"/>
      <c r="N9" s="685">
        <f>E9</f>
        <v>40000</v>
      </c>
    </row>
    <row r="10" spans="1:15" s="232" customFormat="1" ht="21.75" thickTop="1" x14ac:dyDescent="0.35">
      <c r="A10" s="322"/>
      <c r="B10" s="323" t="s">
        <v>509</v>
      </c>
      <c r="C10" s="324"/>
      <c r="D10" s="325"/>
      <c r="E10" s="326"/>
      <c r="F10" s="324"/>
      <c r="G10" s="38"/>
      <c r="H10" s="38"/>
      <c r="I10" s="38"/>
      <c r="J10" s="38"/>
      <c r="K10" s="38"/>
      <c r="L10" s="38"/>
      <c r="M10" s="38"/>
      <c r="N10" s="321"/>
    </row>
    <row r="11" spans="1:15" s="232" customFormat="1" ht="21" x14ac:dyDescent="0.35">
      <c r="A11" s="636">
        <v>1</v>
      </c>
      <c r="B11" s="327" t="s">
        <v>34</v>
      </c>
      <c r="C11" s="31" t="s">
        <v>35</v>
      </c>
      <c r="D11" s="274" t="s">
        <v>508</v>
      </c>
      <c r="E11" s="328">
        <v>1000</v>
      </c>
      <c r="F11" s="251" t="s">
        <v>673</v>
      </c>
      <c r="G11" s="329"/>
      <c r="H11" s="31"/>
      <c r="I11" s="257" t="s">
        <v>561</v>
      </c>
      <c r="J11" s="30"/>
      <c r="K11" s="30"/>
      <c r="L11" s="30"/>
      <c r="M11" s="251"/>
      <c r="N11" s="321"/>
      <c r="O11" s="330"/>
    </row>
    <row r="12" spans="1:15" s="781" customFormat="1" ht="21" x14ac:dyDescent="0.25">
      <c r="A12" s="765">
        <v>2</v>
      </c>
      <c r="B12" s="854" t="s">
        <v>36</v>
      </c>
      <c r="C12" s="765" t="s">
        <v>37</v>
      </c>
      <c r="D12" s="807" t="s">
        <v>529</v>
      </c>
      <c r="E12" s="777">
        <v>1700</v>
      </c>
      <c r="F12" s="813" t="s">
        <v>1275</v>
      </c>
      <c r="G12" s="814"/>
      <c r="H12" s="765"/>
      <c r="I12" s="776" t="s">
        <v>561</v>
      </c>
      <c r="J12" s="778"/>
      <c r="K12" s="778"/>
      <c r="L12" s="778"/>
      <c r="M12" s="779"/>
      <c r="N12" s="720" t="s">
        <v>1274</v>
      </c>
      <c r="O12" s="780"/>
    </row>
    <row r="13" spans="1:15" s="700" customFormat="1" ht="21" x14ac:dyDescent="0.35">
      <c r="A13" s="641">
        <v>3</v>
      </c>
      <c r="B13" s="693" t="s">
        <v>36</v>
      </c>
      <c r="C13" s="638" t="s">
        <v>1126</v>
      </c>
      <c r="D13" s="639" t="s">
        <v>1134</v>
      </c>
      <c r="E13" s="855">
        <v>1900</v>
      </c>
      <c r="F13" s="841" t="s">
        <v>1206</v>
      </c>
      <c r="G13" s="804" t="s">
        <v>561</v>
      </c>
      <c r="H13" s="638"/>
      <c r="I13" s="856"/>
      <c r="J13" s="637"/>
      <c r="K13" s="637"/>
      <c r="L13" s="637"/>
      <c r="M13" s="841"/>
      <c r="O13" s="857"/>
    </row>
    <row r="14" spans="1:15" s="700" customFormat="1" ht="21" x14ac:dyDescent="0.35">
      <c r="A14" s="765">
        <v>4</v>
      </c>
      <c r="B14" s="693" t="s">
        <v>1276</v>
      </c>
      <c r="C14" s="638" t="s">
        <v>1277</v>
      </c>
      <c r="D14" s="639" t="s">
        <v>1135</v>
      </c>
      <c r="E14" s="855">
        <v>2300</v>
      </c>
      <c r="F14" s="841" t="s">
        <v>1349</v>
      </c>
      <c r="G14" s="804" t="s">
        <v>561</v>
      </c>
      <c r="H14" s="638"/>
      <c r="I14" s="856"/>
      <c r="J14" s="637"/>
      <c r="K14" s="637"/>
      <c r="L14" s="637"/>
      <c r="M14" s="841" t="s">
        <v>1278</v>
      </c>
      <c r="O14" s="857"/>
    </row>
    <row r="15" spans="1:15" s="700" customFormat="1" ht="21" x14ac:dyDescent="0.35">
      <c r="A15" s="641">
        <v>5</v>
      </c>
      <c r="B15" s="693" t="s">
        <v>1127</v>
      </c>
      <c r="C15" s="638" t="s">
        <v>1128</v>
      </c>
      <c r="D15" s="639" t="s">
        <v>1135</v>
      </c>
      <c r="E15" s="855">
        <v>2300</v>
      </c>
      <c r="F15" s="841" t="s">
        <v>1259</v>
      </c>
      <c r="G15" s="804" t="s">
        <v>561</v>
      </c>
      <c r="H15" s="638"/>
      <c r="I15" s="856"/>
      <c r="J15" s="637"/>
      <c r="K15" s="637"/>
      <c r="L15" s="637"/>
      <c r="M15" s="841"/>
      <c r="O15" s="857"/>
    </row>
    <row r="16" spans="1:15" s="698" customFormat="1" ht="21" x14ac:dyDescent="0.35">
      <c r="A16" s="765">
        <v>6</v>
      </c>
      <c r="B16" s="693" t="s">
        <v>1246</v>
      </c>
      <c r="C16" s="802" t="s">
        <v>1247</v>
      </c>
      <c r="D16" s="803" t="s">
        <v>1249</v>
      </c>
      <c r="E16" s="694">
        <v>2300</v>
      </c>
      <c r="F16" s="634" t="s">
        <v>1261</v>
      </c>
      <c r="G16" s="804" t="s">
        <v>561</v>
      </c>
      <c r="H16" s="630"/>
      <c r="I16" s="695"/>
      <c r="J16" s="631"/>
      <c r="K16" s="631"/>
      <c r="L16" s="631"/>
      <c r="M16" s="634" t="s">
        <v>1260</v>
      </c>
      <c r="N16" s="696"/>
      <c r="O16" s="697"/>
    </row>
    <row r="17" spans="1:15" s="698" customFormat="1" ht="21" x14ac:dyDescent="0.35">
      <c r="A17" s="641">
        <v>7</v>
      </c>
      <c r="B17" s="693" t="s">
        <v>1246</v>
      </c>
      <c r="C17" s="802" t="s">
        <v>1248</v>
      </c>
      <c r="D17" s="803" t="s">
        <v>1250</v>
      </c>
      <c r="E17" s="694">
        <v>2300</v>
      </c>
      <c r="F17" s="634" t="s">
        <v>1262</v>
      </c>
      <c r="G17" s="804" t="s">
        <v>561</v>
      </c>
      <c r="H17" s="630"/>
      <c r="I17" s="695"/>
      <c r="J17" s="631"/>
      <c r="K17" s="631"/>
      <c r="L17" s="631"/>
      <c r="M17" s="634" t="s">
        <v>1260</v>
      </c>
      <c r="N17" s="696"/>
      <c r="O17" s="697"/>
    </row>
    <row r="18" spans="1:15" s="720" customFormat="1" ht="21" x14ac:dyDescent="0.2">
      <c r="A18" s="765">
        <v>8</v>
      </c>
      <c r="B18" s="806" t="s">
        <v>1203</v>
      </c>
      <c r="C18" s="805" t="s">
        <v>1204</v>
      </c>
      <c r="D18" s="807" t="s">
        <v>1205</v>
      </c>
      <c r="E18" s="718">
        <v>3200</v>
      </c>
      <c r="F18" s="858" t="s">
        <v>1350</v>
      </c>
      <c r="G18" s="719"/>
      <c r="H18" s="805"/>
      <c r="I18" s="719" t="s">
        <v>561</v>
      </c>
      <c r="J18" s="808"/>
      <c r="K18" s="808"/>
      <c r="L18" s="808"/>
      <c r="M18" s="809"/>
      <c r="O18" s="810"/>
    </row>
    <row r="19" spans="1:15" s="698" customFormat="1" ht="21" x14ac:dyDescent="0.35">
      <c r="A19" s="641">
        <v>9</v>
      </c>
      <c r="B19" s="693" t="s">
        <v>1246</v>
      </c>
      <c r="C19" s="802" t="s">
        <v>1251</v>
      </c>
      <c r="D19" s="803" t="s">
        <v>1252</v>
      </c>
      <c r="E19" s="694">
        <v>2020</v>
      </c>
      <c r="F19" s="634" t="s">
        <v>1035</v>
      </c>
      <c r="G19" s="804" t="s">
        <v>561</v>
      </c>
      <c r="H19" s="630"/>
      <c r="I19" s="695"/>
      <c r="J19" s="631"/>
      <c r="K19" s="631"/>
      <c r="L19" s="631"/>
      <c r="M19" s="634" t="s">
        <v>1260</v>
      </c>
      <c r="N19" s="696"/>
      <c r="O19" s="697"/>
    </row>
    <row r="20" spans="1:15" s="698" customFormat="1" ht="21" x14ac:dyDescent="0.35">
      <c r="A20" s="765">
        <v>10</v>
      </c>
      <c r="B20" s="693" t="s">
        <v>1279</v>
      </c>
      <c r="C20" s="802" t="s">
        <v>1281</v>
      </c>
      <c r="D20" s="803" t="s">
        <v>1282</v>
      </c>
      <c r="E20" s="694">
        <v>3100</v>
      </c>
      <c r="F20" s="634" t="s">
        <v>1280</v>
      </c>
      <c r="G20" s="804" t="s">
        <v>561</v>
      </c>
      <c r="H20" s="859"/>
      <c r="I20" s="860"/>
      <c r="J20" s="631"/>
      <c r="K20" s="631"/>
      <c r="L20" s="631"/>
      <c r="M20" s="841" t="s">
        <v>1283</v>
      </c>
      <c r="N20" s="696"/>
      <c r="O20" s="697"/>
    </row>
    <row r="21" spans="1:15" s="232" customFormat="1" ht="21" x14ac:dyDescent="0.35">
      <c r="A21" s="641">
        <v>11</v>
      </c>
      <c r="B21" s="30" t="s">
        <v>38</v>
      </c>
      <c r="C21" s="31" t="s">
        <v>39</v>
      </c>
      <c r="D21" s="274" t="s">
        <v>530</v>
      </c>
      <c r="E21" s="328">
        <v>5500</v>
      </c>
      <c r="F21" s="57" t="s">
        <v>1191</v>
      </c>
      <c r="G21" s="229"/>
      <c r="H21" s="31"/>
      <c r="I21" s="719" t="s">
        <v>561</v>
      </c>
      <c r="J21" s="30"/>
      <c r="K21" s="30"/>
      <c r="L21" s="30"/>
      <c r="M21" s="251"/>
      <c r="N21" s="321"/>
      <c r="O21" s="330"/>
    </row>
    <row r="22" spans="1:15" s="704" customFormat="1" ht="63" x14ac:dyDescent="0.2">
      <c r="A22" s="765">
        <v>12</v>
      </c>
      <c r="B22" s="353" t="s">
        <v>38</v>
      </c>
      <c r="C22" s="346" t="s">
        <v>40</v>
      </c>
      <c r="D22" s="348" t="s">
        <v>530</v>
      </c>
      <c r="E22" s="701">
        <v>5500</v>
      </c>
      <c r="F22" s="502" t="s">
        <v>1263</v>
      </c>
      <c r="G22" s="356" t="s">
        <v>561</v>
      </c>
      <c r="H22" s="346"/>
      <c r="I22" s="701"/>
      <c r="J22" s="353"/>
      <c r="K22" s="353"/>
      <c r="L22" s="353"/>
      <c r="M22" s="350"/>
      <c r="N22" s="702"/>
      <c r="O22" s="703"/>
    </row>
    <row r="23" spans="1:15" s="704" customFormat="1" ht="21" x14ac:dyDescent="0.2">
      <c r="A23" s="641">
        <v>13</v>
      </c>
      <c r="B23" s="353" t="s">
        <v>38</v>
      </c>
      <c r="C23" s="346" t="s">
        <v>41</v>
      </c>
      <c r="D23" s="348" t="s">
        <v>530</v>
      </c>
      <c r="E23" s="701">
        <v>5500</v>
      </c>
      <c r="F23" s="502" t="s">
        <v>1191</v>
      </c>
      <c r="G23" s="356"/>
      <c r="H23" s="346"/>
      <c r="I23" s="719" t="s">
        <v>561</v>
      </c>
      <c r="J23" s="353"/>
      <c r="K23" s="353"/>
      <c r="L23" s="353"/>
      <c r="M23" s="350"/>
      <c r="N23" s="702"/>
      <c r="O23" s="703"/>
    </row>
    <row r="24" spans="1:15" s="232" customFormat="1" ht="21" x14ac:dyDescent="0.35">
      <c r="A24" s="765">
        <v>14</v>
      </c>
      <c r="B24" s="30" t="s">
        <v>1264</v>
      </c>
      <c r="C24" s="331" t="s">
        <v>1033</v>
      </c>
      <c r="D24" s="332" t="s">
        <v>1053</v>
      </c>
      <c r="E24" s="333">
        <v>5750</v>
      </c>
      <c r="F24" s="251" t="s">
        <v>1351</v>
      </c>
      <c r="G24" s="229" t="s">
        <v>561</v>
      </c>
      <c r="H24" s="31"/>
      <c r="I24" s="34"/>
      <c r="J24" s="30"/>
      <c r="K24" s="30"/>
      <c r="L24" s="30"/>
      <c r="M24" s="251"/>
      <c r="N24" s="321"/>
      <c r="O24" s="330"/>
    </row>
    <row r="25" spans="1:15" s="232" customFormat="1" ht="21.75" thickBot="1" x14ac:dyDescent="0.4">
      <c r="A25" s="334"/>
      <c r="B25" s="335"/>
      <c r="C25" s="336"/>
      <c r="D25" s="337" t="s">
        <v>505</v>
      </c>
      <c r="E25" s="338">
        <f>SUM(E11:E24)</f>
        <v>44370</v>
      </c>
      <c r="F25" s="334"/>
      <c r="G25" s="339"/>
      <c r="H25" s="339"/>
      <c r="I25" s="340"/>
      <c r="J25" s="339"/>
      <c r="K25" s="340"/>
      <c r="L25" s="340"/>
      <c r="M25" s="336"/>
      <c r="N25" s="685">
        <f>E25</f>
        <v>44370</v>
      </c>
    </row>
    <row r="26" spans="1:15" s="232" customFormat="1" ht="21.75" thickTop="1" x14ac:dyDescent="0.35">
      <c r="A26" s="322"/>
      <c r="B26" s="342" t="s">
        <v>510</v>
      </c>
      <c r="C26" s="37"/>
      <c r="D26" s="36"/>
      <c r="E26" s="37"/>
      <c r="F26" s="38"/>
      <c r="G26" s="38"/>
      <c r="H26" s="38"/>
      <c r="I26" s="38"/>
      <c r="J26" s="38"/>
      <c r="K26" s="38"/>
      <c r="L26" s="38"/>
      <c r="M26" s="38"/>
      <c r="N26" s="321"/>
    </row>
    <row r="27" spans="1:15" s="232" customFormat="1" ht="21" customHeight="1" x14ac:dyDescent="0.35">
      <c r="A27" s="276">
        <v>1</v>
      </c>
      <c r="B27" s="343" t="s">
        <v>42</v>
      </c>
      <c r="C27" s="37" t="s">
        <v>43</v>
      </c>
      <c r="D27" s="280" t="s">
        <v>511</v>
      </c>
      <c r="E27" s="344">
        <v>800</v>
      </c>
      <c r="F27" s="251" t="s">
        <v>1207</v>
      </c>
      <c r="G27" s="229" t="s">
        <v>561</v>
      </c>
      <c r="H27" s="229"/>
      <c r="I27" s="38"/>
      <c r="J27" s="38"/>
      <c r="K27" s="38"/>
      <c r="L27" s="38"/>
      <c r="M27" s="57"/>
      <c r="N27" s="321"/>
      <c r="O27" s="320"/>
    </row>
    <row r="28" spans="1:15" s="232" customFormat="1" ht="18" customHeight="1" x14ac:dyDescent="0.35">
      <c r="A28" s="276">
        <v>2</v>
      </c>
      <c r="B28" s="327" t="s">
        <v>42</v>
      </c>
      <c r="C28" s="31" t="s">
        <v>44</v>
      </c>
      <c r="D28" s="274" t="s">
        <v>511</v>
      </c>
      <c r="E28" s="345">
        <v>800</v>
      </c>
      <c r="F28" s="251" t="s">
        <v>1207</v>
      </c>
      <c r="G28" s="229"/>
      <c r="H28" s="30"/>
      <c r="I28" s="229" t="s">
        <v>561</v>
      </c>
      <c r="J28" s="30"/>
      <c r="K28" s="30"/>
      <c r="L28" s="30"/>
      <c r="M28" s="251"/>
      <c r="N28" s="321"/>
      <c r="O28" s="320"/>
    </row>
    <row r="29" spans="1:15" s="232" customFormat="1" ht="21" x14ac:dyDescent="0.35">
      <c r="A29" s="276">
        <v>3</v>
      </c>
      <c r="B29" s="327" t="s">
        <v>42</v>
      </c>
      <c r="C29" s="31" t="s">
        <v>45</v>
      </c>
      <c r="D29" s="274" t="s">
        <v>511</v>
      </c>
      <c r="E29" s="345">
        <v>800</v>
      </c>
      <c r="F29" s="251" t="s">
        <v>1207</v>
      </c>
      <c r="G29" s="229" t="s">
        <v>561</v>
      </c>
      <c r="H29" s="30"/>
      <c r="I29" s="30"/>
      <c r="J29" s="30"/>
      <c r="K29" s="30"/>
      <c r="L29" s="30"/>
      <c r="M29" s="251"/>
      <c r="N29" s="321"/>
      <c r="O29" s="320"/>
    </row>
    <row r="30" spans="1:15" s="232" customFormat="1" ht="21" x14ac:dyDescent="0.35">
      <c r="A30" s="276">
        <v>4</v>
      </c>
      <c r="B30" s="343" t="s">
        <v>42</v>
      </c>
      <c r="C30" s="37" t="s">
        <v>46</v>
      </c>
      <c r="D30" s="280" t="s">
        <v>511</v>
      </c>
      <c r="E30" s="344">
        <v>800</v>
      </c>
      <c r="F30" s="251" t="s">
        <v>1207</v>
      </c>
      <c r="G30" s="329" t="s">
        <v>561</v>
      </c>
      <c r="H30" s="38"/>
      <c r="I30" s="38"/>
      <c r="J30" s="38"/>
      <c r="K30" s="38"/>
      <c r="L30" s="38"/>
      <c r="M30" s="57"/>
      <c r="N30" s="321"/>
      <c r="O30" s="320"/>
    </row>
    <row r="31" spans="1:15" s="232" customFormat="1" ht="21" x14ac:dyDescent="0.35">
      <c r="A31" s="276">
        <v>5</v>
      </c>
      <c r="B31" s="327" t="s">
        <v>42</v>
      </c>
      <c r="C31" s="31" t="s">
        <v>47</v>
      </c>
      <c r="D31" s="274" t="s">
        <v>511</v>
      </c>
      <c r="E31" s="345">
        <v>800</v>
      </c>
      <c r="F31" s="57" t="s">
        <v>673</v>
      </c>
      <c r="G31" s="257" t="s">
        <v>561</v>
      </c>
      <c r="H31" s="30"/>
      <c r="I31" s="30"/>
      <c r="J31" s="30"/>
      <c r="K31" s="30"/>
      <c r="L31" s="30"/>
      <c r="M31" s="251"/>
      <c r="N31" s="321"/>
      <c r="O31" s="320"/>
    </row>
    <row r="32" spans="1:15" s="232" customFormat="1" ht="21" x14ac:dyDescent="0.35">
      <c r="A32" s="276">
        <v>6</v>
      </c>
      <c r="B32" s="327" t="s">
        <v>42</v>
      </c>
      <c r="C32" s="31" t="s">
        <v>48</v>
      </c>
      <c r="D32" s="274" t="s">
        <v>511</v>
      </c>
      <c r="E32" s="345">
        <v>800</v>
      </c>
      <c r="F32" s="251" t="s">
        <v>1207</v>
      </c>
      <c r="G32" s="257" t="s">
        <v>561</v>
      </c>
      <c r="H32" s="30"/>
      <c r="I32" s="30"/>
      <c r="J32" s="30"/>
      <c r="K32" s="30"/>
      <c r="L32" s="30"/>
      <c r="M32" s="251"/>
      <c r="N32" s="321"/>
      <c r="O32" s="564">
        <f>+E25+E27+E28+E29+E30+E31+E32</f>
        <v>49170</v>
      </c>
    </row>
    <row r="33" spans="1:15" s="232" customFormat="1" ht="21" x14ac:dyDescent="0.35">
      <c r="A33" s="276">
        <v>7</v>
      </c>
      <c r="B33" s="327" t="s">
        <v>42</v>
      </c>
      <c r="C33" s="31" t="s">
        <v>49</v>
      </c>
      <c r="D33" s="274" t="s">
        <v>511</v>
      </c>
      <c r="E33" s="345">
        <v>800</v>
      </c>
      <c r="F33" s="251" t="s">
        <v>1207</v>
      </c>
      <c r="G33" s="257" t="s">
        <v>561</v>
      </c>
      <c r="H33" s="30"/>
      <c r="I33" s="30"/>
      <c r="J33" s="30"/>
      <c r="K33" s="30"/>
      <c r="L33" s="30"/>
      <c r="M33" s="251"/>
      <c r="N33" s="321"/>
    </row>
    <row r="34" spans="1:15" s="232" customFormat="1" ht="42" x14ac:dyDescent="0.35">
      <c r="A34" s="276">
        <v>8</v>
      </c>
      <c r="B34" s="347" t="s">
        <v>548</v>
      </c>
      <c r="C34" s="346" t="s">
        <v>50</v>
      </c>
      <c r="D34" s="348" t="s">
        <v>517</v>
      </c>
      <c r="E34" s="349">
        <v>3450</v>
      </c>
      <c r="F34" s="350" t="s">
        <v>1152</v>
      </c>
      <c r="G34" s="351" t="s">
        <v>561</v>
      </c>
      <c r="H34" s="352"/>
      <c r="I34" s="352"/>
      <c r="J34" s="353"/>
      <c r="K34" s="353"/>
      <c r="L34" s="353"/>
      <c r="M34" s="350"/>
      <c r="N34" s="321"/>
      <c r="O34" s="233"/>
    </row>
    <row r="35" spans="1:15" s="232" customFormat="1" ht="42" x14ac:dyDescent="0.35">
      <c r="A35" s="636">
        <v>9</v>
      </c>
      <c r="B35" s="861" t="s">
        <v>1284</v>
      </c>
      <c r="C35" s="765" t="s">
        <v>1285</v>
      </c>
      <c r="D35" s="807" t="s">
        <v>1286</v>
      </c>
      <c r="E35" s="862">
        <v>2500</v>
      </c>
      <c r="F35" s="779" t="s">
        <v>1352</v>
      </c>
      <c r="G35" s="814" t="s">
        <v>561</v>
      </c>
      <c r="H35" s="863"/>
      <c r="I35" s="863"/>
      <c r="J35" s="778"/>
      <c r="K35" s="778"/>
      <c r="L35" s="778"/>
      <c r="M35" s="779" t="s">
        <v>1287</v>
      </c>
      <c r="N35" s="321"/>
      <c r="O35" s="233"/>
    </row>
    <row r="36" spans="1:15" s="232" customFormat="1" ht="63" x14ac:dyDescent="0.35">
      <c r="A36" s="276">
        <v>10</v>
      </c>
      <c r="B36" s="354" t="s">
        <v>1226</v>
      </c>
      <c r="C36" s="346" t="s">
        <v>1083</v>
      </c>
      <c r="D36" s="348" t="s">
        <v>1082</v>
      </c>
      <c r="E36" s="355">
        <v>3000</v>
      </c>
      <c r="F36" s="350" t="s">
        <v>673</v>
      </c>
      <c r="G36" s="356" t="s">
        <v>561</v>
      </c>
      <c r="H36" s="353"/>
      <c r="I36" s="353"/>
      <c r="J36" s="353"/>
      <c r="K36" s="353"/>
      <c r="L36" s="353"/>
      <c r="M36" s="350"/>
      <c r="N36" s="321"/>
      <c r="O36" s="330"/>
    </row>
    <row r="37" spans="1:15" s="232" customFormat="1" ht="63" x14ac:dyDescent="0.35">
      <c r="A37" s="276">
        <v>11</v>
      </c>
      <c r="B37" s="354" t="s">
        <v>1226</v>
      </c>
      <c r="C37" s="346" t="s">
        <v>1084</v>
      </c>
      <c r="D37" s="348" t="s">
        <v>1082</v>
      </c>
      <c r="E37" s="355">
        <v>3000</v>
      </c>
      <c r="F37" s="350" t="s">
        <v>673</v>
      </c>
      <c r="G37" s="356" t="s">
        <v>561</v>
      </c>
      <c r="H37" s="353"/>
      <c r="I37" s="353"/>
      <c r="J37" s="353"/>
      <c r="K37" s="353"/>
      <c r="L37" s="353"/>
      <c r="M37" s="350"/>
      <c r="N37" s="321"/>
      <c r="O37" s="330"/>
    </row>
    <row r="38" spans="1:15" s="232" customFormat="1" ht="63" x14ac:dyDescent="0.35">
      <c r="A38" s="276">
        <v>12</v>
      </c>
      <c r="B38" s="354" t="s">
        <v>1227</v>
      </c>
      <c r="C38" s="346" t="s">
        <v>1085</v>
      </c>
      <c r="D38" s="348" t="s">
        <v>1082</v>
      </c>
      <c r="E38" s="355">
        <v>3000</v>
      </c>
      <c r="F38" s="350" t="s">
        <v>673</v>
      </c>
      <c r="G38" s="356" t="s">
        <v>561</v>
      </c>
      <c r="H38" s="353"/>
      <c r="I38" s="353"/>
      <c r="J38" s="353"/>
      <c r="K38" s="353"/>
      <c r="L38" s="353"/>
      <c r="M38" s="350"/>
      <c r="N38" s="321"/>
      <c r="O38" s="330"/>
    </row>
    <row r="39" spans="1:15" s="232" customFormat="1" ht="63" x14ac:dyDescent="0.35">
      <c r="A39" s="276">
        <v>13</v>
      </c>
      <c r="B39" s="354" t="s">
        <v>1226</v>
      </c>
      <c r="C39" s="346" t="s">
        <v>1086</v>
      </c>
      <c r="D39" s="348" t="s">
        <v>1082</v>
      </c>
      <c r="E39" s="355">
        <v>3000</v>
      </c>
      <c r="F39" s="350" t="s">
        <v>673</v>
      </c>
      <c r="G39" s="356" t="s">
        <v>561</v>
      </c>
      <c r="H39" s="353"/>
      <c r="I39" s="353"/>
      <c r="J39" s="353"/>
      <c r="K39" s="353"/>
      <c r="L39" s="353"/>
      <c r="M39" s="350"/>
      <c r="N39" s="357">
        <f>SUM(E27:E40)</f>
        <v>26550</v>
      </c>
      <c r="O39" s="330"/>
    </row>
    <row r="40" spans="1:15" s="232" customFormat="1" ht="63" x14ac:dyDescent="0.35">
      <c r="A40" s="276">
        <v>14</v>
      </c>
      <c r="B40" s="354" t="s">
        <v>1226</v>
      </c>
      <c r="C40" s="346" t="s">
        <v>1087</v>
      </c>
      <c r="D40" s="348" t="s">
        <v>1082</v>
      </c>
      <c r="E40" s="355">
        <v>3000</v>
      </c>
      <c r="F40" s="350" t="s">
        <v>673</v>
      </c>
      <c r="G40" s="356" t="s">
        <v>561</v>
      </c>
      <c r="H40" s="353"/>
      <c r="I40" s="353"/>
      <c r="J40" s="353"/>
      <c r="K40" s="353"/>
      <c r="L40" s="353"/>
      <c r="M40" s="350"/>
      <c r="N40" s="321"/>
      <c r="O40" s="330"/>
    </row>
    <row r="41" spans="1:15" s="232" customFormat="1" ht="63" x14ac:dyDescent="0.35">
      <c r="A41" s="276">
        <v>15</v>
      </c>
      <c r="B41" s="354" t="s">
        <v>1227</v>
      </c>
      <c r="C41" s="346" t="s">
        <v>1088</v>
      </c>
      <c r="D41" s="348" t="s">
        <v>1082</v>
      </c>
      <c r="E41" s="355">
        <v>3000</v>
      </c>
      <c r="F41" s="350" t="s">
        <v>673</v>
      </c>
      <c r="G41" s="356" t="s">
        <v>561</v>
      </c>
      <c r="H41" s="353"/>
      <c r="I41" s="353"/>
      <c r="J41" s="353"/>
      <c r="K41" s="353"/>
      <c r="L41" s="353"/>
      <c r="M41" s="350"/>
      <c r="N41" s="321"/>
      <c r="O41" s="569">
        <f>SUM(E33:E41)</f>
        <v>24750</v>
      </c>
    </row>
    <row r="42" spans="1:15" s="232" customFormat="1" ht="63" x14ac:dyDescent="0.35">
      <c r="A42" s="276">
        <v>16</v>
      </c>
      <c r="B42" s="354" t="s">
        <v>1227</v>
      </c>
      <c r="C42" s="346" t="s">
        <v>1089</v>
      </c>
      <c r="D42" s="348" t="s">
        <v>1082</v>
      </c>
      <c r="E42" s="355">
        <v>3000</v>
      </c>
      <c r="F42" s="350" t="s">
        <v>673</v>
      </c>
      <c r="G42" s="356" t="s">
        <v>561</v>
      </c>
      <c r="H42" s="353"/>
      <c r="I42" s="353"/>
      <c r="J42" s="353"/>
      <c r="K42" s="353"/>
      <c r="L42" s="353"/>
      <c r="M42" s="350"/>
      <c r="N42" s="321"/>
      <c r="O42" s="330"/>
    </row>
    <row r="43" spans="1:15" s="232" customFormat="1" ht="63" x14ac:dyDescent="0.35">
      <c r="A43" s="276">
        <v>17</v>
      </c>
      <c r="B43" s="354" t="s">
        <v>1227</v>
      </c>
      <c r="C43" s="346" t="s">
        <v>1090</v>
      </c>
      <c r="D43" s="348" t="s">
        <v>1082</v>
      </c>
      <c r="E43" s="355">
        <v>3000</v>
      </c>
      <c r="F43" s="350" t="s">
        <v>673</v>
      </c>
      <c r="G43" s="356" t="s">
        <v>561</v>
      </c>
      <c r="H43" s="353"/>
      <c r="I43" s="353"/>
      <c r="J43" s="353"/>
      <c r="K43" s="353"/>
      <c r="L43" s="353"/>
      <c r="M43" s="350"/>
      <c r="N43" s="321"/>
      <c r="O43" s="330"/>
    </row>
    <row r="44" spans="1:15" s="232" customFormat="1" ht="63" x14ac:dyDescent="0.35">
      <c r="A44" s="276">
        <v>18</v>
      </c>
      <c r="B44" s="354" t="s">
        <v>1226</v>
      </c>
      <c r="C44" s="346" t="s">
        <v>1091</v>
      </c>
      <c r="D44" s="348" t="s">
        <v>1082</v>
      </c>
      <c r="E44" s="355">
        <v>3000</v>
      </c>
      <c r="F44" s="350" t="s">
        <v>673</v>
      </c>
      <c r="G44" s="356" t="s">
        <v>561</v>
      </c>
      <c r="H44" s="353"/>
      <c r="I44" s="353"/>
      <c r="J44" s="353"/>
      <c r="K44" s="353"/>
      <c r="L44" s="353"/>
      <c r="M44" s="350"/>
      <c r="N44" s="321"/>
      <c r="O44" s="330"/>
    </row>
    <row r="45" spans="1:15" s="232" customFormat="1" ht="63" x14ac:dyDescent="0.35">
      <c r="A45" s="276">
        <v>19</v>
      </c>
      <c r="B45" s="354" t="s">
        <v>1228</v>
      </c>
      <c r="C45" s="346" t="s">
        <v>1092</v>
      </c>
      <c r="D45" s="348" t="s">
        <v>1082</v>
      </c>
      <c r="E45" s="355">
        <v>3000</v>
      </c>
      <c r="F45" s="350" t="s">
        <v>673</v>
      </c>
      <c r="G45" s="356" t="s">
        <v>561</v>
      </c>
      <c r="H45" s="353"/>
      <c r="I45" s="353"/>
      <c r="J45" s="353"/>
      <c r="K45" s="353"/>
      <c r="L45" s="353"/>
      <c r="M45" s="350"/>
      <c r="N45" s="321"/>
      <c r="O45" s="565"/>
    </row>
    <row r="46" spans="1:15" s="232" customFormat="1" ht="63" x14ac:dyDescent="0.35">
      <c r="A46" s="276">
        <v>20</v>
      </c>
      <c r="B46" s="502" t="s">
        <v>1227</v>
      </c>
      <c r="C46" s="346" t="s">
        <v>1093</v>
      </c>
      <c r="D46" s="507" t="s">
        <v>1082</v>
      </c>
      <c r="E46" s="538">
        <v>3000</v>
      </c>
      <c r="F46" s="350" t="s">
        <v>1207</v>
      </c>
      <c r="G46" s="356" t="s">
        <v>561</v>
      </c>
      <c r="H46" s="353"/>
      <c r="I46" s="353"/>
      <c r="J46" s="353"/>
      <c r="K46" s="353"/>
      <c r="L46" s="353"/>
      <c r="M46" s="350"/>
      <c r="N46" s="341">
        <f>SUM(E41:E47)</f>
        <v>21000</v>
      </c>
      <c r="O46" s="330"/>
    </row>
    <row r="47" spans="1:15" s="232" customFormat="1" ht="63" x14ac:dyDescent="0.35">
      <c r="A47" s="276">
        <v>21</v>
      </c>
      <c r="B47" s="502" t="s">
        <v>1226</v>
      </c>
      <c r="C47" s="346" t="s">
        <v>1094</v>
      </c>
      <c r="D47" s="539" t="s">
        <v>1082</v>
      </c>
      <c r="E47" s="540">
        <v>3000</v>
      </c>
      <c r="F47" s="350" t="s">
        <v>1207</v>
      </c>
      <c r="G47" s="356" t="s">
        <v>561</v>
      </c>
      <c r="H47" s="353"/>
      <c r="I47" s="353"/>
      <c r="J47" s="353"/>
      <c r="K47" s="353"/>
      <c r="L47" s="353"/>
      <c r="M47" s="350"/>
      <c r="N47" s="685">
        <f>+N39+N46</f>
        <v>47550</v>
      </c>
    </row>
    <row r="48" spans="1:15" s="232" customFormat="1" ht="21.75" thickBot="1" x14ac:dyDescent="0.4">
      <c r="A48" s="334"/>
      <c r="B48" s="335"/>
      <c r="C48" s="336"/>
      <c r="D48" s="358" t="s">
        <v>505</v>
      </c>
      <c r="E48" s="359">
        <f>SUM(E27:E47)</f>
        <v>47550</v>
      </c>
      <c r="F48" s="334"/>
      <c r="G48" s="339"/>
      <c r="H48" s="339"/>
      <c r="I48" s="340"/>
      <c r="J48" s="339"/>
      <c r="K48" s="340"/>
      <c r="L48" s="340"/>
      <c r="M48" s="336"/>
      <c r="N48" s="321"/>
    </row>
    <row r="49" spans="1:15" s="232" customFormat="1" ht="21.75" thickTop="1" x14ac:dyDescent="0.35">
      <c r="A49" s="37"/>
      <c r="B49" s="35" t="s">
        <v>1132</v>
      </c>
      <c r="C49" s="37"/>
      <c r="D49" s="36"/>
      <c r="E49" s="37"/>
      <c r="F49" s="57"/>
      <c r="G49" s="38"/>
      <c r="H49" s="38"/>
      <c r="I49" s="38"/>
      <c r="J49" s="38"/>
      <c r="K49" s="38"/>
      <c r="L49" s="38"/>
      <c r="M49" s="57"/>
      <c r="N49" s="321"/>
    </row>
    <row r="50" spans="1:15" s="232" customFormat="1" ht="21" x14ac:dyDescent="0.35">
      <c r="A50" s="37">
        <v>1</v>
      </c>
      <c r="B50" s="30" t="s">
        <v>1079</v>
      </c>
      <c r="C50" s="37" t="s">
        <v>1081</v>
      </c>
      <c r="D50" s="274" t="s">
        <v>1082</v>
      </c>
      <c r="E50" s="275">
        <v>12000</v>
      </c>
      <c r="F50" s="253" t="s">
        <v>673</v>
      </c>
      <c r="G50" s="257" t="s">
        <v>561</v>
      </c>
      <c r="H50" s="38"/>
      <c r="I50" s="38"/>
      <c r="J50" s="38"/>
      <c r="K50" s="38"/>
      <c r="L50" s="38"/>
      <c r="M50" s="37"/>
      <c r="N50" s="321"/>
    </row>
    <row r="51" spans="1:15" s="232" customFormat="1" ht="21" x14ac:dyDescent="0.35">
      <c r="A51" s="37"/>
      <c r="B51" s="30" t="s">
        <v>1080</v>
      </c>
      <c r="C51" s="37"/>
      <c r="D51" s="274"/>
      <c r="E51" s="275"/>
      <c r="F51" s="253"/>
      <c r="G51" s="38"/>
      <c r="H51" s="38"/>
      <c r="I51" s="38"/>
      <c r="J51" s="38"/>
      <c r="K51" s="38"/>
      <c r="L51" s="38"/>
      <c r="M51" s="37"/>
      <c r="N51" s="685">
        <f>E52</f>
        <v>12000</v>
      </c>
      <c r="O51" s="570">
        <f>+E42+E43+E44+E45+E46+E47+E50</f>
        <v>30000</v>
      </c>
    </row>
    <row r="52" spans="1:15" s="232" customFormat="1" ht="21.75" thickBot="1" x14ac:dyDescent="0.4">
      <c r="A52" s="334"/>
      <c r="B52" s="335"/>
      <c r="C52" s="336"/>
      <c r="D52" s="337" t="s">
        <v>505</v>
      </c>
      <c r="E52" s="360">
        <f>SUM(E50:E51)</f>
        <v>12000</v>
      </c>
      <c r="F52" s="334"/>
      <c r="G52" s="339"/>
      <c r="H52" s="339"/>
      <c r="I52" s="340"/>
      <c r="J52" s="339"/>
      <c r="K52" s="340"/>
      <c r="L52" s="340"/>
      <c r="M52" s="336"/>
      <c r="N52" s="321"/>
    </row>
    <row r="53" spans="1:15" s="232" customFormat="1" ht="21.75" thickTop="1" x14ac:dyDescent="0.35">
      <c r="A53" s="37"/>
      <c r="B53" s="35" t="s">
        <v>1065</v>
      </c>
      <c r="C53" s="37"/>
      <c r="D53" s="36"/>
      <c r="E53" s="37"/>
      <c r="F53" s="57"/>
      <c r="G53" s="38"/>
      <c r="H53" s="38"/>
      <c r="I53" s="38"/>
      <c r="J53" s="38"/>
      <c r="K53" s="38"/>
      <c r="L53" s="38"/>
      <c r="M53" s="57"/>
      <c r="N53" s="321"/>
    </row>
    <row r="54" spans="1:15" s="232" customFormat="1" ht="21" x14ac:dyDescent="0.35">
      <c r="A54" s="37">
        <v>1</v>
      </c>
      <c r="B54" s="30" t="s">
        <v>1064</v>
      </c>
      <c r="C54" s="37" t="s">
        <v>1066</v>
      </c>
      <c r="D54" s="274" t="s">
        <v>1057</v>
      </c>
      <c r="E54" s="275">
        <v>17500</v>
      </c>
      <c r="F54" s="253" t="s">
        <v>673</v>
      </c>
      <c r="G54" s="257" t="s">
        <v>561</v>
      </c>
      <c r="H54" s="38"/>
      <c r="I54" s="38"/>
      <c r="J54" s="38"/>
      <c r="K54" s="38"/>
      <c r="L54" s="38"/>
      <c r="M54" s="37"/>
      <c r="N54" s="321"/>
    </row>
    <row r="55" spans="1:15" s="232" customFormat="1" ht="21" x14ac:dyDescent="0.35">
      <c r="A55" s="37"/>
      <c r="B55" s="30" t="s">
        <v>1074</v>
      </c>
      <c r="C55" s="37"/>
      <c r="D55" s="274"/>
      <c r="E55" s="275"/>
      <c r="F55" s="253"/>
      <c r="G55" s="38"/>
      <c r="H55" s="38"/>
      <c r="I55" s="38"/>
      <c r="J55" s="38"/>
      <c r="K55" s="38"/>
      <c r="L55" s="38"/>
      <c r="M55" s="37"/>
      <c r="N55" s="321"/>
    </row>
    <row r="56" spans="1:15" s="232" customFormat="1" ht="21" x14ac:dyDescent="0.35">
      <c r="A56" s="37">
        <v>2</v>
      </c>
      <c r="B56" s="30" t="s">
        <v>1064</v>
      </c>
      <c r="C56" s="37" t="s">
        <v>1067</v>
      </c>
      <c r="D56" s="274" t="s">
        <v>1057</v>
      </c>
      <c r="E56" s="275">
        <v>17500</v>
      </c>
      <c r="F56" s="253" t="s">
        <v>673</v>
      </c>
      <c r="G56" s="257" t="s">
        <v>561</v>
      </c>
      <c r="H56" s="38"/>
      <c r="I56" s="38"/>
      <c r="J56" s="38"/>
      <c r="K56" s="38"/>
      <c r="L56" s="38"/>
      <c r="M56" s="37"/>
      <c r="N56" s="364"/>
    </row>
    <row r="57" spans="1:15" s="232" customFormat="1" ht="21" x14ac:dyDescent="0.35">
      <c r="A57" s="361"/>
      <c r="B57" s="30" t="s">
        <v>1074</v>
      </c>
      <c r="C57" s="361"/>
      <c r="D57" s="266"/>
      <c r="E57" s="362"/>
      <c r="F57" s="363"/>
      <c r="G57" s="294"/>
      <c r="H57" s="294"/>
      <c r="I57" s="294"/>
      <c r="J57" s="294"/>
      <c r="K57" s="294"/>
      <c r="L57" s="294"/>
      <c r="M57" s="361"/>
      <c r="N57" s="685">
        <f>E58</f>
        <v>35000</v>
      </c>
    </row>
    <row r="58" spans="1:15" s="232" customFormat="1" ht="21.75" thickBot="1" x14ac:dyDescent="0.4">
      <c r="A58" s="334"/>
      <c r="B58" s="335"/>
      <c r="C58" s="336"/>
      <c r="D58" s="337" t="s">
        <v>505</v>
      </c>
      <c r="E58" s="360">
        <f>SUM(E54:E56)</f>
        <v>35000</v>
      </c>
      <c r="F58" s="366"/>
      <c r="G58" s="367"/>
      <c r="H58" s="367"/>
      <c r="I58" s="368"/>
      <c r="J58" s="367"/>
      <c r="K58" s="368"/>
      <c r="L58" s="368"/>
      <c r="M58" s="365"/>
      <c r="N58" s="341"/>
    </row>
    <row r="59" spans="1:15" s="232" customFormat="1" ht="21.75" thickTop="1" x14ac:dyDescent="0.35">
      <c r="A59" s="365"/>
      <c r="B59" s="369"/>
      <c r="C59" s="365"/>
      <c r="D59" s="370"/>
      <c r="E59" s="371"/>
      <c r="F59" s="365"/>
      <c r="G59" s="365"/>
      <c r="H59" s="365"/>
      <c r="I59" s="207"/>
      <c r="J59" s="365"/>
      <c r="K59" s="207"/>
      <c r="L59" s="207"/>
      <c r="M59" s="365"/>
      <c r="N59" s="321"/>
    </row>
    <row r="60" spans="1:15" s="233" customFormat="1" ht="21" x14ac:dyDescent="0.35">
      <c r="A60" s="372"/>
      <c r="B60" s="373" t="s">
        <v>518</v>
      </c>
      <c r="C60" s="372"/>
      <c r="D60" s="374"/>
      <c r="E60" s="372"/>
      <c r="F60" s="375"/>
      <c r="G60" s="375"/>
      <c r="H60" s="375"/>
      <c r="I60" s="375"/>
      <c r="J60" s="375"/>
      <c r="K60" s="375"/>
      <c r="L60" s="375"/>
      <c r="M60" s="375"/>
      <c r="N60" s="321"/>
      <c r="O60" s="232"/>
    </row>
    <row r="61" spans="1:15" s="232" customFormat="1" ht="21" x14ac:dyDescent="0.35">
      <c r="A61" s="31">
        <v>1</v>
      </c>
      <c r="B61" s="327" t="s">
        <v>51</v>
      </c>
      <c r="C61" s="31" t="s">
        <v>52</v>
      </c>
      <c r="D61" s="274" t="s">
        <v>512</v>
      </c>
      <c r="E61" s="275">
        <v>1200</v>
      </c>
      <c r="F61" s="251" t="s">
        <v>1153</v>
      </c>
      <c r="G61" s="329" t="s">
        <v>561</v>
      </c>
      <c r="H61" s="30"/>
      <c r="I61" s="30"/>
      <c r="J61" s="30"/>
      <c r="K61" s="30"/>
      <c r="L61" s="30"/>
      <c r="M61" s="251"/>
      <c r="N61" s="321"/>
      <c r="O61" s="233"/>
    </row>
    <row r="62" spans="1:15" s="232" customFormat="1" ht="21" x14ac:dyDescent="0.35">
      <c r="A62" s="214">
        <v>2</v>
      </c>
      <c r="B62" s="327" t="s">
        <v>610</v>
      </c>
      <c r="C62" s="214" t="s">
        <v>609</v>
      </c>
      <c r="D62" s="215" t="s">
        <v>611</v>
      </c>
      <c r="E62" s="278">
        <v>1800</v>
      </c>
      <c r="F62" s="57" t="s">
        <v>673</v>
      </c>
      <c r="G62" s="229" t="s">
        <v>561</v>
      </c>
      <c r="H62" s="230"/>
      <c r="I62" s="229"/>
      <c r="J62" s="292"/>
      <c r="K62" s="292"/>
      <c r="L62" s="292"/>
      <c r="M62" s="251"/>
      <c r="N62" s="321"/>
    </row>
    <row r="63" spans="1:15" s="698" customFormat="1" ht="21" x14ac:dyDescent="0.35">
      <c r="A63" s="31">
        <v>3</v>
      </c>
      <c r="B63" s="705" t="s">
        <v>1245</v>
      </c>
      <c r="C63" s="630" t="s">
        <v>1244</v>
      </c>
      <c r="D63" s="699" t="s">
        <v>5</v>
      </c>
      <c r="E63" s="647">
        <v>2300</v>
      </c>
      <c r="F63" s="634" t="s">
        <v>673</v>
      </c>
      <c r="G63" s="635" t="s">
        <v>561</v>
      </c>
      <c r="H63" s="631"/>
      <c r="I63" s="631"/>
      <c r="J63" s="631"/>
      <c r="K63" s="631"/>
      <c r="L63" s="631"/>
      <c r="M63" s="634" t="s">
        <v>1265</v>
      </c>
      <c r="N63" s="696"/>
    </row>
    <row r="64" spans="1:15" s="698" customFormat="1" ht="21" x14ac:dyDescent="0.35">
      <c r="A64" s="214">
        <v>4</v>
      </c>
      <c r="B64" s="693" t="s">
        <v>690</v>
      </c>
      <c r="C64" s="638" t="s">
        <v>691</v>
      </c>
      <c r="D64" s="639" t="s">
        <v>694</v>
      </c>
      <c r="E64" s="706">
        <v>2000</v>
      </c>
      <c r="F64" s="634" t="s">
        <v>673</v>
      </c>
      <c r="G64" s="635" t="s">
        <v>561</v>
      </c>
      <c r="H64" s="631"/>
      <c r="I64" s="631"/>
      <c r="J64" s="631"/>
      <c r="K64" s="631"/>
      <c r="L64" s="631"/>
      <c r="M64" s="707"/>
      <c r="N64" s="696"/>
    </row>
    <row r="65" spans="1:15" s="698" customFormat="1" ht="21" x14ac:dyDescent="0.35">
      <c r="A65" s="31">
        <v>5</v>
      </c>
      <c r="B65" s="637" t="s">
        <v>692</v>
      </c>
      <c r="C65" s="638" t="s">
        <v>693</v>
      </c>
      <c r="D65" s="639" t="s">
        <v>695</v>
      </c>
      <c r="E65" s="706">
        <v>2200</v>
      </c>
      <c r="F65" s="634" t="s">
        <v>673</v>
      </c>
      <c r="G65" s="635" t="s">
        <v>561</v>
      </c>
      <c r="H65" s="631"/>
      <c r="I65" s="631"/>
      <c r="J65" s="631"/>
      <c r="K65" s="631"/>
      <c r="L65" s="631"/>
      <c r="M65" s="707"/>
      <c r="N65" s="696"/>
    </row>
    <row r="66" spans="1:15" s="698" customFormat="1" ht="21" x14ac:dyDescent="0.35">
      <c r="A66" s="214">
        <v>6</v>
      </c>
      <c r="B66" s="705" t="s">
        <v>53</v>
      </c>
      <c r="C66" s="630" t="s">
        <v>54</v>
      </c>
      <c r="D66" s="699" t="s">
        <v>92</v>
      </c>
      <c r="E66" s="647">
        <v>3000</v>
      </c>
      <c r="F66" s="634" t="s">
        <v>95</v>
      </c>
      <c r="G66" s="635" t="s">
        <v>561</v>
      </c>
      <c r="H66" s="631"/>
      <c r="I66" s="631"/>
      <c r="J66" s="631"/>
      <c r="K66" s="631"/>
      <c r="L66" s="631"/>
      <c r="M66" s="634"/>
      <c r="N66" s="708">
        <f>SUM(E61:E67)</f>
        <v>15500</v>
      </c>
    </row>
    <row r="67" spans="1:15" s="698" customFormat="1" ht="21" x14ac:dyDescent="0.35">
      <c r="A67" s="31">
        <v>7</v>
      </c>
      <c r="B67" s="709" t="s">
        <v>55</v>
      </c>
      <c r="C67" s="643" t="s">
        <v>56</v>
      </c>
      <c r="D67" s="644" t="s">
        <v>511</v>
      </c>
      <c r="E67" s="710">
        <v>3000</v>
      </c>
      <c r="F67" s="711" t="s">
        <v>674</v>
      </c>
      <c r="G67" s="712" t="s">
        <v>561</v>
      </c>
      <c r="H67" s="642"/>
      <c r="I67" s="642"/>
      <c r="J67" s="642"/>
      <c r="K67" s="642"/>
      <c r="L67" s="642"/>
      <c r="M67" s="711"/>
      <c r="N67" s="708">
        <f>+N66+N57+N51+N46</f>
        <v>83500</v>
      </c>
    </row>
    <row r="68" spans="1:15" s="232" customFormat="1" ht="21" x14ac:dyDescent="0.35">
      <c r="A68" s="214"/>
      <c r="B68" s="327" t="s">
        <v>57</v>
      </c>
      <c r="C68" s="31"/>
      <c r="D68" s="274"/>
      <c r="E68" s="345"/>
      <c r="F68" s="251"/>
      <c r="G68" s="30"/>
      <c r="H68" s="30"/>
      <c r="I68" s="30"/>
      <c r="J68" s="30"/>
      <c r="K68" s="30"/>
      <c r="L68" s="30"/>
      <c r="M68" s="251"/>
      <c r="N68" s="321"/>
    </row>
    <row r="69" spans="1:15" s="232" customFormat="1" ht="21" x14ac:dyDescent="0.35">
      <c r="A69" s="31">
        <v>8</v>
      </c>
      <c r="B69" s="327" t="s">
        <v>58</v>
      </c>
      <c r="C69" s="31" t="s">
        <v>59</v>
      </c>
      <c r="D69" s="274" t="s">
        <v>511</v>
      </c>
      <c r="E69" s="345">
        <v>3200</v>
      </c>
      <c r="F69" s="57" t="s">
        <v>1262</v>
      </c>
      <c r="G69" s="329" t="s">
        <v>561</v>
      </c>
      <c r="H69" s="30"/>
      <c r="I69" s="30"/>
      <c r="J69" s="30"/>
      <c r="K69" s="30"/>
      <c r="L69" s="30"/>
      <c r="M69" s="251"/>
      <c r="N69" s="321"/>
    </row>
    <row r="70" spans="1:15" s="232" customFormat="1" ht="21" x14ac:dyDescent="0.35">
      <c r="A70" s="214"/>
      <c r="B70" s="327" t="s">
        <v>57</v>
      </c>
      <c r="C70" s="31"/>
      <c r="D70" s="274"/>
      <c r="E70" s="345"/>
      <c r="F70" s="251"/>
      <c r="G70" s="30"/>
      <c r="H70" s="30"/>
      <c r="I70" s="30"/>
      <c r="J70" s="30"/>
      <c r="K70" s="30"/>
      <c r="L70" s="30"/>
      <c r="M70" s="251"/>
      <c r="N70" s="321"/>
    </row>
    <row r="71" spans="1:15" s="232" customFormat="1" ht="21" x14ac:dyDescent="0.35">
      <c r="A71" s="31">
        <v>9</v>
      </c>
      <c r="B71" s="30" t="s">
        <v>60</v>
      </c>
      <c r="C71" s="31" t="s">
        <v>61</v>
      </c>
      <c r="D71" s="274" t="s">
        <v>517</v>
      </c>
      <c r="E71" s="275">
        <v>5700</v>
      </c>
      <c r="F71" s="251" t="s">
        <v>1266</v>
      </c>
      <c r="G71" s="329" t="s">
        <v>561</v>
      </c>
      <c r="H71" s="30"/>
      <c r="I71" s="30"/>
      <c r="J71" s="30"/>
      <c r="K71" s="30"/>
      <c r="L71" s="30"/>
      <c r="M71" s="251"/>
      <c r="N71" s="321"/>
      <c r="O71" s="571" t="e">
        <f>+#REF!+E54+E56+E61+E62+#REF!+E64+E65+E66+E67+E69+E71</f>
        <v>#REF!</v>
      </c>
    </row>
    <row r="72" spans="1:15" s="232" customFormat="1" ht="21" x14ac:dyDescent="0.35">
      <c r="A72" s="214">
        <v>10</v>
      </c>
      <c r="B72" s="30" t="s">
        <v>62</v>
      </c>
      <c r="C72" s="31" t="s">
        <v>63</v>
      </c>
      <c r="D72" s="274" t="s">
        <v>517</v>
      </c>
      <c r="E72" s="275">
        <v>5700</v>
      </c>
      <c r="F72" s="251" t="s">
        <v>674</v>
      </c>
      <c r="G72" s="229" t="s">
        <v>561</v>
      </c>
      <c r="H72" s="30"/>
      <c r="I72" s="30"/>
      <c r="J72" s="30"/>
      <c r="K72" s="30"/>
      <c r="L72" s="30"/>
      <c r="M72" s="251"/>
      <c r="N72" s="321"/>
    </row>
    <row r="73" spans="1:15" s="232" customFormat="1" ht="42" x14ac:dyDescent="0.35">
      <c r="A73" s="346">
        <v>11</v>
      </c>
      <c r="B73" s="378" t="s">
        <v>1100</v>
      </c>
      <c r="C73" s="379" t="s">
        <v>1101</v>
      </c>
      <c r="D73" s="380" t="s">
        <v>1082</v>
      </c>
      <c r="E73" s="376">
        <v>3900</v>
      </c>
      <c r="F73" s="381" t="s">
        <v>673</v>
      </c>
      <c r="G73" s="377" t="s">
        <v>561</v>
      </c>
      <c r="H73" s="38"/>
      <c r="I73" s="38"/>
      <c r="J73" s="38"/>
      <c r="K73" s="30"/>
      <c r="L73" s="30"/>
      <c r="M73" s="251"/>
      <c r="N73" s="357">
        <f>SUM(E69:E74)</f>
        <v>47390</v>
      </c>
    </row>
    <row r="74" spans="1:15" s="233" customFormat="1" ht="21" x14ac:dyDescent="0.35">
      <c r="A74" s="214">
        <v>12</v>
      </c>
      <c r="B74" s="383" t="s">
        <v>1174</v>
      </c>
      <c r="C74" s="384" t="s">
        <v>1175</v>
      </c>
      <c r="D74" s="385" t="s">
        <v>1176</v>
      </c>
      <c r="E74" s="386">
        <v>28890</v>
      </c>
      <c r="F74" s="387" t="s">
        <v>76</v>
      </c>
      <c r="G74" s="377" t="s">
        <v>561</v>
      </c>
      <c r="H74" s="281"/>
      <c r="I74" s="281"/>
      <c r="J74" s="281"/>
      <c r="K74" s="281"/>
      <c r="L74" s="281"/>
      <c r="M74" s="284"/>
      <c r="N74" s="685">
        <f>E75</f>
        <v>62890</v>
      </c>
      <c r="O74" s="232"/>
    </row>
    <row r="75" spans="1:15" s="232" customFormat="1" ht="21.75" thickBot="1" x14ac:dyDescent="0.4">
      <c r="A75" s="334"/>
      <c r="B75" s="335"/>
      <c r="C75" s="336"/>
      <c r="D75" s="358" t="s">
        <v>505</v>
      </c>
      <c r="E75" s="388">
        <f>SUM(E61:E74)</f>
        <v>62890</v>
      </c>
      <c r="F75" s="334"/>
      <c r="G75" s="339"/>
      <c r="H75" s="339"/>
      <c r="I75" s="340"/>
      <c r="J75" s="339"/>
      <c r="K75" s="340"/>
      <c r="L75" s="340"/>
      <c r="M75" s="336"/>
      <c r="N75" s="321"/>
    </row>
    <row r="76" spans="1:15" s="232" customFormat="1" ht="21.75" thickTop="1" x14ac:dyDescent="0.35">
      <c r="A76" s="261"/>
      <c r="B76" s="300" t="s">
        <v>514</v>
      </c>
      <c r="C76" s="261"/>
      <c r="D76" s="389"/>
      <c r="E76" s="261"/>
      <c r="F76" s="390"/>
      <c r="G76" s="262"/>
      <c r="H76" s="262"/>
      <c r="I76" s="262"/>
      <c r="J76" s="262"/>
      <c r="K76" s="262"/>
      <c r="L76" s="262"/>
      <c r="M76" s="390"/>
      <c r="N76" s="321"/>
    </row>
    <row r="77" spans="1:15" s="232" customFormat="1" ht="21" x14ac:dyDescent="0.35">
      <c r="A77" s="261">
        <v>1</v>
      </c>
      <c r="B77" s="262" t="s">
        <v>1341</v>
      </c>
      <c r="C77" s="261" t="s">
        <v>1342</v>
      </c>
      <c r="D77" s="291" t="s">
        <v>1345</v>
      </c>
      <c r="E77" s="782">
        <v>10000</v>
      </c>
      <c r="F77" s="390" t="s">
        <v>673</v>
      </c>
      <c r="G77" s="252"/>
      <c r="H77" s="262"/>
      <c r="I77" s="262"/>
      <c r="J77" s="262"/>
      <c r="K77" s="262"/>
      <c r="L77" s="262"/>
      <c r="M77" s="390"/>
      <c r="N77" s="321"/>
    </row>
    <row r="78" spans="1:15" s="232" customFormat="1" ht="21" x14ac:dyDescent="0.35">
      <c r="A78" s="261">
        <v>2</v>
      </c>
      <c r="B78" s="262" t="s">
        <v>1343</v>
      </c>
      <c r="C78" s="261" t="s">
        <v>1344</v>
      </c>
      <c r="D78" s="215" t="s">
        <v>1346</v>
      </c>
      <c r="E78" s="782">
        <v>30000</v>
      </c>
      <c r="F78" s="390" t="s">
        <v>673</v>
      </c>
      <c r="G78" s="252"/>
      <c r="H78" s="262"/>
      <c r="I78" s="262"/>
      <c r="J78" s="262"/>
      <c r="K78" s="262"/>
      <c r="L78" s="262"/>
      <c r="M78" s="390"/>
      <c r="N78" s="321"/>
    </row>
    <row r="79" spans="1:15" s="232" customFormat="1" ht="21" x14ac:dyDescent="0.35">
      <c r="A79" s="261">
        <v>3</v>
      </c>
      <c r="B79" s="262" t="s">
        <v>75</v>
      </c>
      <c r="C79" s="261" t="s">
        <v>77</v>
      </c>
      <c r="D79" s="291" t="s">
        <v>526</v>
      </c>
      <c r="E79" s="391">
        <v>27000</v>
      </c>
      <c r="F79" s="390" t="s">
        <v>673</v>
      </c>
      <c r="G79" s="221" t="s">
        <v>561</v>
      </c>
      <c r="H79" s="262"/>
      <c r="I79" s="262"/>
      <c r="J79" s="262"/>
      <c r="K79" s="262"/>
      <c r="L79" s="262"/>
      <c r="M79" s="390"/>
      <c r="N79" s="321"/>
    </row>
    <row r="80" spans="1:15" s="232" customFormat="1" ht="21" x14ac:dyDescent="0.35">
      <c r="A80" s="214"/>
      <c r="B80" s="230" t="s">
        <v>78</v>
      </c>
      <c r="C80" s="214"/>
      <c r="D80" s="392"/>
      <c r="E80" s="393"/>
      <c r="F80" s="253"/>
      <c r="G80" s="230"/>
      <c r="H80" s="230"/>
      <c r="I80" s="230"/>
      <c r="J80" s="230"/>
      <c r="K80" s="230"/>
      <c r="L80" s="230"/>
      <c r="M80" s="253"/>
      <c r="N80" s="341"/>
    </row>
    <row r="81" spans="1:15" s="232" customFormat="1" ht="21" x14ac:dyDescent="0.35">
      <c r="A81" s="276">
        <v>4</v>
      </c>
      <c r="B81" s="262" t="s">
        <v>75</v>
      </c>
      <c r="C81" s="37" t="s">
        <v>1061</v>
      </c>
      <c r="D81" s="215" t="s">
        <v>1076</v>
      </c>
      <c r="E81" s="275">
        <v>49600</v>
      </c>
      <c r="F81" s="253" t="s">
        <v>1129</v>
      </c>
      <c r="G81" s="229" t="s">
        <v>561</v>
      </c>
      <c r="H81" s="394"/>
      <c r="I81" s="52"/>
      <c r="J81" s="394"/>
      <c r="K81" s="52"/>
      <c r="L81" s="52"/>
      <c r="M81" s="394"/>
      <c r="N81" s="341"/>
    </row>
    <row r="82" spans="1:15" s="232" customFormat="1" ht="21" x14ac:dyDescent="0.35">
      <c r="A82" s="276"/>
      <c r="B82" s="230" t="s">
        <v>1073</v>
      </c>
      <c r="C82" s="37"/>
      <c r="D82" s="36"/>
      <c r="E82" s="37"/>
      <c r="F82" s="57"/>
      <c r="G82" s="38"/>
      <c r="H82" s="394"/>
      <c r="I82" s="52"/>
      <c r="J82" s="394"/>
      <c r="K82" s="52"/>
      <c r="L82" s="52"/>
      <c r="M82" s="394"/>
      <c r="N82" s="341"/>
    </row>
    <row r="83" spans="1:15" s="232" customFormat="1" ht="21" x14ac:dyDescent="0.35">
      <c r="A83" s="276">
        <v>5</v>
      </c>
      <c r="B83" s="262" t="s">
        <v>75</v>
      </c>
      <c r="C83" s="37" t="s">
        <v>1062</v>
      </c>
      <c r="D83" s="215" t="s">
        <v>1076</v>
      </c>
      <c r="E83" s="275">
        <v>49600</v>
      </c>
      <c r="F83" s="253" t="s">
        <v>76</v>
      </c>
      <c r="G83" s="229" t="s">
        <v>561</v>
      </c>
      <c r="H83" s="394"/>
      <c r="I83" s="52"/>
      <c r="J83" s="394"/>
      <c r="K83" s="52"/>
      <c r="L83" s="52"/>
      <c r="M83" s="394"/>
      <c r="N83" s="341"/>
      <c r="O83" s="570" t="e">
        <f>+E72+#REF!+#REF!+E73+E74+#REF!+#REF!+E79+#REF!+E81+E83</f>
        <v>#REF!</v>
      </c>
    </row>
    <row r="84" spans="1:15" s="232" customFormat="1" ht="21" x14ac:dyDescent="0.35">
      <c r="A84" s="276"/>
      <c r="B84" s="230" t="s">
        <v>1073</v>
      </c>
      <c r="C84" s="37"/>
      <c r="D84" s="36"/>
      <c r="E84" s="37"/>
      <c r="F84" s="57"/>
      <c r="G84" s="38"/>
      <c r="H84" s="394"/>
      <c r="I84" s="52"/>
      <c r="J84" s="394"/>
      <c r="K84" s="52"/>
      <c r="L84" s="52"/>
      <c r="M84" s="394"/>
      <c r="N84" s="341"/>
    </row>
    <row r="85" spans="1:15" s="232" customFormat="1" ht="21" x14ac:dyDescent="0.35">
      <c r="A85" s="276">
        <v>6</v>
      </c>
      <c r="B85" s="262" t="s">
        <v>75</v>
      </c>
      <c r="C85" s="37" t="s">
        <v>1058</v>
      </c>
      <c r="D85" s="274" t="s">
        <v>1056</v>
      </c>
      <c r="E85" s="275">
        <v>35420</v>
      </c>
      <c r="F85" s="253" t="s">
        <v>1063</v>
      </c>
      <c r="G85" s="229" t="s">
        <v>561</v>
      </c>
      <c r="H85" s="394"/>
      <c r="I85" s="52"/>
      <c r="J85" s="394"/>
      <c r="K85" s="52"/>
      <c r="L85" s="52"/>
      <c r="M85" s="394"/>
      <c r="N85" s="341"/>
    </row>
    <row r="86" spans="1:15" s="232" customFormat="1" ht="21" x14ac:dyDescent="0.35">
      <c r="A86" s="276"/>
      <c r="B86" s="230" t="s">
        <v>1060</v>
      </c>
      <c r="C86" s="37"/>
      <c r="D86" s="36"/>
      <c r="E86" s="37"/>
      <c r="F86" s="57"/>
      <c r="G86" s="38"/>
      <c r="H86" s="394"/>
      <c r="I86" s="52"/>
      <c r="J86" s="394"/>
      <c r="K86" s="52"/>
      <c r="L86" s="52"/>
      <c r="M86" s="394"/>
      <c r="N86" s="341"/>
    </row>
    <row r="87" spans="1:15" s="232" customFormat="1" ht="21" x14ac:dyDescent="0.35">
      <c r="A87" s="276">
        <v>7</v>
      </c>
      <c r="B87" s="262" t="s">
        <v>75</v>
      </c>
      <c r="C87" s="37" t="s">
        <v>1059</v>
      </c>
      <c r="D87" s="274" t="s">
        <v>1056</v>
      </c>
      <c r="E87" s="275">
        <v>35420</v>
      </c>
      <c r="F87" s="253" t="s">
        <v>1063</v>
      </c>
      <c r="G87" s="229" t="s">
        <v>561</v>
      </c>
      <c r="H87" s="394"/>
      <c r="I87" s="52"/>
      <c r="J87" s="394"/>
      <c r="K87" s="52"/>
      <c r="L87" s="52"/>
      <c r="M87" s="394"/>
      <c r="N87" s="341"/>
    </row>
    <row r="88" spans="1:15" s="232" customFormat="1" ht="21" x14ac:dyDescent="0.35">
      <c r="A88" s="276"/>
      <c r="B88" s="230" t="s">
        <v>1060</v>
      </c>
      <c r="C88" s="37"/>
      <c r="D88" s="36"/>
      <c r="E88" s="37"/>
      <c r="F88" s="57"/>
      <c r="G88" s="38"/>
      <c r="H88" s="394"/>
      <c r="I88" s="52"/>
      <c r="J88" s="394"/>
      <c r="K88" s="52"/>
      <c r="L88" s="52"/>
      <c r="M88" s="394"/>
      <c r="N88" s="341"/>
    </row>
    <row r="89" spans="1:15" s="232" customFormat="1" ht="21" x14ac:dyDescent="0.35">
      <c r="A89" s="276">
        <v>8</v>
      </c>
      <c r="B89" s="262" t="s">
        <v>75</v>
      </c>
      <c r="C89" s="31" t="s">
        <v>1133</v>
      </c>
      <c r="D89" s="274" t="s">
        <v>1057</v>
      </c>
      <c r="E89" s="275">
        <v>37300</v>
      </c>
      <c r="F89" s="253" t="s">
        <v>673</v>
      </c>
      <c r="G89" s="329" t="s">
        <v>561</v>
      </c>
      <c r="H89" s="394"/>
      <c r="I89" s="52"/>
      <c r="J89" s="394"/>
      <c r="K89" s="52"/>
      <c r="L89" s="52"/>
      <c r="M89" s="394"/>
      <c r="N89" s="341"/>
    </row>
    <row r="90" spans="1:15" s="232" customFormat="1" ht="21" x14ac:dyDescent="0.35">
      <c r="A90" s="276"/>
      <c r="B90" s="230" t="s">
        <v>1075</v>
      </c>
      <c r="C90" s="31"/>
      <c r="D90" s="274"/>
      <c r="E90" s="275"/>
      <c r="F90" s="251"/>
      <c r="G90" s="229"/>
      <c r="H90" s="394"/>
      <c r="I90" s="52"/>
      <c r="J90" s="394"/>
      <c r="K90" s="52"/>
      <c r="L90" s="52"/>
      <c r="M90" s="394"/>
      <c r="N90" s="341"/>
    </row>
    <row r="91" spans="1:15" s="232" customFormat="1" ht="21" x14ac:dyDescent="0.35">
      <c r="A91" s="276">
        <v>9</v>
      </c>
      <c r="B91" s="262" t="s">
        <v>1185</v>
      </c>
      <c r="C91" s="31" t="s">
        <v>1186</v>
      </c>
      <c r="D91" s="274" t="s">
        <v>1187</v>
      </c>
      <c r="E91" s="275">
        <v>32200</v>
      </c>
      <c r="F91" s="253" t="s">
        <v>673</v>
      </c>
      <c r="G91" s="329" t="s">
        <v>561</v>
      </c>
      <c r="H91" s="394"/>
      <c r="I91" s="52"/>
      <c r="J91" s="394"/>
      <c r="K91" s="52"/>
      <c r="L91" s="52"/>
      <c r="M91" s="394"/>
      <c r="N91" s="341">
        <f>SUM(E79:E92)</f>
        <v>266540</v>
      </c>
    </row>
    <row r="92" spans="1:15" s="232" customFormat="1" ht="21" x14ac:dyDescent="0.35">
      <c r="A92" s="276"/>
      <c r="B92" s="230" t="s">
        <v>1184</v>
      </c>
      <c r="C92" s="31"/>
      <c r="D92" s="274"/>
      <c r="E92" s="275"/>
      <c r="F92" s="251"/>
      <c r="G92" s="229"/>
      <c r="H92" s="394"/>
      <c r="I92" s="52"/>
      <c r="J92" s="394"/>
      <c r="K92" s="52"/>
      <c r="L92" s="52"/>
      <c r="M92" s="394"/>
      <c r="N92" s="341"/>
    </row>
    <row r="93" spans="1:15" s="232" customFormat="1" ht="21" x14ac:dyDescent="0.35">
      <c r="A93" s="276">
        <v>10</v>
      </c>
      <c r="B93" s="262" t="s">
        <v>1185</v>
      </c>
      <c r="C93" s="31" t="s">
        <v>1188</v>
      </c>
      <c r="D93" s="274" t="s">
        <v>1187</v>
      </c>
      <c r="E93" s="275">
        <v>32200</v>
      </c>
      <c r="F93" s="253" t="s">
        <v>673</v>
      </c>
      <c r="G93" s="329" t="s">
        <v>561</v>
      </c>
      <c r="H93" s="394"/>
      <c r="I93" s="52"/>
      <c r="J93" s="394"/>
      <c r="K93" s="52"/>
      <c r="L93" s="52"/>
      <c r="M93" s="394"/>
      <c r="N93" s="341"/>
    </row>
    <row r="94" spans="1:15" s="232" customFormat="1" ht="21" x14ac:dyDescent="0.35">
      <c r="A94" s="276"/>
      <c r="B94" s="230" t="s">
        <v>1184</v>
      </c>
      <c r="C94" s="31"/>
      <c r="D94" s="274"/>
      <c r="E94" s="275"/>
      <c r="F94" s="251"/>
      <c r="G94" s="229"/>
      <c r="H94" s="395"/>
      <c r="I94" s="396"/>
      <c r="J94" s="395"/>
      <c r="K94" s="396"/>
      <c r="L94" s="396"/>
      <c r="M94" s="395"/>
      <c r="N94" s="685">
        <f>E95</f>
        <v>338740</v>
      </c>
    </row>
    <row r="95" spans="1:15" s="232" customFormat="1" ht="21.75" thickBot="1" x14ac:dyDescent="0.4">
      <c r="A95" s="334"/>
      <c r="B95" s="335"/>
      <c r="C95" s="336"/>
      <c r="D95" s="337" t="s">
        <v>505</v>
      </c>
      <c r="E95" s="338">
        <f>SUM(E77:E94)</f>
        <v>338740</v>
      </c>
      <c r="F95" s="334"/>
      <c r="G95" s="339"/>
      <c r="H95" s="339"/>
      <c r="I95" s="340"/>
      <c r="J95" s="339"/>
      <c r="K95" s="340"/>
      <c r="L95" s="340"/>
      <c r="M95" s="336"/>
      <c r="N95" s="341"/>
    </row>
    <row r="96" spans="1:15" s="232" customFormat="1" ht="21.75" thickTop="1" x14ac:dyDescent="0.35">
      <c r="A96" s="397"/>
      <c r="B96" s="398" t="s">
        <v>1154</v>
      </c>
      <c r="C96" s="399"/>
      <c r="D96" s="400"/>
      <c r="E96" s="401"/>
      <c r="F96" s="402"/>
      <c r="G96" s="399"/>
      <c r="H96" s="399"/>
      <c r="I96" s="50"/>
      <c r="J96" s="399"/>
      <c r="K96" s="50"/>
      <c r="L96" s="50"/>
      <c r="M96" s="399"/>
      <c r="N96" s="341"/>
    </row>
    <row r="97" spans="1:15" s="232" customFormat="1" ht="21" x14ac:dyDescent="0.35">
      <c r="A97" s="297">
        <v>1</v>
      </c>
      <c r="B97" s="403" t="s">
        <v>1158</v>
      </c>
      <c r="C97" s="276" t="s">
        <v>1155</v>
      </c>
      <c r="D97" s="215" t="s">
        <v>1156</v>
      </c>
      <c r="E97" s="404">
        <v>367800</v>
      </c>
      <c r="F97" s="405" t="s">
        <v>76</v>
      </c>
      <c r="G97" s="221" t="s">
        <v>561</v>
      </c>
      <c r="H97" s="276"/>
      <c r="I97" s="31"/>
      <c r="J97" s="276"/>
      <c r="K97" s="31"/>
      <c r="L97" s="31"/>
      <c r="M97" s="276"/>
      <c r="N97" s="341"/>
    </row>
    <row r="98" spans="1:15" s="232" customFormat="1" ht="21" x14ac:dyDescent="0.35">
      <c r="A98" s="297"/>
      <c r="B98" s="403" t="s">
        <v>1225</v>
      </c>
      <c r="C98" s="276"/>
      <c r="D98" s="406"/>
      <c r="E98" s="404"/>
      <c r="F98" s="407"/>
      <c r="G98" s="276"/>
      <c r="H98" s="276"/>
      <c r="I98" s="31"/>
      <c r="J98" s="276"/>
      <c r="K98" s="31"/>
      <c r="L98" s="31"/>
      <c r="M98" s="276"/>
      <c r="N98" s="341"/>
    </row>
    <row r="99" spans="1:15" s="232" customFormat="1" ht="21" x14ac:dyDescent="0.35">
      <c r="A99" s="297"/>
      <c r="B99" s="403" t="s">
        <v>1157</v>
      </c>
      <c r="C99" s="276"/>
      <c r="D99" s="406"/>
      <c r="E99" s="404"/>
      <c r="F99" s="407"/>
      <c r="G99" s="276"/>
      <c r="H99" s="276"/>
      <c r="I99" s="31"/>
      <c r="J99" s="276"/>
      <c r="K99" s="31"/>
      <c r="L99" s="31"/>
      <c r="M99" s="276"/>
      <c r="N99" s="341"/>
    </row>
    <row r="100" spans="1:15" s="232" customFormat="1" ht="21" x14ac:dyDescent="0.35">
      <c r="A100" s="297"/>
      <c r="B100" s="403" t="s">
        <v>1159</v>
      </c>
      <c r="C100" s="276"/>
      <c r="D100" s="406"/>
      <c r="E100" s="404"/>
      <c r="F100" s="407"/>
      <c r="G100" s="276"/>
      <c r="H100" s="276"/>
      <c r="I100" s="31"/>
      <c r="J100" s="276"/>
      <c r="K100" s="31"/>
      <c r="L100" s="31"/>
      <c r="M100" s="276"/>
      <c r="N100" s="341"/>
    </row>
    <row r="101" spans="1:15" s="232" customFormat="1" ht="21" x14ac:dyDescent="0.35">
      <c r="A101" s="297"/>
      <c r="B101" s="403" t="s">
        <v>1160</v>
      </c>
      <c r="C101" s="276"/>
      <c r="D101" s="406"/>
      <c r="E101" s="404"/>
      <c r="F101" s="407"/>
      <c r="G101" s="276"/>
      <c r="H101" s="276"/>
      <c r="I101" s="31"/>
      <c r="J101" s="276"/>
      <c r="K101" s="31"/>
      <c r="L101" s="31"/>
      <c r="M101" s="276"/>
      <c r="N101" s="341"/>
    </row>
    <row r="102" spans="1:15" s="232" customFormat="1" ht="21" x14ac:dyDescent="0.35">
      <c r="A102" s="382"/>
      <c r="B102" s="408" t="s">
        <v>1161</v>
      </c>
      <c r="C102" s="409"/>
      <c r="D102" s="406"/>
      <c r="E102" s="404"/>
      <c r="F102" s="407"/>
      <c r="G102" s="409"/>
      <c r="H102" s="409"/>
      <c r="I102" s="361"/>
      <c r="J102" s="409"/>
      <c r="K102" s="361"/>
      <c r="L102" s="361"/>
      <c r="M102" s="409"/>
      <c r="N102" s="685">
        <f>E103</f>
        <v>367800</v>
      </c>
    </row>
    <row r="103" spans="1:15" s="232" customFormat="1" ht="21.75" thickBot="1" x14ac:dyDescent="0.4">
      <c r="A103" s="334"/>
      <c r="B103" s="335"/>
      <c r="C103" s="336"/>
      <c r="D103" s="337" t="s">
        <v>505</v>
      </c>
      <c r="E103" s="338">
        <f>SUM(E97:E102)</f>
        <v>367800</v>
      </c>
      <c r="F103" s="334"/>
      <c r="G103" s="339"/>
      <c r="H103" s="339"/>
      <c r="I103" s="340"/>
      <c r="J103" s="339"/>
      <c r="K103" s="340"/>
      <c r="L103" s="340"/>
      <c r="M103" s="336"/>
      <c r="N103" s="341"/>
    </row>
    <row r="104" spans="1:15" s="232" customFormat="1" ht="21.75" thickTop="1" x14ac:dyDescent="0.35">
      <c r="A104" s="31"/>
      <c r="B104" s="35" t="s">
        <v>1166</v>
      </c>
      <c r="C104" s="31"/>
      <c r="D104" s="34"/>
      <c r="E104" s="31"/>
      <c r="F104" s="251"/>
      <c r="G104" s="30"/>
      <c r="H104" s="30"/>
      <c r="I104" s="30"/>
      <c r="J104" s="30"/>
      <c r="K104" s="30"/>
      <c r="L104" s="30"/>
      <c r="M104" s="251"/>
      <c r="N104" s="341"/>
    </row>
    <row r="105" spans="1:15" s="232" customFormat="1" ht="21" x14ac:dyDescent="0.35">
      <c r="A105" s="214">
        <v>1</v>
      </c>
      <c r="B105" s="230" t="s">
        <v>1169</v>
      </c>
      <c r="C105" s="212" t="s">
        <v>1165</v>
      </c>
      <c r="D105" s="215" t="s">
        <v>1292</v>
      </c>
      <c r="E105" s="410">
        <v>19260</v>
      </c>
      <c r="F105" s="54" t="s">
        <v>1353</v>
      </c>
      <c r="G105" s="221" t="s">
        <v>561</v>
      </c>
      <c r="H105" s="230"/>
      <c r="I105" s="292"/>
      <c r="J105" s="292"/>
      <c r="K105" s="292"/>
      <c r="L105" s="292"/>
      <c r="M105" s="411"/>
      <c r="N105" s="341" t="s">
        <v>1354</v>
      </c>
      <c r="O105" s="570">
        <f>+E85+E87+E89+E91+E93+E97+E105</f>
        <v>559600</v>
      </c>
    </row>
    <row r="106" spans="1:15" s="232" customFormat="1" ht="21" x14ac:dyDescent="0.35">
      <c r="A106" s="214"/>
      <c r="B106" s="230" t="s">
        <v>1167</v>
      </c>
      <c r="C106" s="212"/>
      <c r="D106" s="410"/>
      <c r="E106" s="212"/>
      <c r="F106" s="253"/>
      <c r="G106" s="230"/>
      <c r="H106" s="230"/>
      <c r="I106" s="292"/>
      <c r="J106" s="292"/>
      <c r="K106" s="292"/>
      <c r="L106" s="292"/>
      <c r="M106" s="293"/>
      <c r="N106" s="341"/>
    </row>
    <row r="107" spans="1:15" s="232" customFormat="1" ht="21" x14ac:dyDescent="0.35">
      <c r="A107" s="214">
        <v>2</v>
      </c>
      <c r="B107" s="252" t="s">
        <v>1170</v>
      </c>
      <c r="C107" s="212" t="s">
        <v>1172</v>
      </c>
      <c r="D107" s="291" t="s">
        <v>1292</v>
      </c>
      <c r="E107" s="412">
        <v>2140</v>
      </c>
      <c r="F107" s="54" t="s">
        <v>673</v>
      </c>
      <c r="G107" s="221" t="s">
        <v>561</v>
      </c>
      <c r="H107" s="230"/>
      <c r="I107" s="292"/>
      <c r="J107" s="292"/>
      <c r="K107" s="292"/>
      <c r="L107" s="292"/>
      <c r="M107" s="293"/>
      <c r="N107" s="341"/>
    </row>
    <row r="108" spans="1:15" s="232" customFormat="1" ht="21" x14ac:dyDescent="0.35">
      <c r="A108" s="214"/>
      <c r="B108" s="230" t="s">
        <v>1171</v>
      </c>
      <c r="C108" s="212"/>
      <c r="D108" s="291"/>
      <c r="E108" s="412"/>
      <c r="F108" s="253"/>
      <c r="G108" s="230"/>
      <c r="H108" s="230"/>
      <c r="I108" s="292"/>
      <c r="J108" s="292"/>
      <c r="K108" s="292"/>
      <c r="L108" s="292"/>
      <c r="M108" s="293"/>
      <c r="N108" s="341"/>
    </row>
    <row r="109" spans="1:15" s="232" customFormat="1" ht="21" x14ac:dyDescent="0.35">
      <c r="A109" s="214">
        <v>3</v>
      </c>
      <c r="B109" s="230" t="s">
        <v>1170</v>
      </c>
      <c r="C109" s="212" t="s">
        <v>1173</v>
      </c>
      <c r="D109" s="215" t="s">
        <v>1292</v>
      </c>
      <c r="E109" s="412">
        <v>2140</v>
      </c>
      <c r="F109" s="54" t="s">
        <v>673</v>
      </c>
      <c r="G109" s="219" t="s">
        <v>561</v>
      </c>
      <c r="H109" s="230"/>
      <c r="I109" s="292"/>
      <c r="J109" s="292"/>
      <c r="K109" s="292"/>
      <c r="L109" s="292"/>
      <c r="M109" s="293"/>
      <c r="N109" s="341"/>
    </row>
    <row r="110" spans="1:15" s="232" customFormat="1" ht="21" x14ac:dyDescent="0.35">
      <c r="A110" s="214"/>
      <c r="B110" s="256" t="s">
        <v>1171</v>
      </c>
      <c r="C110" s="417"/>
      <c r="D110" s="764"/>
      <c r="E110" s="413"/>
      <c r="F110" s="772"/>
      <c r="G110" s="256"/>
      <c r="H110" s="256"/>
      <c r="I110" s="773"/>
      <c r="J110" s="773"/>
      <c r="K110" s="773"/>
      <c r="L110" s="773"/>
      <c r="M110" s="774"/>
      <c r="N110" s="341"/>
    </row>
    <row r="111" spans="1:15" s="232" customFormat="1" ht="21" x14ac:dyDescent="0.35">
      <c r="A111" s="763">
        <v>4</v>
      </c>
      <c r="B111" s="256" t="s">
        <v>1289</v>
      </c>
      <c r="C111" s="417" t="s">
        <v>1290</v>
      </c>
      <c r="D111" s="392" t="s">
        <v>1291</v>
      </c>
      <c r="E111" s="864">
        <v>33900</v>
      </c>
      <c r="F111" s="772" t="s">
        <v>1293</v>
      </c>
      <c r="G111" s="222" t="s">
        <v>561</v>
      </c>
      <c r="H111" s="256"/>
      <c r="I111" s="773"/>
      <c r="J111" s="773"/>
      <c r="K111" s="773"/>
      <c r="L111" s="773"/>
      <c r="M111" s="774"/>
      <c r="N111" s="341"/>
    </row>
    <row r="112" spans="1:15" s="233" customFormat="1" ht="21" x14ac:dyDescent="0.35">
      <c r="A112" s="811"/>
      <c r="B112" s="812"/>
      <c r="C112" s="784"/>
      <c r="D112" s="414" t="s">
        <v>505</v>
      </c>
      <c r="E112" s="415">
        <f>SUM(E105:E111)</f>
        <v>57440</v>
      </c>
      <c r="F112" s="784"/>
      <c r="G112" s="784"/>
      <c r="H112" s="784"/>
      <c r="I112" s="29"/>
      <c r="J112" s="784"/>
      <c r="K112" s="29"/>
      <c r="L112" s="29"/>
      <c r="M112" s="784"/>
      <c r="N112" s="685">
        <f>+E112</f>
        <v>57440</v>
      </c>
      <c r="O112" s="232"/>
    </row>
    <row r="113" spans="1:15" s="233" customFormat="1" ht="21" x14ac:dyDescent="0.35">
      <c r="A113" s="869"/>
      <c r="B113" s="870" t="s">
        <v>515</v>
      </c>
      <c r="C113" s="869"/>
      <c r="D113" s="871"/>
      <c r="E113" s="869"/>
      <c r="F113" s="872"/>
      <c r="G113" s="726"/>
      <c r="H113" s="726"/>
      <c r="I113" s="726"/>
      <c r="J113" s="726"/>
      <c r="K113" s="726"/>
      <c r="L113" s="726"/>
      <c r="M113" s="872"/>
    </row>
    <row r="114" spans="1:15" s="232" customFormat="1" ht="21" x14ac:dyDescent="0.35">
      <c r="A114" s="261">
        <v>1</v>
      </c>
      <c r="B114" s="262" t="s">
        <v>785</v>
      </c>
      <c r="C114" s="290" t="s">
        <v>783</v>
      </c>
      <c r="D114" s="865" t="s">
        <v>784</v>
      </c>
      <c r="E114" s="866">
        <v>9450</v>
      </c>
      <c r="F114" s="867" t="s">
        <v>1270</v>
      </c>
      <c r="G114" s="221" t="s">
        <v>561</v>
      </c>
      <c r="H114" s="262"/>
      <c r="I114" s="318"/>
      <c r="J114" s="318"/>
      <c r="K114" s="318"/>
      <c r="L114" s="318"/>
      <c r="M114" s="868"/>
      <c r="N114" s="233"/>
      <c r="O114" s="233"/>
    </row>
    <row r="115" spans="1:15" s="232" customFormat="1" ht="19.5" customHeight="1" x14ac:dyDescent="0.35">
      <c r="A115" s="214"/>
      <c r="B115" s="230" t="s">
        <v>1168</v>
      </c>
      <c r="C115" s="212"/>
      <c r="D115" s="416"/>
      <c r="E115" s="417"/>
      <c r="F115" s="253"/>
      <c r="G115" s="230"/>
      <c r="H115" s="230"/>
      <c r="I115" s="292"/>
      <c r="J115" s="292"/>
      <c r="K115" s="292"/>
      <c r="L115" s="292"/>
      <c r="M115" s="293"/>
      <c r="N115" s="685">
        <f>E116</f>
        <v>9450</v>
      </c>
    </row>
    <row r="116" spans="1:15" s="232" customFormat="1" ht="21.75" thickBot="1" x14ac:dyDescent="0.4">
      <c r="A116" s="334"/>
      <c r="B116" s="335"/>
      <c r="C116" s="336"/>
      <c r="D116" s="337" t="s">
        <v>505</v>
      </c>
      <c r="E116" s="338">
        <f>SUM(E114:E114)</f>
        <v>9450</v>
      </c>
      <c r="F116" s="334"/>
      <c r="G116" s="339"/>
      <c r="H116" s="339"/>
      <c r="I116" s="340"/>
      <c r="J116" s="339"/>
      <c r="K116" s="340"/>
      <c r="L116" s="340"/>
      <c r="M116" s="336"/>
      <c r="N116" s="321"/>
    </row>
    <row r="117" spans="1:15" s="232" customFormat="1" ht="21.75" thickTop="1" x14ac:dyDescent="0.35">
      <c r="A117" s="31"/>
      <c r="B117" s="35" t="s">
        <v>1095</v>
      </c>
      <c r="C117" s="31"/>
      <c r="D117" s="34"/>
      <c r="E117" s="31"/>
      <c r="F117" s="251"/>
      <c r="G117" s="30"/>
      <c r="H117" s="30"/>
      <c r="I117" s="30"/>
      <c r="J117" s="30"/>
      <c r="K117" s="30"/>
      <c r="L117" s="30"/>
      <c r="M117" s="251"/>
      <c r="N117" s="321"/>
    </row>
    <row r="118" spans="1:15" s="232" customFormat="1" ht="21" x14ac:dyDescent="0.35">
      <c r="A118" s="31">
        <v>1</v>
      </c>
      <c r="B118" s="30" t="s">
        <v>1098</v>
      </c>
      <c r="C118" s="31" t="s">
        <v>1096</v>
      </c>
      <c r="D118" s="274" t="s">
        <v>1082</v>
      </c>
      <c r="E118" s="418">
        <v>25000</v>
      </c>
      <c r="F118" s="251" t="s">
        <v>1097</v>
      </c>
      <c r="G118" s="229" t="s">
        <v>561</v>
      </c>
      <c r="H118" s="30"/>
      <c r="I118" s="30"/>
      <c r="J118" s="30"/>
      <c r="K118" s="30"/>
      <c r="L118" s="30"/>
      <c r="M118" s="251"/>
      <c r="N118" s="321"/>
    </row>
    <row r="119" spans="1:15" s="232" customFormat="1" ht="21" x14ac:dyDescent="0.35">
      <c r="A119" s="276"/>
      <c r="B119" s="251" t="s">
        <v>1099</v>
      </c>
      <c r="C119" s="31"/>
      <c r="D119" s="274"/>
      <c r="E119" s="418"/>
      <c r="F119" s="251"/>
      <c r="G119" s="329"/>
      <c r="H119" s="30"/>
      <c r="I119" s="30"/>
      <c r="J119" s="30"/>
      <c r="K119" s="30"/>
      <c r="L119" s="30"/>
      <c r="M119" s="251"/>
      <c r="N119" s="685">
        <f>E118</f>
        <v>25000</v>
      </c>
    </row>
    <row r="120" spans="1:15" s="232" customFormat="1" ht="21" x14ac:dyDescent="0.35">
      <c r="A120" s="334"/>
      <c r="B120" s="335"/>
      <c r="C120" s="336"/>
      <c r="D120" s="414" t="s">
        <v>505</v>
      </c>
      <c r="E120" s="415">
        <v>25000</v>
      </c>
      <c r="F120" s="334"/>
      <c r="G120" s="339"/>
      <c r="H120" s="339"/>
      <c r="I120" s="340"/>
      <c r="J120" s="339"/>
      <c r="K120" s="340"/>
      <c r="L120" s="340"/>
      <c r="M120" s="336"/>
      <c r="N120" s="684">
        <f>+N25+N47+N51+N57+N74+N94+N102+N112+N115+N123+N119</f>
        <v>1012151</v>
      </c>
      <c r="O120" s="571">
        <f>+E107+E109+E114+E122+E123+E118</f>
        <v>40990</v>
      </c>
    </row>
    <row r="121" spans="1:15" s="232" customFormat="1" ht="21" x14ac:dyDescent="0.35">
      <c r="A121" s="37"/>
      <c r="B121" s="342" t="s">
        <v>516</v>
      </c>
      <c r="C121" s="37"/>
      <c r="D121" s="36"/>
      <c r="E121" s="37"/>
      <c r="F121" s="57"/>
      <c r="G121" s="38"/>
      <c r="H121" s="38"/>
      <c r="I121" s="38"/>
      <c r="J121" s="38"/>
      <c r="K121" s="38"/>
      <c r="L121" s="38"/>
      <c r="M121" s="57"/>
      <c r="N121" s="321"/>
    </row>
    <row r="122" spans="1:15" s="232" customFormat="1" ht="21" x14ac:dyDescent="0.35">
      <c r="A122" s="31">
        <v>1</v>
      </c>
      <c r="B122" s="30" t="s">
        <v>79</v>
      </c>
      <c r="C122" s="31" t="s">
        <v>80</v>
      </c>
      <c r="D122" s="274" t="s">
        <v>517</v>
      </c>
      <c r="E122" s="306">
        <v>1130</v>
      </c>
      <c r="F122" s="251" t="s">
        <v>76</v>
      </c>
      <c r="G122" s="329"/>
      <c r="H122" s="30"/>
      <c r="I122" s="221" t="s">
        <v>561</v>
      </c>
      <c r="J122" s="30"/>
      <c r="K122" s="30"/>
      <c r="L122" s="30"/>
      <c r="M122" s="251"/>
      <c r="N122" s="321"/>
    </row>
    <row r="123" spans="1:15" s="232" customFormat="1" ht="21" x14ac:dyDescent="0.35">
      <c r="A123" s="31">
        <v>2</v>
      </c>
      <c r="B123" s="30" t="s">
        <v>79</v>
      </c>
      <c r="C123" s="31" t="s">
        <v>81</v>
      </c>
      <c r="D123" s="277" t="s">
        <v>517</v>
      </c>
      <c r="E123" s="307">
        <v>1130</v>
      </c>
      <c r="F123" s="251" t="s">
        <v>1129</v>
      </c>
      <c r="G123" s="229"/>
      <c r="H123" s="30"/>
      <c r="I123" s="221" t="s">
        <v>561</v>
      </c>
      <c r="J123" s="30"/>
      <c r="K123" s="30"/>
      <c r="L123" s="30"/>
      <c r="M123" s="251"/>
      <c r="N123" s="685">
        <f>E133</f>
        <v>11911</v>
      </c>
    </row>
    <row r="124" spans="1:15" s="698" customFormat="1" ht="21" x14ac:dyDescent="0.35">
      <c r="A124" s="630">
        <v>3</v>
      </c>
      <c r="B124" s="631" t="s">
        <v>1230</v>
      </c>
      <c r="C124" s="630" t="s">
        <v>1231</v>
      </c>
      <c r="D124" s="699" t="s">
        <v>1240</v>
      </c>
      <c r="E124" s="713">
        <v>1072.33</v>
      </c>
      <c r="F124" s="634" t="s">
        <v>1201</v>
      </c>
      <c r="G124" s="222" t="s">
        <v>561</v>
      </c>
      <c r="H124" s="631"/>
      <c r="I124" s="631"/>
      <c r="J124" s="631"/>
      <c r="K124" s="631"/>
      <c r="L124" s="631"/>
      <c r="M124" s="634"/>
      <c r="N124" s="708"/>
    </row>
    <row r="125" spans="1:15" s="698" customFormat="1" ht="21" x14ac:dyDescent="0.35">
      <c r="A125" s="630">
        <v>4</v>
      </c>
      <c r="B125" s="631" t="s">
        <v>1230</v>
      </c>
      <c r="C125" s="630" t="s">
        <v>1232</v>
      </c>
      <c r="D125" s="699" t="s">
        <v>1240</v>
      </c>
      <c r="E125" s="713">
        <v>1072.33</v>
      </c>
      <c r="F125" s="634" t="s">
        <v>1201</v>
      </c>
      <c r="G125" s="221" t="s">
        <v>561</v>
      </c>
      <c r="H125" s="631"/>
      <c r="I125" s="631"/>
      <c r="J125" s="631"/>
      <c r="K125" s="631"/>
      <c r="L125" s="631"/>
      <c r="M125" s="634"/>
      <c r="N125" s="708"/>
    </row>
    <row r="126" spans="1:15" s="698" customFormat="1" ht="21" x14ac:dyDescent="0.35">
      <c r="A126" s="630">
        <v>5</v>
      </c>
      <c r="B126" s="631" t="s">
        <v>1230</v>
      </c>
      <c r="C126" s="630" t="s">
        <v>1233</v>
      </c>
      <c r="D126" s="699" t="s">
        <v>1240</v>
      </c>
      <c r="E126" s="713">
        <v>1072.33</v>
      </c>
      <c r="F126" s="634" t="s">
        <v>1201</v>
      </c>
      <c r="G126" s="221" t="s">
        <v>561</v>
      </c>
      <c r="H126" s="631"/>
      <c r="I126" s="631"/>
      <c r="J126" s="631"/>
      <c r="K126" s="631"/>
      <c r="L126" s="631"/>
      <c r="M126" s="634"/>
      <c r="N126" s="708"/>
    </row>
    <row r="127" spans="1:15" s="698" customFormat="1" ht="21" x14ac:dyDescent="0.35">
      <c r="A127" s="630">
        <v>6</v>
      </c>
      <c r="B127" s="631" t="s">
        <v>1230</v>
      </c>
      <c r="C127" s="630" t="s">
        <v>1234</v>
      </c>
      <c r="D127" s="699" t="s">
        <v>1240</v>
      </c>
      <c r="E127" s="713">
        <v>1072.33</v>
      </c>
      <c r="F127" s="634" t="s">
        <v>1201</v>
      </c>
      <c r="G127" s="221" t="s">
        <v>561</v>
      </c>
      <c r="H127" s="631"/>
      <c r="I127" s="631"/>
      <c r="J127" s="631"/>
      <c r="K127" s="631"/>
      <c r="L127" s="631"/>
      <c r="M127" s="634"/>
      <c r="N127" s="708"/>
    </row>
    <row r="128" spans="1:15" s="698" customFormat="1" ht="21" x14ac:dyDescent="0.35">
      <c r="A128" s="630">
        <v>7</v>
      </c>
      <c r="B128" s="631" t="s">
        <v>1230</v>
      </c>
      <c r="C128" s="630" t="s">
        <v>1235</v>
      </c>
      <c r="D128" s="699" t="s">
        <v>1240</v>
      </c>
      <c r="E128" s="713">
        <v>1072.33</v>
      </c>
      <c r="F128" s="634" t="s">
        <v>1201</v>
      </c>
      <c r="G128" s="221" t="s">
        <v>561</v>
      </c>
      <c r="H128" s="631"/>
      <c r="I128" s="631"/>
      <c r="J128" s="631"/>
      <c r="K128" s="631"/>
      <c r="L128" s="631"/>
      <c r="M128" s="634"/>
      <c r="N128" s="708"/>
    </row>
    <row r="129" spans="1:15" s="698" customFormat="1" ht="21" x14ac:dyDescent="0.35">
      <c r="A129" s="630">
        <v>8</v>
      </c>
      <c r="B129" s="631" t="s">
        <v>1230</v>
      </c>
      <c r="C129" s="630" t="s">
        <v>1236</v>
      </c>
      <c r="D129" s="699" t="s">
        <v>1240</v>
      </c>
      <c r="E129" s="713">
        <v>1072.33</v>
      </c>
      <c r="F129" s="634" t="s">
        <v>1201</v>
      </c>
      <c r="G129" s="221" t="s">
        <v>561</v>
      </c>
      <c r="H129" s="631"/>
      <c r="I129" s="631"/>
      <c r="J129" s="631"/>
      <c r="K129" s="631"/>
      <c r="L129" s="631"/>
      <c r="M129" s="634"/>
      <c r="N129" s="708"/>
    </row>
    <row r="130" spans="1:15" s="698" customFormat="1" ht="21" x14ac:dyDescent="0.35">
      <c r="A130" s="630">
        <v>9</v>
      </c>
      <c r="B130" s="631" t="s">
        <v>1230</v>
      </c>
      <c r="C130" s="630" t="s">
        <v>1237</v>
      </c>
      <c r="D130" s="699" t="s">
        <v>1240</v>
      </c>
      <c r="E130" s="713">
        <v>1072.3399999999999</v>
      </c>
      <c r="F130" s="634" t="s">
        <v>1201</v>
      </c>
      <c r="G130" s="221" t="s">
        <v>561</v>
      </c>
      <c r="H130" s="631"/>
      <c r="I130" s="631"/>
      <c r="J130" s="631"/>
      <c r="K130" s="631"/>
      <c r="L130" s="631"/>
      <c r="M130" s="634"/>
      <c r="N130" s="708"/>
    </row>
    <row r="131" spans="1:15" s="698" customFormat="1" ht="21" x14ac:dyDescent="0.35">
      <c r="A131" s="630">
        <v>10</v>
      </c>
      <c r="B131" s="631" t="s">
        <v>1230</v>
      </c>
      <c r="C131" s="630" t="s">
        <v>1238</v>
      </c>
      <c r="D131" s="699" t="s">
        <v>1240</v>
      </c>
      <c r="E131" s="713">
        <v>1072.3399999999999</v>
      </c>
      <c r="F131" s="634" t="s">
        <v>1201</v>
      </c>
      <c r="G131" s="478" t="s">
        <v>561</v>
      </c>
      <c r="H131" s="631"/>
      <c r="I131" s="631"/>
      <c r="J131" s="631"/>
      <c r="K131" s="631"/>
      <c r="L131" s="631"/>
      <c r="M131" s="634"/>
      <c r="N131" s="708"/>
    </row>
    <row r="132" spans="1:15" s="698" customFormat="1" ht="21" x14ac:dyDescent="0.35">
      <c r="A132" s="630">
        <v>11</v>
      </c>
      <c r="B132" s="631" t="s">
        <v>1230</v>
      </c>
      <c r="C132" s="630" t="s">
        <v>1239</v>
      </c>
      <c r="D132" s="699" t="s">
        <v>1240</v>
      </c>
      <c r="E132" s="713">
        <v>1072.3399999999999</v>
      </c>
      <c r="F132" s="634" t="s">
        <v>1201</v>
      </c>
      <c r="G132" s="221" t="s">
        <v>561</v>
      </c>
      <c r="H132" s="631"/>
      <c r="I132" s="631"/>
      <c r="J132" s="631"/>
      <c r="K132" s="631"/>
      <c r="L132" s="631"/>
      <c r="M132" s="634"/>
      <c r="N132" s="708"/>
      <c r="O132" s="714">
        <f>SUM(E124:E132)</f>
        <v>9651</v>
      </c>
    </row>
    <row r="133" spans="1:15" s="232" customFormat="1" ht="21.75" thickBot="1" x14ac:dyDescent="0.4">
      <c r="A133" s="334"/>
      <c r="B133" s="335"/>
      <c r="C133" s="336"/>
      <c r="D133" s="337" t="s">
        <v>505</v>
      </c>
      <c r="E133" s="575">
        <f>SUM(E122:E132)</f>
        <v>11911</v>
      </c>
      <c r="F133" s="334"/>
      <c r="G133" s="339"/>
      <c r="H133" s="339"/>
      <c r="I133" s="340"/>
      <c r="J133" s="339"/>
      <c r="K133" s="340"/>
      <c r="L133" s="340"/>
      <c r="M133" s="336"/>
      <c r="N133" s="686"/>
    </row>
    <row r="134" spans="1:15" ht="22.5" thickTop="1" thickBot="1" x14ac:dyDescent="0.4">
      <c r="A134" s="567"/>
      <c r="B134" s="340" t="s">
        <v>1373</v>
      </c>
      <c r="C134" s="568"/>
      <c r="D134" s="566" t="s">
        <v>1202</v>
      </c>
      <c r="E134" s="766">
        <f>+E9+E25+E48+E52+E58+E75+E95+E103+E112+E116+E120+E133</f>
        <v>1052151</v>
      </c>
      <c r="F134" s="420"/>
      <c r="G134" s="232"/>
      <c r="H134" s="232"/>
      <c r="I134" s="232"/>
      <c r="J134" s="232"/>
      <c r="K134" s="232"/>
      <c r="L134" s="232"/>
      <c r="M134" s="420"/>
    </row>
    <row r="135" spans="1:15" ht="19.5" thickTop="1" x14ac:dyDescent="0.3">
      <c r="D135" s="11"/>
      <c r="E135" s="2"/>
      <c r="F135" s="17"/>
      <c r="M135" s="17"/>
    </row>
    <row r="136" spans="1:15" x14ac:dyDescent="0.3">
      <c r="D136" s="11"/>
      <c r="F136" s="17"/>
      <c r="M136" s="17"/>
    </row>
    <row r="137" spans="1:15" x14ac:dyDescent="0.3">
      <c r="D137" s="11"/>
      <c r="F137" s="17"/>
      <c r="M137" s="17"/>
    </row>
    <row r="138" spans="1:15" x14ac:dyDescent="0.3">
      <c r="D138" s="11"/>
      <c r="F138" s="17"/>
      <c r="M138" s="17"/>
    </row>
    <row r="139" spans="1:15" x14ac:dyDescent="0.3">
      <c r="D139" s="11"/>
      <c r="F139" s="17"/>
      <c r="M139" s="17"/>
    </row>
    <row r="140" spans="1:15" x14ac:dyDescent="0.3">
      <c r="D140" s="11"/>
      <c r="F140" s="17"/>
      <c r="M140" s="17"/>
    </row>
  </sheetData>
  <mergeCells count="12">
    <mergeCell ref="M3:M5"/>
    <mergeCell ref="G4:G5"/>
    <mergeCell ref="H4:H5"/>
    <mergeCell ref="J4:J5"/>
    <mergeCell ref="A1:M1"/>
    <mergeCell ref="A2:M2"/>
    <mergeCell ref="A3:A5"/>
    <mergeCell ref="B3:B5"/>
    <mergeCell ref="C3:C5"/>
    <mergeCell ref="E3:E5"/>
    <mergeCell ref="F3:F5"/>
    <mergeCell ref="G3:L3"/>
  </mergeCells>
  <phoneticPr fontId="4" type="noConversion"/>
  <pageMargins left="0.23622047244094491" right="0" top="0.47244094488188981" bottom="0.19685039370078741" header="0.31496062992125984" footer="0.11811023622047245"/>
  <pageSetup paperSize="9" scale="85" orientation="landscape" r:id="rId1"/>
  <headerFooter scaleWithDoc="0" alignWithMargins="0">
    <oddFooter>&amp;R&amp;P/&amp;N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607"/>
  <sheetViews>
    <sheetView view="pageBreakPreview" topLeftCell="A592" zoomScale="110" zoomScaleNormal="120" zoomScaleSheetLayoutView="110" workbookViewId="0">
      <selection activeCell="E601" sqref="E601"/>
    </sheetView>
  </sheetViews>
  <sheetFormatPr defaultColWidth="9" defaultRowHeight="21" x14ac:dyDescent="0.35"/>
  <cols>
    <col min="1" max="1" width="5.625" style="45" customWidth="1"/>
    <col min="2" max="2" width="40.375" style="45" customWidth="1"/>
    <col min="3" max="3" width="14.5" style="315" customWidth="1"/>
    <col min="4" max="4" width="14.25" style="315" customWidth="1"/>
    <col min="5" max="5" width="12.75" style="501" bestFit="1" customWidth="1"/>
    <col min="6" max="6" width="22.5" style="286" customWidth="1"/>
    <col min="7" max="7" width="4.5" style="45" bestFit="1" customWidth="1"/>
    <col min="8" max="8" width="4.875" style="45" bestFit="1" customWidth="1"/>
    <col min="9" max="9" width="5.25" style="45" bestFit="1" customWidth="1"/>
    <col min="10" max="10" width="6.75" style="45" bestFit="1" customWidth="1"/>
    <col min="11" max="11" width="5.875" style="45" bestFit="1" customWidth="1"/>
    <col min="12" max="12" width="8.375" style="45" bestFit="1" customWidth="1"/>
    <col min="13" max="13" width="10.25" style="45" customWidth="1"/>
    <col min="14" max="15" width="11" style="45" bestFit="1" customWidth="1"/>
    <col min="16" max="16384" width="9" style="45"/>
  </cols>
  <sheetData>
    <row r="1" spans="1:15" s="232" customFormat="1" ht="23.25" x14ac:dyDescent="0.35">
      <c r="A1" s="877" t="s">
        <v>1303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</row>
    <row r="2" spans="1:15" s="232" customFormat="1" x14ac:dyDescent="0.35">
      <c r="A2" s="878" t="s">
        <v>1137</v>
      </c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</row>
    <row r="3" spans="1:15" s="232" customFormat="1" x14ac:dyDescent="0.35">
      <c r="A3" s="897" t="s">
        <v>1031</v>
      </c>
      <c r="B3" s="875" t="s">
        <v>1</v>
      </c>
      <c r="C3" s="883" t="s">
        <v>504</v>
      </c>
      <c r="D3" s="234"/>
      <c r="E3" s="900" t="s">
        <v>0</v>
      </c>
      <c r="F3" s="875" t="s">
        <v>549</v>
      </c>
      <c r="G3" s="889" t="s">
        <v>553</v>
      </c>
      <c r="H3" s="890"/>
      <c r="I3" s="890"/>
      <c r="J3" s="890"/>
      <c r="K3" s="890"/>
      <c r="L3" s="891"/>
      <c r="M3" s="875" t="s">
        <v>2</v>
      </c>
    </row>
    <row r="4" spans="1:15" s="232" customFormat="1" x14ac:dyDescent="0.35">
      <c r="A4" s="898"/>
      <c r="B4" s="882"/>
      <c r="C4" s="884"/>
      <c r="D4" s="235" t="s">
        <v>3</v>
      </c>
      <c r="E4" s="901"/>
      <c r="F4" s="882"/>
      <c r="G4" s="879" t="s">
        <v>550</v>
      </c>
      <c r="H4" s="875" t="s">
        <v>551</v>
      </c>
      <c r="I4" s="236" t="s">
        <v>554</v>
      </c>
      <c r="J4" s="895" t="s">
        <v>552</v>
      </c>
      <c r="K4" s="236" t="s">
        <v>555</v>
      </c>
      <c r="L4" s="237" t="s">
        <v>556</v>
      </c>
      <c r="M4" s="882"/>
    </row>
    <row r="5" spans="1:15" s="232" customFormat="1" x14ac:dyDescent="0.35">
      <c r="A5" s="899"/>
      <c r="B5" s="876"/>
      <c r="C5" s="885"/>
      <c r="D5" s="238" t="s">
        <v>4</v>
      </c>
      <c r="E5" s="902"/>
      <c r="F5" s="876"/>
      <c r="G5" s="881"/>
      <c r="H5" s="876"/>
      <c r="I5" s="239" t="s">
        <v>557</v>
      </c>
      <c r="J5" s="896"/>
      <c r="K5" s="239" t="s">
        <v>558</v>
      </c>
      <c r="L5" s="240" t="s">
        <v>559</v>
      </c>
      <c r="M5" s="876"/>
    </row>
    <row r="6" spans="1:15" x14ac:dyDescent="0.35">
      <c r="A6" s="421"/>
      <c r="B6" s="422" t="s">
        <v>524</v>
      </c>
      <c r="C6" s="421"/>
      <c r="D6" s="423"/>
      <c r="E6" s="486"/>
      <c r="F6" s="425"/>
      <c r="G6" s="288"/>
      <c r="H6" s="426"/>
      <c r="I6" s="243"/>
      <c r="J6" s="243"/>
      <c r="K6" s="243"/>
      <c r="L6" s="243"/>
      <c r="M6" s="288"/>
    </row>
    <row r="7" spans="1:15" x14ac:dyDescent="0.35">
      <c r="A7" s="430">
        <v>1</v>
      </c>
      <c r="B7" s="427" t="s">
        <v>1177</v>
      </c>
      <c r="C7" s="31" t="s">
        <v>1179</v>
      </c>
      <c r="D7" s="246" t="s">
        <v>1180</v>
      </c>
      <c r="E7" s="306">
        <v>58850</v>
      </c>
      <c r="F7" s="247" t="s">
        <v>76</v>
      </c>
      <c r="G7" s="248" t="s">
        <v>561</v>
      </c>
      <c r="H7" s="230"/>
      <c r="I7" s="230"/>
      <c r="J7" s="230"/>
      <c r="K7" s="230"/>
      <c r="L7" s="230"/>
      <c r="M7" s="230"/>
    </row>
    <row r="8" spans="1:15" x14ac:dyDescent="0.35">
      <c r="A8" s="432"/>
      <c r="B8" s="433" t="s">
        <v>1178</v>
      </c>
      <c r="C8" s="434"/>
      <c r="D8" s="435"/>
      <c r="E8" s="487"/>
      <c r="F8" s="420"/>
      <c r="G8" s="264"/>
      <c r="H8" s="264"/>
      <c r="I8" s="264"/>
      <c r="J8" s="264"/>
      <c r="K8" s="264"/>
      <c r="L8" s="264"/>
      <c r="M8" s="264"/>
    </row>
    <row r="9" spans="1:15" ht="21.75" thickBot="1" x14ac:dyDescent="0.4">
      <c r="A9" s="436"/>
      <c r="B9" s="437"/>
      <c r="C9" s="438"/>
      <c r="D9" s="439" t="s">
        <v>505</v>
      </c>
      <c r="E9" s="488">
        <f>SUM(E7:E7)</f>
        <v>58850</v>
      </c>
      <c r="F9" s="440"/>
      <c r="G9" s="225"/>
      <c r="H9" s="225"/>
      <c r="I9" s="225"/>
      <c r="J9" s="225"/>
      <c r="K9" s="225"/>
      <c r="L9" s="225"/>
      <c r="M9" s="226"/>
      <c r="O9" s="258"/>
    </row>
    <row r="10" spans="1:15" ht="21.75" thickTop="1" x14ac:dyDescent="0.35">
      <c r="A10" s="783"/>
      <c r="B10" s="232"/>
      <c r="C10" s="850"/>
      <c r="D10" s="851"/>
      <c r="E10" s="852"/>
      <c r="F10" s="447"/>
      <c r="M10" s="853"/>
      <c r="O10" s="258"/>
    </row>
    <row r="11" spans="1:15" ht="18.75" customHeight="1" x14ac:dyDescent="0.35">
      <c r="A11" s="250"/>
      <c r="B11" s="300" t="s">
        <v>1018</v>
      </c>
      <c r="C11" s="245"/>
      <c r="D11" s="261"/>
      <c r="E11" s="484"/>
      <c r="F11" s="249"/>
      <c r="G11" s="262"/>
      <c r="H11" s="230"/>
      <c r="I11" s="230"/>
      <c r="J11" s="230"/>
      <c r="K11" s="230"/>
      <c r="L11" s="230"/>
      <c r="M11" s="249"/>
    </row>
    <row r="12" spans="1:15" ht="18.75" customHeight="1" x14ac:dyDescent="0.35">
      <c r="A12" s="244">
        <v>1</v>
      </c>
      <c r="B12" s="230" t="s">
        <v>946</v>
      </c>
      <c r="C12" s="245" t="s">
        <v>947</v>
      </c>
      <c r="D12" s="459" t="s">
        <v>1052</v>
      </c>
      <c r="E12" s="304">
        <v>4194.8900000000003</v>
      </c>
      <c r="F12" s="249" t="s">
        <v>959</v>
      </c>
      <c r="G12" s="478" t="s">
        <v>561</v>
      </c>
      <c r="H12" s="230"/>
      <c r="I12" s="230"/>
      <c r="J12" s="230"/>
      <c r="K12" s="230"/>
      <c r="L12" s="230"/>
      <c r="M12" s="249"/>
    </row>
    <row r="13" spans="1:15" ht="18.75" customHeight="1" x14ac:dyDescent="0.35">
      <c r="A13" s="244">
        <v>2</v>
      </c>
      <c r="B13" s="230" t="s">
        <v>946</v>
      </c>
      <c r="C13" s="245" t="s">
        <v>948</v>
      </c>
      <c r="D13" s="459" t="s">
        <v>1052</v>
      </c>
      <c r="E13" s="304">
        <v>4194.8900000000003</v>
      </c>
      <c r="F13" s="249" t="s">
        <v>960</v>
      </c>
      <c r="G13" s="478" t="s">
        <v>561</v>
      </c>
      <c r="H13" s="230"/>
      <c r="I13" s="230"/>
      <c r="J13" s="230"/>
      <c r="K13" s="230"/>
      <c r="L13" s="230"/>
      <c r="M13" s="249"/>
    </row>
    <row r="14" spans="1:15" ht="18.75" customHeight="1" x14ac:dyDescent="0.35">
      <c r="A14" s="244">
        <v>3</v>
      </c>
      <c r="B14" s="230" t="s">
        <v>946</v>
      </c>
      <c r="C14" s="245" t="s">
        <v>949</v>
      </c>
      <c r="D14" s="459" t="s">
        <v>1052</v>
      </c>
      <c r="E14" s="304">
        <v>4194.8900000000003</v>
      </c>
      <c r="F14" s="249" t="s">
        <v>1038</v>
      </c>
      <c r="G14" s="478" t="s">
        <v>561</v>
      </c>
      <c r="H14" s="230"/>
      <c r="I14" s="230"/>
      <c r="J14" s="230"/>
      <c r="K14" s="230"/>
      <c r="L14" s="230"/>
      <c r="M14" s="249"/>
    </row>
    <row r="15" spans="1:15" x14ac:dyDescent="0.35">
      <c r="A15" s="244">
        <v>4</v>
      </c>
      <c r="B15" s="230" t="s">
        <v>946</v>
      </c>
      <c r="C15" s="245" t="s">
        <v>950</v>
      </c>
      <c r="D15" s="459" t="s">
        <v>1052</v>
      </c>
      <c r="E15" s="304">
        <v>4194.8900000000003</v>
      </c>
      <c r="F15" s="249" t="s">
        <v>1055</v>
      </c>
      <c r="G15" s="478" t="s">
        <v>561</v>
      </c>
      <c r="H15" s="230"/>
      <c r="I15" s="230"/>
      <c r="J15" s="230"/>
      <c r="K15" s="230"/>
      <c r="L15" s="230"/>
      <c r="M15" s="249"/>
    </row>
    <row r="16" spans="1:15" x14ac:dyDescent="0.35">
      <c r="A16" s="244">
        <v>5</v>
      </c>
      <c r="B16" s="230" t="s">
        <v>946</v>
      </c>
      <c r="C16" s="245" t="s">
        <v>951</v>
      </c>
      <c r="D16" s="459" t="s">
        <v>1052</v>
      </c>
      <c r="E16" s="304">
        <v>4194.8999999999996</v>
      </c>
      <c r="F16" s="249" t="s">
        <v>962</v>
      </c>
      <c r="G16" s="478" t="s">
        <v>561</v>
      </c>
      <c r="H16" s="230"/>
      <c r="I16" s="230"/>
      <c r="J16" s="230"/>
      <c r="K16" s="230"/>
      <c r="L16" s="230"/>
      <c r="M16" s="249"/>
    </row>
    <row r="17" spans="1:15" x14ac:dyDescent="0.35">
      <c r="A17" s="244">
        <v>6</v>
      </c>
      <c r="B17" s="230" t="s">
        <v>946</v>
      </c>
      <c r="C17" s="245" t="s">
        <v>952</v>
      </c>
      <c r="D17" s="459" t="s">
        <v>1052</v>
      </c>
      <c r="E17" s="304">
        <v>4194.8999999999996</v>
      </c>
      <c r="F17" s="249" t="s">
        <v>963</v>
      </c>
      <c r="G17" s="478" t="s">
        <v>561</v>
      </c>
      <c r="H17" s="230"/>
      <c r="I17" s="230"/>
      <c r="J17" s="230"/>
      <c r="K17" s="230"/>
      <c r="L17" s="230"/>
      <c r="M17" s="249"/>
      <c r="O17" s="258"/>
    </row>
    <row r="18" spans="1:15" x14ac:dyDescent="0.35">
      <c r="A18" s="244">
        <v>7</v>
      </c>
      <c r="B18" s="230" t="s">
        <v>946</v>
      </c>
      <c r="C18" s="245" t="s">
        <v>953</v>
      </c>
      <c r="D18" s="459" t="s">
        <v>1052</v>
      </c>
      <c r="E18" s="304">
        <v>4194.8999999999996</v>
      </c>
      <c r="F18" s="249" t="s">
        <v>965</v>
      </c>
      <c r="G18" s="478" t="s">
        <v>561</v>
      </c>
      <c r="H18" s="230"/>
      <c r="I18" s="230"/>
      <c r="J18" s="230"/>
      <c r="K18" s="230"/>
      <c r="L18" s="230"/>
      <c r="M18" s="249"/>
    </row>
    <row r="19" spans="1:15" x14ac:dyDescent="0.35">
      <c r="A19" s="244">
        <v>8</v>
      </c>
      <c r="B19" s="230" t="s">
        <v>946</v>
      </c>
      <c r="C19" s="245" t="s">
        <v>954</v>
      </c>
      <c r="D19" s="459" t="s">
        <v>1052</v>
      </c>
      <c r="E19" s="304">
        <v>4194.8999999999996</v>
      </c>
      <c r="F19" s="249" t="s">
        <v>964</v>
      </c>
      <c r="G19" s="478" t="s">
        <v>561</v>
      </c>
      <c r="H19" s="230"/>
      <c r="I19" s="230"/>
      <c r="J19" s="230"/>
      <c r="K19" s="230"/>
      <c r="L19" s="230"/>
      <c r="M19" s="249"/>
    </row>
    <row r="20" spans="1:15" x14ac:dyDescent="0.35">
      <c r="A20" s="244">
        <v>9</v>
      </c>
      <c r="B20" s="230" t="s">
        <v>946</v>
      </c>
      <c r="C20" s="245" t="s">
        <v>955</v>
      </c>
      <c r="D20" s="459" t="s">
        <v>1052</v>
      </c>
      <c r="E20" s="304">
        <v>4194.8999999999996</v>
      </c>
      <c r="F20" s="249" t="s">
        <v>966</v>
      </c>
      <c r="G20" s="478" t="s">
        <v>561</v>
      </c>
      <c r="H20" s="230"/>
      <c r="I20" s="230"/>
      <c r="J20" s="230"/>
      <c r="K20" s="230"/>
      <c r="L20" s="230"/>
      <c r="M20" s="249"/>
    </row>
    <row r="21" spans="1:15" x14ac:dyDescent="0.35">
      <c r="A21" s="244">
        <v>10</v>
      </c>
      <c r="B21" s="230" t="s">
        <v>946</v>
      </c>
      <c r="C21" s="245" t="s">
        <v>956</v>
      </c>
      <c r="D21" s="459" t="s">
        <v>1052</v>
      </c>
      <c r="E21" s="304">
        <v>4194.8999999999996</v>
      </c>
      <c r="F21" s="249" t="s">
        <v>967</v>
      </c>
      <c r="G21" s="478" t="s">
        <v>561</v>
      </c>
      <c r="H21" s="230"/>
      <c r="I21" s="230"/>
      <c r="J21" s="230"/>
      <c r="K21" s="230"/>
      <c r="L21" s="230"/>
      <c r="M21" s="249"/>
    </row>
    <row r="22" spans="1:15" x14ac:dyDescent="0.35">
      <c r="A22" s="244">
        <v>11</v>
      </c>
      <c r="B22" s="230" t="s">
        <v>946</v>
      </c>
      <c r="C22" s="245" t="s">
        <v>957</v>
      </c>
      <c r="D22" s="459" t="s">
        <v>1052</v>
      </c>
      <c r="E22" s="304">
        <v>4194.8999999999996</v>
      </c>
      <c r="F22" s="249" t="s">
        <v>968</v>
      </c>
      <c r="G22" s="478" t="s">
        <v>561</v>
      </c>
      <c r="H22" s="230"/>
      <c r="I22" s="230"/>
      <c r="J22" s="230"/>
      <c r="K22" s="230"/>
      <c r="L22" s="230"/>
      <c r="M22" s="249"/>
      <c r="N22" s="572">
        <f>+E9</f>
        <v>58850</v>
      </c>
    </row>
    <row r="23" spans="1:15" x14ac:dyDescent="0.35">
      <c r="A23" s="244">
        <v>12</v>
      </c>
      <c r="B23" s="269" t="s">
        <v>946</v>
      </c>
      <c r="C23" s="282" t="s">
        <v>958</v>
      </c>
      <c r="D23" s="283" t="s">
        <v>1052</v>
      </c>
      <c r="E23" s="490">
        <v>4194.8999999999996</v>
      </c>
      <c r="F23" s="267" t="s">
        <v>969</v>
      </c>
      <c r="G23" s="485" t="s">
        <v>561</v>
      </c>
      <c r="H23" s="269"/>
      <c r="I23" s="269"/>
      <c r="J23" s="269"/>
      <c r="K23" s="269"/>
      <c r="L23" s="269"/>
      <c r="M23" s="270"/>
      <c r="N23" s="572">
        <f>SUM(E12:E23)</f>
        <v>50338.760000000009</v>
      </c>
    </row>
    <row r="24" spans="1:15" ht="21.75" thickBot="1" x14ac:dyDescent="0.4">
      <c r="C24" s="45"/>
      <c r="D24" s="271" t="s">
        <v>505</v>
      </c>
      <c r="E24" s="305">
        <f>SUM(E12:E23)</f>
        <v>50338.760000000009</v>
      </c>
      <c r="M24" s="286"/>
      <c r="N24" s="572">
        <f>+N22+N23</f>
        <v>109188.76000000001</v>
      </c>
    </row>
    <row r="25" spans="1:15" ht="21.75" thickTop="1" x14ac:dyDescent="0.35">
      <c r="C25" s="45"/>
      <c r="D25" s="316"/>
      <c r="E25" s="312"/>
      <c r="M25" s="286"/>
      <c r="N25" s="572"/>
    </row>
    <row r="26" spans="1:15" x14ac:dyDescent="0.35">
      <c r="A26" s="670"/>
      <c r="B26" s="43" t="s">
        <v>525</v>
      </c>
      <c r="C26" s="771"/>
      <c r="D26" s="727"/>
      <c r="E26" s="671"/>
      <c r="F26" s="672"/>
      <c r="G26" s="670"/>
      <c r="H26" s="225"/>
      <c r="I26" s="670"/>
      <c r="J26" s="670"/>
      <c r="K26" s="670"/>
      <c r="L26" s="670"/>
      <c r="M26" s="672"/>
    </row>
    <row r="27" spans="1:15" x14ac:dyDescent="0.35">
      <c r="A27" s="289">
        <v>1</v>
      </c>
      <c r="B27" s="767" t="s">
        <v>101</v>
      </c>
      <c r="C27" s="768" t="s">
        <v>102</v>
      </c>
      <c r="D27" s="658" t="s">
        <v>92</v>
      </c>
      <c r="E27" s="769">
        <v>1020</v>
      </c>
      <c r="F27" s="667" t="s">
        <v>103</v>
      </c>
      <c r="G27" s="770" t="s">
        <v>561</v>
      </c>
      <c r="H27" s="289"/>
      <c r="I27" s="243"/>
      <c r="J27" s="243"/>
      <c r="K27" s="243"/>
      <c r="L27" s="243"/>
      <c r="M27" s="667"/>
    </row>
    <row r="28" spans="1:15" x14ac:dyDescent="0.35">
      <c r="A28" s="261">
        <v>2</v>
      </c>
      <c r="B28" s="327" t="s">
        <v>101</v>
      </c>
      <c r="C28" s="298" t="s">
        <v>104</v>
      </c>
      <c r="D28" s="274" t="s">
        <v>92</v>
      </c>
      <c r="E28" s="306">
        <v>1020</v>
      </c>
      <c r="F28" s="251" t="s">
        <v>103</v>
      </c>
      <c r="G28" s="248" t="s">
        <v>561</v>
      </c>
      <c r="H28" s="31"/>
      <c r="I28" s="230"/>
      <c r="J28" s="230"/>
      <c r="K28" s="230"/>
      <c r="L28" s="230"/>
      <c r="M28" s="251"/>
    </row>
    <row r="29" spans="1:15" x14ac:dyDescent="0.35">
      <c r="A29" s="261">
        <v>3</v>
      </c>
      <c r="B29" s="327" t="s">
        <v>101</v>
      </c>
      <c r="C29" s="298" t="s">
        <v>105</v>
      </c>
      <c r="D29" s="274" t="s">
        <v>92</v>
      </c>
      <c r="E29" s="306">
        <v>1020</v>
      </c>
      <c r="F29" s="251" t="s">
        <v>103</v>
      </c>
      <c r="G29" s="248" t="s">
        <v>561</v>
      </c>
      <c r="H29" s="31"/>
      <c r="I29" s="230"/>
      <c r="J29" s="230"/>
      <c r="K29" s="230"/>
      <c r="L29" s="230"/>
      <c r="M29" s="251"/>
    </row>
    <row r="30" spans="1:15" s="301" customFormat="1" x14ac:dyDescent="0.35">
      <c r="A30" s="261">
        <v>4</v>
      </c>
      <c r="B30" s="327" t="s">
        <v>101</v>
      </c>
      <c r="C30" s="298" t="s">
        <v>106</v>
      </c>
      <c r="D30" s="274" t="s">
        <v>92</v>
      </c>
      <c r="E30" s="306">
        <v>1020</v>
      </c>
      <c r="F30" s="251" t="s">
        <v>103</v>
      </c>
      <c r="G30" s="248" t="s">
        <v>561</v>
      </c>
      <c r="H30" s="31"/>
      <c r="I30" s="230"/>
      <c r="J30" s="230"/>
      <c r="K30" s="230"/>
      <c r="L30" s="230"/>
      <c r="M30" s="251"/>
    </row>
    <row r="31" spans="1:15" s="301" customFormat="1" x14ac:dyDescent="0.35">
      <c r="A31" s="261">
        <v>5</v>
      </c>
      <c r="B31" s="327" t="s">
        <v>101</v>
      </c>
      <c r="C31" s="298" t="s">
        <v>107</v>
      </c>
      <c r="D31" s="274" t="s">
        <v>92</v>
      </c>
      <c r="E31" s="306">
        <v>1020</v>
      </c>
      <c r="F31" s="251" t="s">
        <v>21</v>
      </c>
      <c r="G31" s="248" t="s">
        <v>561</v>
      </c>
      <c r="H31" s="31"/>
      <c r="I31" s="230"/>
      <c r="J31" s="230"/>
      <c r="K31" s="230"/>
      <c r="L31" s="230"/>
      <c r="M31" s="251"/>
    </row>
    <row r="32" spans="1:15" s="301" customFormat="1" x14ac:dyDescent="0.35">
      <c r="A32" s="261">
        <v>6</v>
      </c>
      <c r="B32" s="327" t="s">
        <v>101</v>
      </c>
      <c r="C32" s="298" t="s">
        <v>108</v>
      </c>
      <c r="D32" s="274" t="s">
        <v>92</v>
      </c>
      <c r="E32" s="306">
        <v>1020</v>
      </c>
      <c r="F32" s="251" t="s">
        <v>21</v>
      </c>
      <c r="G32" s="248" t="s">
        <v>561</v>
      </c>
      <c r="H32" s="31"/>
      <c r="I32" s="230"/>
      <c r="J32" s="230"/>
      <c r="K32" s="230"/>
      <c r="L32" s="230"/>
      <c r="M32" s="251"/>
      <c r="N32" s="452"/>
    </row>
    <row r="33" spans="1:14" s="301" customFormat="1" x14ac:dyDescent="0.35">
      <c r="A33" s="261">
        <v>7</v>
      </c>
      <c r="B33" s="327" t="s">
        <v>101</v>
      </c>
      <c r="C33" s="298" t="s">
        <v>109</v>
      </c>
      <c r="D33" s="274" t="s">
        <v>92</v>
      </c>
      <c r="E33" s="306">
        <v>1020</v>
      </c>
      <c r="F33" s="251" t="s">
        <v>21</v>
      </c>
      <c r="G33" s="248" t="s">
        <v>561</v>
      </c>
      <c r="H33" s="31"/>
      <c r="I33" s="230"/>
      <c r="J33" s="230"/>
      <c r="K33" s="230"/>
      <c r="L33" s="230"/>
      <c r="M33" s="251"/>
    </row>
    <row r="34" spans="1:14" x14ac:dyDescent="0.35">
      <c r="A34" s="261">
        <v>8</v>
      </c>
      <c r="B34" s="327" t="s">
        <v>101</v>
      </c>
      <c r="C34" s="298" t="s">
        <v>110</v>
      </c>
      <c r="D34" s="274" t="s">
        <v>92</v>
      </c>
      <c r="E34" s="306">
        <v>1020</v>
      </c>
      <c r="F34" s="251" t="s">
        <v>21</v>
      </c>
      <c r="G34" s="248" t="s">
        <v>561</v>
      </c>
      <c r="H34" s="31"/>
      <c r="I34" s="230"/>
      <c r="J34" s="230"/>
      <c r="K34" s="230"/>
      <c r="L34" s="230"/>
      <c r="M34" s="251"/>
    </row>
    <row r="35" spans="1:14" x14ac:dyDescent="0.35">
      <c r="A35" s="261">
        <v>9</v>
      </c>
      <c r="B35" s="327" t="s">
        <v>101</v>
      </c>
      <c r="C35" s="298" t="s">
        <v>111</v>
      </c>
      <c r="D35" s="274" t="s">
        <v>92</v>
      </c>
      <c r="E35" s="306">
        <v>1020</v>
      </c>
      <c r="F35" s="251" t="s">
        <v>23</v>
      </c>
      <c r="G35" s="248" t="s">
        <v>561</v>
      </c>
      <c r="H35" s="31"/>
      <c r="I35" s="230"/>
      <c r="J35" s="230"/>
      <c r="K35" s="230"/>
      <c r="L35" s="230"/>
      <c r="M35" s="251"/>
    </row>
    <row r="36" spans="1:14" x14ac:dyDescent="0.35">
      <c r="A36" s="261">
        <v>10</v>
      </c>
      <c r="B36" s="327" t="s">
        <v>101</v>
      </c>
      <c r="C36" s="298" t="s">
        <v>112</v>
      </c>
      <c r="D36" s="274" t="s">
        <v>92</v>
      </c>
      <c r="E36" s="306">
        <v>1020</v>
      </c>
      <c r="F36" s="251" t="s">
        <v>23</v>
      </c>
      <c r="G36" s="248" t="s">
        <v>561</v>
      </c>
      <c r="H36" s="31"/>
      <c r="I36" s="230"/>
      <c r="J36" s="230"/>
      <c r="K36" s="230"/>
      <c r="L36" s="230"/>
      <c r="M36" s="251"/>
    </row>
    <row r="37" spans="1:14" x14ac:dyDescent="0.35">
      <c r="A37" s="261">
        <v>11</v>
      </c>
      <c r="B37" s="327" t="s">
        <v>101</v>
      </c>
      <c r="C37" s="298" t="s">
        <v>113</v>
      </c>
      <c r="D37" s="274" t="s">
        <v>92</v>
      </c>
      <c r="E37" s="306">
        <v>1020</v>
      </c>
      <c r="F37" s="251" t="s">
        <v>23</v>
      </c>
      <c r="G37" s="248" t="s">
        <v>561</v>
      </c>
      <c r="H37" s="31"/>
      <c r="I37" s="230"/>
      <c r="J37" s="230"/>
      <c r="K37" s="230"/>
      <c r="L37" s="230"/>
      <c r="M37" s="251"/>
    </row>
    <row r="38" spans="1:14" x14ac:dyDescent="0.35">
      <c r="A38" s="261">
        <v>12</v>
      </c>
      <c r="B38" s="327" t="s">
        <v>101</v>
      </c>
      <c r="C38" s="298" t="s">
        <v>114</v>
      </c>
      <c r="D38" s="274" t="s">
        <v>92</v>
      </c>
      <c r="E38" s="306">
        <v>1020</v>
      </c>
      <c r="F38" s="251" t="s">
        <v>23</v>
      </c>
      <c r="G38" s="248" t="s">
        <v>561</v>
      </c>
      <c r="H38" s="31"/>
      <c r="I38" s="230"/>
      <c r="J38" s="230"/>
      <c r="K38" s="230"/>
      <c r="L38" s="230"/>
      <c r="M38" s="251"/>
    </row>
    <row r="39" spans="1:14" x14ac:dyDescent="0.35">
      <c r="A39" s="261">
        <v>13</v>
      </c>
      <c r="B39" s="327" t="s">
        <v>101</v>
      </c>
      <c r="C39" s="298" t="s">
        <v>115</v>
      </c>
      <c r="D39" s="274" t="s">
        <v>92</v>
      </c>
      <c r="E39" s="306">
        <v>1020</v>
      </c>
      <c r="F39" s="251" t="s">
        <v>21</v>
      </c>
      <c r="G39" s="248" t="s">
        <v>561</v>
      </c>
      <c r="H39" s="31"/>
      <c r="I39" s="230"/>
      <c r="J39" s="230"/>
      <c r="K39" s="230"/>
      <c r="L39" s="230"/>
      <c r="M39" s="251"/>
    </row>
    <row r="40" spans="1:14" x14ac:dyDescent="0.35">
      <c r="A40" s="261">
        <v>14</v>
      </c>
      <c r="B40" s="343" t="s">
        <v>101</v>
      </c>
      <c r="C40" s="299" t="s">
        <v>116</v>
      </c>
      <c r="D40" s="280" t="s">
        <v>92</v>
      </c>
      <c r="E40" s="308">
        <v>1020</v>
      </c>
      <c r="F40" s="57" t="s">
        <v>21</v>
      </c>
      <c r="G40" s="449" t="s">
        <v>561</v>
      </c>
      <c r="H40" s="37"/>
      <c r="I40" s="262"/>
      <c r="J40" s="262"/>
      <c r="K40" s="262"/>
      <c r="L40" s="262"/>
      <c r="M40" s="57"/>
    </row>
    <row r="41" spans="1:14" x14ac:dyDescent="0.35">
      <c r="A41" s="261">
        <v>15</v>
      </c>
      <c r="B41" s="327" t="s">
        <v>101</v>
      </c>
      <c r="C41" s="298" t="s">
        <v>117</v>
      </c>
      <c r="D41" s="274" t="s">
        <v>92</v>
      </c>
      <c r="E41" s="306">
        <v>1020</v>
      </c>
      <c r="F41" s="251" t="s">
        <v>21</v>
      </c>
      <c r="G41" s="248" t="s">
        <v>561</v>
      </c>
      <c r="H41" s="31"/>
      <c r="I41" s="230"/>
      <c r="J41" s="230"/>
      <c r="K41" s="230"/>
      <c r="L41" s="230"/>
      <c r="M41" s="251"/>
    </row>
    <row r="42" spans="1:14" x14ac:dyDescent="0.35">
      <c r="A42" s="261">
        <v>16</v>
      </c>
      <c r="B42" s="327" t="s">
        <v>101</v>
      </c>
      <c r="C42" s="298" t="s">
        <v>118</v>
      </c>
      <c r="D42" s="274" t="s">
        <v>92</v>
      </c>
      <c r="E42" s="306">
        <v>1020</v>
      </c>
      <c r="F42" s="251" t="s">
        <v>21</v>
      </c>
      <c r="G42" s="248" t="s">
        <v>561</v>
      </c>
      <c r="H42" s="31"/>
      <c r="I42" s="230"/>
      <c r="J42" s="230"/>
      <c r="K42" s="230"/>
      <c r="L42" s="230"/>
      <c r="M42" s="251"/>
    </row>
    <row r="43" spans="1:14" x14ac:dyDescent="0.35">
      <c r="A43" s="261">
        <v>17</v>
      </c>
      <c r="B43" s="450" t="s">
        <v>101</v>
      </c>
      <c r="C43" s="451" t="s">
        <v>119</v>
      </c>
      <c r="D43" s="277" t="s">
        <v>92</v>
      </c>
      <c r="E43" s="307">
        <v>1020</v>
      </c>
      <c r="F43" s="254" t="s">
        <v>17</v>
      </c>
      <c r="G43" s="431" t="s">
        <v>561</v>
      </c>
      <c r="H43" s="40"/>
      <c r="I43" s="256"/>
      <c r="J43" s="256"/>
      <c r="K43" s="256"/>
      <c r="L43" s="256"/>
      <c r="M43" s="254"/>
    </row>
    <row r="44" spans="1:14" x14ac:dyDescent="0.35">
      <c r="A44" s="261">
        <v>18</v>
      </c>
      <c r="B44" s="327" t="s">
        <v>101</v>
      </c>
      <c r="C44" s="31" t="s">
        <v>120</v>
      </c>
      <c r="D44" s="274" t="s">
        <v>92</v>
      </c>
      <c r="E44" s="306">
        <v>1020</v>
      </c>
      <c r="F44" s="251" t="s">
        <v>17</v>
      </c>
      <c r="G44" s="229" t="s">
        <v>561</v>
      </c>
      <c r="H44" s="31"/>
      <c r="I44" s="230"/>
      <c r="J44" s="230"/>
      <c r="K44" s="230"/>
      <c r="L44" s="230"/>
      <c r="M44" s="251"/>
    </row>
    <row r="45" spans="1:14" x14ac:dyDescent="0.35">
      <c r="A45" s="261">
        <v>19</v>
      </c>
      <c r="B45" s="327" t="s">
        <v>101</v>
      </c>
      <c r="C45" s="31" t="s">
        <v>121</v>
      </c>
      <c r="D45" s="274" t="s">
        <v>92</v>
      </c>
      <c r="E45" s="306">
        <v>1020</v>
      </c>
      <c r="F45" s="251" t="s">
        <v>17</v>
      </c>
      <c r="G45" s="229" t="s">
        <v>561</v>
      </c>
      <c r="H45" s="31"/>
      <c r="I45" s="230"/>
      <c r="J45" s="230"/>
      <c r="K45" s="230"/>
      <c r="L45" s="230"/>
      <c r="M45" s="251"/>
    </row>
    <row r="46" spans="1:14" x14ac:dyDescent="0.35">
      <c r="A46" s="261">
        <v>20</v>
      </c>
      <c r="B46" s="327" t="s">
        <v>101</v>
      </c>
      <c r="C46" s="31" t="s">
        <v>122</v>
      </c>
      <c r="D46" s="274" t="s">
        <v>92</v>
      </c>
      <c r="E46" s="306">
        <v>1020</v>
      </c>
      <c r="F46" s="251" t="s">
        <v>17</v>
      </c>
      <c r="G46" s="229" t="s">
        <v>561</v>
      </c>
      <c r="H46" s="31"/>
      <c r="I46" s="230"/>
      <c r="J46" s="230"/>
      <c r="K46" s="230"/>
      <c r="L46" s="230"/>
      <c r="M46" s="251"/>
    </row>
    <row r="47" spans="1:14" x14ac:dyDescent="0.35">
      <c r="A47" s="261">
        <v>21</v>
      </c>
      <c r="B47" s="327" t="s">
        <v>101</v>
      </c>
      <c r="C47" s="31" t="s">
        <v>123</v>
      </c>
      <c r="D47" s="274" t="s">
        <v>92</v>
      </c>
      <c r="E47" s="306">
        <v>1020</v>
      </c>
      <c r="F47" s="251" t="s">
        <v>25</v>
      </c>
      <c r="G47" s="229" t="s">
        <v>561</v>
      </c>
      <c r="H47" s="31"/>
      <c r="I47" s="230"/>
      <c r="J47" s="230"/>
      <c r="K47" s="230"/>
      <c r="L47" s="230"/>
      <c r="M47" s="251"/>
    </row>
    <row r="48" spans="1:14" x14ac:dyDescent="0.35">
      <c r="A48" s="261">
        <v>22</v>
      </c>
      <c r="B48" s="343" t="s">
        <v>101</v>
      </c>
      <c r="C48" s="299" t="s">
        <v>124</v>
      </c>
      <c r="D48" s="280" t="s">
        <v>92</v>
      </c>
      <c r="E48" s="308">
        <v>1020</v>
      </c>
      <c r="F48" s="57" t="s">
        <v>25</v>
      </c>
      <c r="G48" s="449" t="s">
        <v>561</v>
      </c>
      <c r="H48" s="37"/>
      <c r="I48" s="262"/>
      <c r="J48" s="262"/>
      <c r="K48" s="262"/>
      <c r="L48" s="262"/>
      <c r="M48" s="57"/>
      <c r="N48" s="572">
        <f>SUM(E27:E48)</f>
        <v>22440</v>
      </c>
    </row>
    <row r="49" spans="1:14" x14ac:dyDescent="0.35">
      <c r="A49" s="261">
        <v>23</v>
      </c>
      <c r="B49" s="343" t="s">
        <v>101</v>
      </c>
      <c r="C49" s="299" t="s">
        <v>125</v>
      </c>
      <c r="D49" s="280" t="s">
        <v>92</v>
      </c>
      <c r="E49" s="308">
        <v>1020</v>
      </c>
      <c r="F49" s="57" t="s">
        <v>25</v>
      </c>
      <c r="G49" s="449" t="s">
        <v>561</v>
      </c>
      <c r="H49" s="37"/>
      <c r="I49" s="262"/>
      <c r="J49" s="262"/>
      <c r="K49" s="262"/>
      <c r="L49" s="262"/>
      <c r="M49" s="57"/>
    </row>
    <row r="50" spans="1:14" x14ac:dyDescent="0.35">
      <c r="A50" s="261">
        <v>24</v>
      </c>
      <c r="B50" s="327" t="s">
        <v>101</v>
      </c>
      <c r="C50" s="298" t="s">
        <v>126</v>
      </c>
      <c r="D50" s="274" t="s">
        <v>92</v>
      </c>
      <c r="E50" s="306">
        <v>1020</v>
      </c>
      <c r="F50" s="251" t="s">
        <v>25</v>
      </c>
      <c r="G50" s="248" t="s">
        <v>561</v>
      </c>
      <c r="H50" s="31"/>
      <c r="I50" s="230"/>
      <c r="J50" s="230"/>
      <c r="K50" s="230"/>
      <c r="L50" s="230"/>
      <c r="M50" s="251"/>
    </row>
    <row r="51" spans="1:14" x14ac:dyDescent="0.35">
      <c r="A51" s="261">
        <v>25</v>
      </c>
      <c r="B51" s="327" t="s">
        <v>101</v>
      </c>
      <c r="C51" s="298" t="s">
        <v>127</v>
      </c>
      <c r="D51" s="274" t="s">
        <v>92</v>
      </c>
      <c r="E51" s="306">
        <v>1020</v>
      </c>
      <c r="F51" s="251" t="s">
        <v>98</v>
      </c>
      <c r="G51" s="248" t="s">
        <v>561</v>
      </c>
      <c r="H51" s="31"/>
      <c r="I51" s="230"/>
      <c r="J51" s="230"/>
      <c r="K51" s="230"/>
      <c r="L51" s="230"/>
      <c r="M51" s="251"/>
    </row>
    <row r="52" spans="1:14" x14ac:dyDescent="0.35">
      <c r="A52" s="261">
        <v>26</v>
      </c>
      <c r="B52" s="327" t="s">
        <v>101</v>
      </c>
      <c r="C52" s="298" t="s">
        <v>128</v>
      </c>
      <c r="D52" s="274" t="s">
        <v>92</v>
      </c>
      <c r="E52" s="306">
        <v>1020</v>
      </c>
      <c r="F52" s="251" t="s">
        <v>98</v>
      </c>
      <c r="G52" s="248" t="s">
        <v>561</v>
      </c>
      <c r="H52" s="31"/>
      <c r="I52" s="230"/>
      <c r="J52" s="230"/>
      <c r="K52" s="230"/>
      <c r="L52" s="230"/>
      <c r="M52" s="251"/>
    </row>
    <row r="53" spans="1:14" x14ac:dyDescent="0.35">
      <c r="A53" s="261">
        <v>27</v>
      </c>
      <c r="B53" s="327" t="s">
        <v>101</v>
      </c>
      <c r="C53" s="298" t="s">
        <v>129</v>
      </c>
      <c r="D53" s="274" t="s">
        <v>92</v>
      </c>
      <c r="E53" s="306">
        <v>1020</v>
      </c>
      <c r="F53" s="251" t="s">
        <v>98</v>
      </c>
      <c r="G53" s="248" t="s">
        <v>561</v>
      </c>
      <c r="H53" s="31"/>
      <c r="I53" s="230"/>
      <c r="J53" s="230"/>
      <c r="K53" s="230"/>
      <c r="L53" s="230"/>
      <c r="M53" s="251"/>
    </row>
    <row r="54" spans="1:14" x14ac:dyDescent="0.35">
      <c r="A54" s="261">
        <v>28</v>
      </c>
      <c r="B54" s="327" t="s">
        <v>101</v>
      </c>
      <c r="C54" s="298" t="s">
        <v>130</v>
      </c>
      <c r="D54" s="274" t="s">
        <v>92</v>
      </c>
      <c r="E54" s="306">
        <v>1020</v>
      </c>
      <c r="F54" s="251" t="s">
        <v>98</v>
      </c>
      <c r="G54" s="248" t="s">
        <v>561</v>
      </c>
      <c r="H54" s="31"/>
      <c r="I54" s="230"/>
      <c r="J54" s="230"/>
      <c r="K54" s="230"/>
      <c r="L54" s="230"/>
      <c r="M54" s="251"/>
    </row>
    <row r="55" spans="1:14" x14ac:dyDescent="0.35">
      <c r="A55" s="261">
        <v>29</v>
      </c>
      <c r="B55" s="327" t="s">
        <v>101</v>
      </c>
      <c r="C55" s="298" t="s">
        <v>131</v>
      </c>
      <c r="D55" s="274" t="s">
        <v>92</v>
      </c>
      <c r="E55" s="306">
        <v>1020</v>
      </c>
      <c r="F55" s="251" t="s">
        <v>29</v>
      </c>
      <c r="G55" s="248" t="s">
        <v>561</v>
      </c>
      <c r="H55" s="31"/>
      <c r="I55" s="230"/>
      <c r="J55" s="230"/>
      <c r="K55" s="230"/>
      <c r="L55" s="230"/>
      <c r="M55" s="251"/>
    </row>
    <row r="56" spans="1:14" x14ac:dyDescent="0.35">
      <c r="A56" s="261">
        <v>30</v>
      </c>
      <c r="B56" s="327" t="s">
        <v>101</v>
      </c>
      <c r="C56" s="298" t="s">
        <v>132</v>
      </c>
      <c r="D56" s="274" t="s">
        <v>92</v>
      </c>
      <c r="E56" s="306">
        <v>1020</v>
      </c>
      <c r="F56" s="251" t="s">
        <v>29</v>
      </c>
      <c r="G56" s="248" t="s">
        <v>561</v>
      </c>
      <c r="H56" s="31"/>
      <c r="I56" s="230"/>
      <c r="J56" s="230"/>
      <c r="K56" s="230"/>
      <c r="L56" s="230"/>
      <c r="M56" s="251"/>
    </row>
    <row r="57" spans="1:14" x14ac:dyDescent="0.35">
      <c r="A57" s="261">
        <v>31</v>
      </c>
      <c r="B57" s="327" t="s">
        <v>101</v>
      </c>
      <c r="C57" s="298" t="s">
        <v>133</v>
      </c>
      <c r="D57" s="274" t="s">
        <v>92</v>
      </c>
      <c r="E57" s="306">
        <v>1020</v>
      </c>
      <c r="F57" s="251" t="s">
        <v>29</v>
      </c>
      <c r="G57" s="248" t="s">
        <v>561</v>
      </c>
      <c r="H57" s="31"/>
      <c r="I57" s="230"/>
      <c r="J57" s="230"/>
      <c r="K57" s="230"/>
      <c r="L57" s="230"/>
      <c r="M57" s="251"/>
    </row>
    <row r="58" spans="1:14" x14ac:dyDescent="0.35">
      <c r="A58" s="261">
        <v>32</v>
      </c>
      <c r="B58" s="327" t="s">
        <v>101</v>
      </c>
      <c r="C58" s="298" t="s">
        <v>134</v>
      </c>
      <c r="D58" s="274" t="s">
        <v>92</v>
      </c>
      <c r="E58" s="306">
        <v>1020</v>
      </c>
      <c r="F58" s="251" t="s">
        <v>29</v>
      </c>
      <c r="G58" s="248" t="s">
        <v>561</v>
      </c>
      <c r="H58" s="31"/>
      <c r="I58" s="230"/>
      <c r="J58" s="230"/>
      <c r="K58" s="230"/>
      <c r="L58" s="230"/>
      <c r="M58" s="251"/>
    </row>
    <row r="59" spans="1:14" x14ac:dyDescent="0.35">
      <c r="A59" s="261">
        <v>33</v>
      </c>
      <c r="B59" s="327" t="s">
        <v>101</v>
      </c>
      <c r="C59" s="298" t="s">
        <v>135</v>
      </c>
      <c r="D59" s="274" t="s">
        <v>92</v>
      </c>
      <c r="E59" s="306">
        <v>1020</v>
      </c>
      <c r="F59" s="251" t="s">
        <v>19</v>
      </c>
      <c r="G59" s="248" t="s">
        <v>561</v>
      </c>
      <c r="H59" s="31"/>
      <c r="I59" s="230"/>
      <c r="J59" s="230"/>
      <c r="K59" s="230"/>
      <c r="L59" s="230"/>
      <c r="M59" s="251"/>
    </row>
    <row r="60" spans="1:14" x14ac:dyDescent="0.35">
      <c r="A60" s="261">
        <v>34</v>
      </c>
      <c r="B60" s="343" t="s">
        <v>101</v>
      </c>
      <c r="C60" s="299" t="s">
        <v>136</v>
      </c>
      <c r="D60" s="280" t="s">
        <v>92</v>
      </c>
      <c r="E60" s="308">
        <v>1020</v>
      </c>
      <c r="F60" s="57" t="s">
        <v>19</v>
      </c>
      <c r="G60" s="449" t="s">
        <v>561</v>
      </c>
      <c r="H60" s="37"/>
      <c r="I60" s="262"/>
      <c r="J60" s="262"/>
      <c r="K60" s="262"/>
      <c r="L60" s="262"/>
      <c r="M60" s="57"/>
    </row>
    <row r="61" spans="1:14" x14ac:dyDescent="0.35">
      <c r="A61" s="261">
        <v>35</v>
      </c>
      <c r="B61" s="327" t="s">
        <v>101</v>
      </c>
      <c r="C61" s="298" t="s">
        <v>137</v>
      </c>
      <c r="D61" s="274" t="s">
        <v>92</v>
      </c>
      <c r="E61" s="306">
        <v>1020</v>
      </c>
      <c r="F61" s="251" t="s">
        <v>19</v>
      </c>
      <c r="G61" s="248" t="s">
        <v>561</v>
      </c>
      <c r="H61" s="31"/>
      <c r="I61" s="230"/>
      <c r="J61" s="230"/>
      <c r="K61" s="230"/>
      <c r="L61" s="230"/>
      <c r="M61" s="251"/>
    </row>
    <row r="62" spans="1:14" x14ac:dyDescent="0.35">
      <c r="A62" s="261">
        <v>36</v>
      </c>
      <c r="B62" s="327" t="s">
        <v>101</v>
      </c>
      <c r="C62" s="298" t="s">
        <v>138</v>
      </c>
      <c r="D62" s="274" t="s">
        <v>92</v>
      </c>
      <c r="E62" s="306">
        <v>1020</v>
      </c>
      <c r="F62" s="251" t="s">
        <v>19</v>
      </c>
      <c r="G62" s="248" t="s">
        <v>561</v>
      </c>
      <c r="H62" s="31"/>
      <c r="I62" s="230"/>
      <c r="J62" s="230"/>
      <c r="K62" s="230"/>
      <c r="L62" s="230"/>
      <c r="M62" s="251"/>
    </row>
    <row r="63" spans="1:14" x14ac:dyDescent="0.35">
      <c r="A63" s="261">
        <v>37</v>
      </c>
      <c r="B63" s="327" t="s">
        <v>101</v>
      </c>
      <c r="C63" s="298" t="s">
        <v>139</v>
      </c>
      <c r="D63" s="274" t="s">
        <v>92</v>
      </c>
      <c r="E63" s="306">
        <v>1020</v>
      </c>
      <c r="F63" s="251" t="s">
        <v>9</v>
      </c>
      <c r="G63" s="248" t="s">
        <v>561</v>
      </c>
      <c r="H63" s="31"/>
      <c r="I63" s="230"/>
      <c r="J63" s="230"/>
      <c r="K63" s="230"/>
      <c r="L63" s="230"/>
      <c r="M63" s="251"/>
      <c r="N63" s="258"/>
    </row>
    <row r="64" spans="1:14" x14ac:dyDescent="0.35">
      <c r="A64" s="261">
        <v>38</v>
      </c>
      <c r="B64" s="327" t="s">
        <v>101</v>
      </c>
      <c r="C64" s="298" t="s">
        <v>140</v>
      </c>
      <c r="D64" s="274" t="s">
        <v>92</v>
      </c>
      <c r="E64" s="306">
        <v>1020</v>
      </c>
      <c r="F64" s="251" t="s">
        <v>9</v>
      </c>
      <c r="G64" s="248" t="s">
        <v>561</v>
      </c>
      <c r="H64" s="31"/>
      <c r="I64" s="230"/>
      <c r="J64" s="230"/>
      <c r="K64" s="230"/>
      <c r="L64" s="230"/>
      <c r="M64" s="251"/>
    </row>
    <row r="65" spans="1:14" x14ac:dyDescent="0.35">
      <c r="A65" s="261">
        <v>39</v>
      </c>
      <c r="B65" s="327" t="s">
        <v>101</v>
      </c>
      <c r="C65" s="298" t="s">
        <v>141</v>
      </c>
      <c r="D65" s="274" t="s">
        <v>92</v>
      </c>
      <c r="E65" s="306">
        <v>1020</v>
      </c>
      <c r="F65" s="251" t="s">
        <v>9</v>
      </c>
      <c r="G65" s="248" t="s">
        <v>561</v>
      </c>
      <c r="H65" s="31"/>
      <c r="I65" s="230"/>
      <c r="J65" s="230"/>
      <c r="K65" s="230"/>
      <c r="L65" s="230"/>
      <c r="M65" s="251"/>
    </row>
    <row r="66" spans="1:14" x14ac:dyDescent="0.35">
      <c r="A66" s="261">
        <v>40</v>
      </c>
      <c r="B66" s="327" t="s">
        <v>101</v>
      </c>
      <c r="C66" s="298" t="s">
        <v>142</v>
      </c>
      <c r="D66" s="274" t="s">
        <v>92</v>
      </c>
      <c r="E66" s="306">
        <v>1020</v>
      </c>
      <c r="F66" s="251" t="s">
        <v>9</v>
      </c>
      <c r="G66" s="248" t="s">
        <v>561</v>
      </c>
      <c r="H66" s="31"/>
      <c r="I66" s="230"/>
      <c r="J66" s="230"/>
      <c r="K66" s="230"/>
      <c r="L66" s="230"/>
      <c r="M66" s="251"/>
    </row>
    <row r="67" spans="1:14" x14ac:dyDescent="0.35">
      <c r="A67" s="261">
        <v>41</v>
      </c>
      <c r="B67" s="327" t="s">
        <v>101</v>
      </c>
      <c r="C67" s="298" t="s">
        <v>143</v>
      </c>
      <c r="D67" s="274" t="s">
        <v>92</v>
      </c>
      <c r="E67" s="306">
        <v>1020</v>
      </c>
      <c r="F67" s="251" t="s">
        <v>11</v>
      </c>
      <c r="G67" s="248" t="s">
        <v>561</v>
      </c>
      <c r="H67" s="31"/>
      <c r="I67" s="230"/>
      <c r="J67" s="230"/>
      <c r="K67" s="230"/>
      <c r="L67" s="230"/>
      <c r="M67" s="251"/>
    </row>
    <row r="68" spans="1:14" x14ac:dyDescent="0.35">
      <c r="A68" s="261">
        <v>42</v>
      </c>
      <c r="B68" s="327" t="s">
        <v>101</v>
      </c>
      <c r="C68" s="298" t="s">
        <v>144</v>
      </c>
      <c r="D68" s="274" t="s">
        <v>92</v>
      </c>
      <c r="E68" s="306">
        <v>1020</v>
      </c>
      <c r="F68" s="251" t="s">
        <v>11</v>
      </c>
      <c r="G68" s="248" t="s">
        <v>561</v>
      </c>
      <c r="H68" s="31"/>
      <c r="I68" s="230"/>
      <c r="J68" s="230"/>
      <c r="K68" s="230"/>
      <c r="L68" s="230"/>
      <c r="M68" s="251"/>
    </row>
    <row r="69" spans="1:14" x14ac:dyDescent="0.35">
      <c r="A69" s="261">
        <v>43</v>
      </c>
      <c r="B69" s="327" t="s">
        <v>101</v>
      </c>
      <c r="C69" s="298" t="s">
        <v>145</v>
      </c>
      <c r="D69" s="274" t="s">
        <v>92</v>
      </c>
      <c r="E69" s="306">
        <v>1020</v>
      </c>
      <c r="F69" s="251" t="s">
        <v>11</v>
      </c>
      <c r="G69" s="248" t="s">
        <v>561</v>
      </c>
      <c r="H69" s="31"/>
      <c r="I69" s="230"/>
      <c r="J69" s="230"/>
      <c r="K69" s="230"/>
      <c r="L69" s="230"/>
      <c r="M69" s="251"/>
    </row>
    <row r="70" spans="1:14" x14ac:dyDescent="0.35">
      <c r="A70" s="261">
        <v>44</v>
      </c>
      <c r="B70" s="327" t="s">
        <v>101</v>
      </c>
      <c r="C70" s="31" t="s">
        <v>146</v>
      </c>
      <c r="D70" s="274" t="s">
        <v>92</v>
      </c>
      <c r="E70" s="306">
        <v>1020</v>
      </c>
      <c r="F70" s="251" t="s">
        <v>11</v>
      </c>
      <c r="G70" s="229" t="s">
        <v>561</v>
      </c>
      <c r="H70" s="31"/>
      <c r="I70" s="230"/>
      <c r="J70" s="230"/>
      <c r="K70" s="230"/>
      <c r="L70" s="230"/>
      <c r="M70" s="251"/>
    </row>
    <row r="71" spans="1:14" x14ac:dyDescent="0.35">
      <c r="A71" s="261">
        <v>45</v>
      </c>
      <c r="B71" s="327" t="s">
        <v>101</v>
      </c>
      <c r="C71" s="31" t="s">
        <v>147</v>
      </c>
      <c r="D71" s="274" t="s">
        <v>92</v>
      </c>
      <c r="E71" s="306">
        <v>1020</v>
      </c>
      <c r="F71" s="251" t="s">
        <v>148</v>
      </c>
      <c r="G71" s="229" t="s">
        <v>561</v>
      </c>
      <c r="H71" s="31"/>
      <c r="I71" s="230"/>
      <c r="J71" s="230"/>
      <c r="K71" s="230"/>
      <c r="L71" s="230"/>
      <c r="M71" s="251"/>
    </row>
    <row r="72" spans="1:14" x14ac:dyDescent="0.35">
      <c r="A72" s="261">
        <v>46</v>
      </c>
      <c r="B72" s="327" t="s">
        <v>101</v>
      </c>
      <c r="C72" s="31" t="s">
        <v>149</v>
      </c>
      <c r="D72" s="274" t="s">
        <v>92</v>
      </c>
      <c r="E72" s="306">
        <v>1020</v>
      </c>
      <c r="F72" s="251" t="s">
        <v>148</v>
      </c>
      <c r="G72" s="229" t="s">
        <v>561</v>
      </c>
      <c r="H72" s="31"/>
      <c r="I72" s="230"/>
      <c r="J72" s="230"/>
      <c r="K72" s="230"/>
      <c r="L72" s="230"/>
      <c r="M72" s="251"/>
      <c r="N72" s="572">
        <f>SUM(E49:E72)</f>
        <v>24480</v>
      </c>
    </row>
    <row r="73" spans="1:14" x14ac:dyDescent="0.35">
      <c r="A73" s="261">
        <v>47</v>
      </c>
      <c r="B73" s="327" t="s">
        <v>101</v>
      </c>
      <c r="C73" s="31" t="s">
        <v>150</v>
      </c>
      <c r="D73" s="274" t="s">
        <v>92</v>
      </c>
      <c r="E73" s="306">
        <v>1020</v>
      </c>
      <c r="F73" s="251" t="s">
        <v>148</v>
      </c>
      <c r="G73" s="229" t="s">
        <v>561</v>
      </c>
      <c r="H73" s="31"/>
      <c r="I73" s="230"/>
      <c r="J73" s="230"/>
      <c r="K73" s="230"/>
      <c r="L73" s="230"/>
      <c r="M73" s="251"/>
    </row>
    <row r="74" spans="1:14" x14ac:dyDescent="0.35">
      <c r="A74" s="261">
        <v>48</v>
      </c>
      <c r="B74" s="327" t="s">
        <v>101</v>
      </c>
      <c r="C74" s="298" t="s">
        <v>151</v>
      </c>
      <c r="D74" s="274" t="s">
        <v>92</v>
      </c>
      <c r="E74" s="306">
        <v>1020</v>
      </c>
      <c r="F74" s="251" t="s">
        <v>148</v>
      </c>
      <c r="G74" s="248" t="s">
        <v>561</v>
      </c>
      <c r="H74" s="31"/>
      <c r="I74" s="230"/>
      <c r="J74" s="230"/>
      <c r="K74" s="230"/>
      <c r="L74" s="230"/>
      <c r="M74" s="251"/>
    </row>
    <row r="75" spans="1:14" x14ac:dyDescent="0.35">
      <c r="A75" s="261">
        <v>49</v>
      </c>
      <c r="B75" s="327" t="s">
        <v>101</v>
      </c>
      <c r="C75" s="298" t="s">
        <v>152</v>
      </c>
      <c r="D75" s="274" t="s">
        <v>92</v>
      </c>
      <c r="E75" s="306">
        <v>1020</v>
      </c>
      <c r="F75" s="251" t="s">
        <v>31</v>
      </c>
      <c r="G75" s="248" t="s">
        <v>561</v>
      </c>
      <c r="H75" s="31"/>
      <c r="I75" s="230"/>
      <c r="J75" s="230"/>
      <c r="K75" s="230"/>
      <c r="L75" s="230"/>
      <c r="M75" s="251"/>
    </row>
    <row r="76" spans="1:14" x14ac:dyDescent="0.35">
      <c r="A76" s="261">
        <v>50</v>
      </c>
      <c r="B76" s="327" t="s">
        <v>101</v>
      </c>
      <c r="C76" s="298" t="s">
        <v>153</v>
      </c>
      <c r="D76" s="274" t="s">
        <v>92</v>
      </c>
      <c r="E76" s="306">
        <v>1020</v>
      </c>
      <c r="F76" s="251" t="s">
        <v>31</v>
      </c>
      <c r="G76" s="248" t="s">
        <v>561</v>
      </c>
      <c r="H76" s="31"/>
      <c r="I76" s="230"/>
      <c r="J76" s="230"/>
      <c r="K76" s="230"/>
      <c r="L76" s="230"/>
      <c r="M76" s="251"/>
    </row>
    <row r="77" spans="1:14" x14ac:dyDescent="0.35">
      <c r="A77" s="261">
        <v>51</v>
      </c>
      <c r="B77" s="327" t="s">
        <v>101</v>
      </c>
      <c r="C77" s="298" t="s">
        <v>154</v>
      </c>
      <c r="D77" s="274" t="s">
        <v>92</v>
      </c>
      <c r="E77" s="306">
        <v>1020</v>
      </c>
      <c r="F77" s="251" t="s">
        <v>31</v>
      </c>
      <c r="G77" s="248" t="s">
        <v>561</v>
      </c>
      <c r="H77" s="31"/>
      <c r="I77" s="230"/>
      <c r="J77" s="230"/>
      <c r="K77" s="230"/>
      <c r="L77" s="230"/>
      <c r="M77" s="251"/>
    </row>
    <row r="78" spans="1:14" x14ac:dyDescent="0.35">
      <c r="A78" s="261">
        <v>52</v>
      </c>
      <c r="B78" s="327" t="s">
        <v>101</v>
      </c>
      <c r="C78" s="298" t="s">
        <v>155</v>
      </c>
      <c r="D78" s="274" t="s">
        <v>92</v>
      </c>
      <c r="E78" s="306">
        <v>1020</v>
      </c>
      <c r="F78" s="251" t="s">
        <v>31</v>
      </c>
      <c r="G78" s="248" t="s">
        <v>561</v>
      </c>
      <c r="H78" s="31"/>
      <c r="I78" s="230"/>
      <c r="J78" s="230"/>
      <c r="K78" s="230"/>
      <c r="L78" s="230"/>
      <c r="M78" s="251"/>
    </row>
    <row r="79" spans="1:14" x14ac:dyDescent="0.35">
      <c r="A79" s="261">
        <v>53</v>
      </c>
      <c r="B79" s="327" t="s">
        <v>101</v>
      </c>
      <c r="C79" s="298" t="s">
        <v>156</v>
      </c>
      <c r="D79" s="274" t="s">
        <v>92</v>
      </c>
      <c r="E79" s="306">
        <v>1020</v>
      </c>
      <c r="F79" s="251" t="s">
        <v>157</v>
      </c>
      <c r="G79" s="248" t="s">
        <v>561</v>
      </c>
      <c r="H79" s="31"/>
      <c r="I79" s="230"/>
      <c r="J79" s="230"/>
      <c r="K79" s="230"/>
      <c r="L79" s="230"/>
      <c r="M79" s="251"/>
    </row>
    <row r="80" spans="1:14" x14ac:dyDescent="0.35">
      <c r="A80" s="261">
        <v>54</v>
      </c>
      <c r="B80" s="343" t="s">
        <v>101</v>
      </c>
      <c r="C80" s="299" t="s">
        <v>158</v>
      </c>
      <c r="D80" s="280" t="s">
        <v>92</v>
      </c>
      <c r="E80" s="308">
        <v>1020</v>
      </c>
      <c r="F80" s="57" t="s">
        <v>157</v>
      </c>
      <c r="G80" s="449" t="s">
        <v>561</v>
      </c>
      <c r="H80" s="37"/>
      <c r="I80" s="262"/>
      <c r="J80" s="262"/>
      <c r="K80" s="262"/>
      <c r="L80" s="262"/>
      <c r="M80" s="57"/>
    </row>
    <row r="81" spans="1:14" x14ac:dyDescent="0.35">
      <c r="A81" s="261">
        <v>55</v>
      </c>
      <c r="B81" s="327" t="s">
        <v>101</v>
      </c>
      <c r="C81" s="298" t="s">
        <v>159</v>
      </c>
      <c r="D81" s="274" t="s">
        <v>92</v>
      </c>
      <c r="E81" s="306">
        <v>1020</v>
      </c>
      <c r="F81" s="251" t="s">
        <v>157</v>
      </c>
      <c r="G81" s="248" t="s">
        <v>561</v>
      </c>
      <c r="H81" s="31"/>
      <c r="I81" s="230"/>
      <c r="J81" s="230"/>
      <c r="K81" s="230"/>
      <c r="L81" s="230"/>
      <c r="M81" s="251"/>
    </row>
    <row r="82" spans="1:14" x14ac:dyDescent="0.35">
      <c r="A82" s="261">
        <v>56</v>
      </c>
      <c r="B82" s="327" t="s">
        <v>101</v>
      </c>
      <c r="C82" s="298" t="s">
        <v>160</v>
      </c>
      <c r="D82" s="274" t="s">
        <v>92</v>
      </c>
      <c r="E82" s="306">
        <v>1020</v>
      </c>
      <c r="F82" s="251" t="s">
        <v>157</v>
      </c>
      <c r="G82" s="248" t="s">
        <v>561</v>
      </c>
      <c r="H82" s="31"/>
      <c r="I82" s="230"/>
      <c r="J82" s="230"/>
      <c r="K82" s="230"/>
      <c r="L82" s="230"/>
      <c r="M82" s="251"/>
    </row>
    <row r="83" spans="1:14" x14ac:dyDescent="0.35">
      <c r="A83" s="261">
        <v>57</v>
      </c>
      <c r="B83" s="327" t="s">
        <v>101</v>
      </c>
      <c r="C83" s="298" t="s">
        <v>161</v>
      </c>
      <c r="D83" s="274" t="s">
        <v>92</v>
      </c>
      <c r="E83" s="306">
        <v>1020</v>
      </c>
      <c r="F83" s="251" t="s">
        <v>1025</v>
      </c>
      <c r="G83" s="248" t="s">
        <v>561</v>
      </c>
      <c r="H83" s="31"/>
      <c r="I83" s="230"/>
      <c r="J83" s="230"/>
      <c r="K83" s="230"/>
      <c r="L83" s="230"/>
      <c r="M83" s="251"/>
    </row>
    <row r="84" spans="1:14" x14ac:dyDescent="0.35">
      <c r="A84" s="261">
        <v>58</v>
      </c>
      <c r="B84" s="327" t="s">
        <v>101</v>
      </c>
      <c r="C84" s="298" t="s">
        <v>162</v>
      </c>
      <c r="D84" s="274" t="s">
        <v>92</v>
      </c>
      <c r="E84" s="306">
        <v>1020</v>
      </c>
      <c r="F84" s="251" t="s">
        <v>1025</v>
      </c>
      <c r="G84" s="248" t="s">
        <v>561</v>
      </c>
      <c r="H84" s="31"/>
      <c r="I84" s="230"/>
      <c r="J84" s="230"/>
      <c r="K84" s="230"/>
      <c r="L84" s="230"/>
      <c r="M84" s="251"/>
    </row>
    <row r="85" spans="1:14" x14ac:dyDescent="0.35">
      <c r="A85" s="261">
        <v>59</v>
      </c>
      <c r="B85" s="327" t="s">
        <v>101</v>
      </c>
      <c r="C85" s="298" t="s">
        <v>163</v>
      </c>
      <c r="D85" s="274" t="s">
        <v>92</v>
      </c>
      <c r="E85" s="306">
        <v>1020</v>
      </c>
      <c r="F85" s="251" t="s">
        <v>1025</v>
      </c>
      <c r="G85" s="248" t="s">
        <v>561</v>
      </c>
      <c r="H85" s="31"/>
      <c r="I85" s="230"/>
      <c r="J85" s="230"/>
      <c r="K85" s="230"/>
      <c r="L85" s="230"/>
      <c r="M85" s="251"/>
    </row>
    <row r="86" spans="1:14" x14ac:dyDescent="0.35">
      <c r="A86" s="261">
        <v>60</v>
      </c>
      <c r="B86" s="327" t="s">
        <v>101</v>
      </c>
      <c r="C86" s="298" t="s">
        <v>164</v>
      </c>
      <c r="D86" s="274" t="s">
        <v>92</v>
      </c>
      <c r="E86" s="306">
        <v>1020</v>
      </c>
      <c r="F86" s="251" t="s">
        <v>1025</v>
      </c>
      <c r="G86" s="248" t="s">
        <v>561</v>
      </c>
      <c r="H86" s="31"/>
      <c r="I86" s="230"/>
      <c r="J86" s="230"/>
      <c r="K86" s="230"/>
      <c r="L86" s="230"/>
      <c r="M86" s="251"/>
    </row>
    <row r="87" spans="1:14" x14ac:dyDescent="0.35">
      <c r="A87" s="261">
        <v>61</v>
      </c>
      <c r="B87" s="327" t="s">
        <v>101</v>
      </c>
      <c r="C87" s="298" t="s">
        <v>165</v>
      </c>
      <c r="D87" s="274" t="s">
        <v>92</v>
      </c>
      <c r="E87" s="306">
        <v>1020</v>
      </c>
      <c r="F87" s="251" t="s">
        <v>166</v>
      </c>
      <c r="G87" s="248" t="s">
        <v>561</v>
      </c>
      <c r="H87" s="31"/>
      <c r="I87" s="230"/>
      <c r="J87" s="230"/>
      <c r="K87" s="230"/>
      <c r="L87" s="230"/>
      <c r="M87" s="251"/>
    </row>
    <row r="88" spans="1:14" x14ac:dyDescent="0.35">
      <c r="A88" s="261">
        <v>62</v>
      </c>
      <c r="B88" s="327" t="s">
        <v>101</v>
      </c>
      <c r="C88" s="298" t="s">
        <v>167</v>
      </c>
      <c r="D88" s="274" t="s">
        <v>92</v>
      </c>
      <c r="E88" s="306">
        <v>1020</v>
      </c>
      <c r="F88" s="251" t="s">
        <v>166</v>
      </c>
      <c r="G88" s="248" t="s">
        <v>561</v>
      </c>
      <c r="H88" s="31"/>
      <c r="I88" s="230"/>
      <c r="J88" s="230"/>
      <c r="K88" s="230"/>
      <c r="L88" s="230"/>
      <c r="M88" s="251"/>
    </row>
    <row r="89" spans="1:14" x14ac:dyDescent="0.35">
      <c r="A89" s="261">
        <v>63</v>
      </c>
      <c r="B89" s="327" t="s">
        <v>101</v>
      </c>
      <c r="C89" s="298" t="s">
        <v>168</v>
      </c>
      <c r="D89" s="274" t="s">
        <v>92</v>
      </c>
      <c r="E89" s="306">
        <v>1020</v>
      </c>
      <c r="F89" s="251" t="s">
        <v>166</v>
      </c>
      <c r="G89" s="248" t="s">
        <v>561</v>
      </c>
      <c r="H89" s="31"/>
      <c r="I89" s="230"/>
      <c r="J89" s="230"/>
      <c r="K89" s="230"/>
      <c r="L89" s="230"/>
      <c r="M89" s="251"/>
    </row>
    <row r="90" spans="1:14" x14ac:dyDescent="0.35">
      <c r="A90" s="261">
        <v>64</v>
      </c>
      <c r="B90" s="327" t="s">
        <v>101</v>
      </c>
      <c r="C90" s="298" t="s">
        <v>169</v>
      </c>
      <c r="D90" s="274" t="s">
        <v>92</v>
      </c>
      <c r="E90" s="306">
        <v>1020</v>
      </c>
      <c r="F90" s="251" t="s">
        <v>166</v>
      </c>
      <c r="G90" s="248" t="s">
        <v>561</v>
      </c>
      <c r="H90" s="31"/>
      <c r="I90" s="230"/>
      <c r="J90" s="230"/>
      <c r="K90" s="230"/>
      <c r="L90" s="230"/>
      <c r="M90" s="251"/>
    </row>
    <row r="91" spans="1:14" x14ac:dyDescent="0.35">
      <c r="A91" s="261">
        <v>65</v>
      </c>
      <c r="B91" s="327" t="s">
        <v>101</v>
      </c>
      <c r="C91" s="31" t="s">
        <v>170</v>
      </c>
      <c r="D91" s="274" t="s">
        <v>92</v>
      </c>
      <c r="E91" s="306">
        <v>1020</v>
      </c>
      <c r="F91" s="251" t="s">
        <v>100</v>
      </c>
      <c r="G91" s="229" t="s">
        <v>561</v>
      </c>
      <c r="H91" s="31"/>
      <c r="I91" s="230"/>
      <c r="J91" s="230"/>
      <c r="K91" s="230"/>
      <c r="L91" s="230"/>
      <c r="M91" s="251"/>
    </row>
    <row r="92" spans="1:14" x14ac:dyDescent="0.35">
      <c r="A92" s="261">
        <v>66</v>
      </c>
      <c r="B92" s="327" t="s">
        <v>101</v>
      </c>
      <c r="C92" s="31" t="s">
        <v>171</v>
      </c>
      <c r="D92" s="274" t="s">
        <v>92</v>
      </c>
      <c r="E92" s="306">
        <v>1020</v>
      </c>
      <c r="F92" s="251" t="s">
        <v>100</v>
      </c>
      <c r="G92" s="229" t="s">
        <v>561</v>
      </c>
      <c r="H92" s="31"/>
      <c r="I92" s="230"/>
      <c r="J92" s="230"/>
      <c r="K92" s="230"/>
      <c r="L92" s="230"/>
      <c r="M92" s="251"/>
    </row>
    <row r="93" spans="1:14" x14ac:dyDescent="0.35">
      <c r="A93" s="261">
        <v>67</v>
      </c>
      <c r="B93" s="327" t="s">
        <v>101</v>
      </c>
      <c r="C93" s="31" t="s">
        <v>172</v>
      </c>
      <c r="D93" s="274" t="s">
        <v>92</v>
      </c>
      <c r="E93" s="306">
        <v>1020</v>
      </c>
      <c r="F93" s="251" t="s">
        <v>100</v>
      </c>
      <c r="G93" s="229" t="s">
        <v>561</v>
      </c>
      <c r="H93" s="31"/>
      <c r="I93" s="230"/>
      <c r="J93" s="230"/>
      <c r="K93" s="230"/>
      <c r="L93" s="230"/>
      <c r="M93" s="251"/>
    </row>
    <row r="94" spans="1:14" x14ac:dyDescent="0.35">
      <c r="A94" s="261">
        <v>68</v>
      </c>
      <c r="B94" s="327" t="s">
        <v>101</v>
      </c>
      <c r="C94" s="31" t="s">
        <v>173</v>
      </c>
      <c r="D94" s="274" t="s">
        <v>92</v>
      </c>
      <c r="E94" s="306">
        <v>1020</v>
      </c>
      <c r="F94" s="251" t="s">
        <v>100</v>
      </c>
      <c r="G94" s="229" t="s">
        <v>561</v>
      </c>
      <c r="H94" s="31"/>
      <c r="I94" s="230"/>
      <c r="J94" s="230"/>
      <c r="K94" s="230"/>
      <c r="L94" s="230"/>
      <c r="M94" s="251"/>
      <c r="N94" s="258"/>
    </row>
    <row r="95" spans="1:14" x14ac:dyDescent="0.35">
      <c r="A95" s="261">
        <v>69</v>
      </c>
      <c r="B95" s="327" t="s">
        <v>101</v>
      </c>
      <c r="C95" s="31" t="s">
        <v>174</v>
      </c>
      <c r="D95" s="274" t="s">
        <v>92</v>
      </c>
      <c r="E95" s="306">
        <v>1020</v>
      </c>
      <c r="F95" s="251" t="s">
        <v>445</v>
      </c>
      <c r="G95" s="229" t="s">
        <v>561</v>
      </c>
      <c r="H95" s="30"/>
      <c r="I95" s="230"/>
      <c r="J95" s="230"/>
      <c r="K95" s="230"/>
      <c r="L95" s="230"/>
      <c r="M95" s="251"/>
    </row>
    <row r="96" spans="1:14" x14ac:dyDescent="0.35">
      <c r="A96" s="261">
        <v>70</v>
      </c>
      <c r="B96" s="327" t="s">
        <v>101</v>
      </c>
      <c r="C96" s="31" t="s">
        <v>175</v>
      </c>
      <c r="D96" s="274" t="s">
        <v>92</v>
      </c>
      <c r="E96" s="306">
        <v>1020</v>
      </c>
      <c r="F96" s="251" t="s">
        <v>445</v>
      </c>
      <c r="G96" s="229" t="s">
        <v>561</v>
      </c>
      <c r="H96" s="30"/>
      <c r="I96" s="230"/>
      <c r="J96" s="230"/>
      <c r="K96" s="230"/>
      <c r="L96" s="230"/>
      <c r="M96" s="251"/>
      <c r="N96" s="572">
        <f>SUM(E73:E96)</f>
        <v>24480</v>
      </c>
    </row>
    <row r="97" spans="1:13" x14ac:dyDescent="0.35">
      <c r="A97" s="261">
        <v>71</v>
      </c>
      <c r="B97" s="327" t="s">
        <v>101</v>
      </c>
      <c r="C97" s="31" t="s">
        <v>176</v>
      </c>
      <c r="D97" s="274" t="s">
        <v>92</v>
      </c>
      <c r="E97" s="306">
        <v>1020</v>
      </c>
      <c r="F97" s="251" t="s">
        <v>445</v>
      </c>
      <c r="G97" s="229" t="s">
        <v>561</v>
      </c>
      <c r="H97" s="30"/>
      <c r="I97" s="230"/>
      <c r="J97" s="230"/>
      <c r="K97" s="230"/>
      <c r="L97" s="230"/>
      <c r="M97" s="251"/>
    </row>
    <row r="98" spans="1:13" x14ac:dyDescent="0.35">
      <c r="A98" s="261">
        <v>72</v>
      </c>
      <c r="B98" s="327" t="s">
        <v>101</v>
      </c>
      <c r="C98" s="31" t="s">
        <v>177</v>
      </c>
      <c r="D98" s="274" t="s">
        <v>92</v>
      </c>
      <c r="E98" s="306">
        <v>1020</v>
      </c>
      <c r="F98" s="251" t="s">
        <v>445</v>
      </c>
      <c r="G98" s="229" t="s">
        <v>561</v>
      </c>
      <c r="H98" s="30"/>
      <c r="I98" s="230"/>
      <c r="J98" s="230"/>
      <c r="K98" s="230"/>
      <c r="L98" s="230"/>
      <c r="M98" s="251"/>
    </row>
    <row r="99" spans="1:13" x14ac:dyDescent="0.35">
      <c r="A99" s="261">
        <v>73</v>
      </c>
      <c r="B99" s="327" t="s">
        <v>101</v>
      </c>
      <c r="C99" s="298" t="s">
        <v>178</v>
      </c>
      <c r="D99" s="274" t="s">
        <v>92</v>
      </c>
      <c r="E99" s="306">
        <v>1020</v>
      </c>
      <c r="F99" s="251" t="s">
        <v>83</v>
      </c>
      <c r="G99" s="248" t="s">
        <v>561</v>
      </c>
      <c r="H99" s="31"/>
      <c r="I99" s="230"/>
      <c r="J99" s="230"/>
      <c r="K99" s="230"/>
      <c r="L99" s="230"/>
      <c r="M99" s="251"/>
    </row>
    <row r="100" spans="1:13" x14ac:dyDescent="0.35">
      <c r="A100" s="261">
        <v>74</v>
      </c>
      <c r="B100" s="343" t="s">
        <v>101</v>
      </c>
      <c r="C100" s="299" t="s">
        <v>179</v>
      </c>
      <c r="D100" s="280" t="s">
        <v>92</v>
      </c>
      <c r="E100" s="308">
        <v>1020</v>
      </c>
      <c r="F100" s="57" t="s">
        <v>83</v>
      </c>
      <c r="G100" s="449" t="s">
        <v>561</v>
      </c>
      <c r="H100" s="37"/>
      <c r="I100" s="262"/>
      <c r="J100" s="262"/>
      <c r="K100" s="262"/>
      <c r="L100" s="262"/>
      <c r="M100" s="57"/>
    </row>
    <row r="101" spans="1:13" x14ac:dyDescent="0.35">
      <c r="A101" s="261">
        <v>75</v>
      </c>
      <c r="B101" s="327" t="s">
        <v>101</v>
      </c>
      <c r="C101" s="298" t="s">
        <v>180</v>
      </c>
      <c r="D101" s="274" t="s">
        <v>92</v>
      </c>
      <c r="E101" s="306">
        <v>1020</v>
      </c>
      <c r="F101" s="251" t="s">
        <v>83</v>
      </c>
      <c r="G101" s="248" t="s">
        <v>561</v>
      </c>
      <c r="H101" s="31"/>
      <c r="I101" s="230"/>
      <c r="J101" s="230"/>
      <c r="K101" s="230"/>
      <c r="L101" s="230"/>
      <c r="M101" s="251"/>
    </row>
    <row r="102" spans="1:13" x14ac:dyDescent="0.35">
      <c r="A102" s="261">
        <v>76</v>
      </c>
      <c r="B102" s="327" t="s">
        <v>101</v>
      </c>
      <c r="C102" s="298" t="s">
        <v>181</v>
      </c>
      <c r="D102" s="274" t="s">
        <v>92</v>
      </c>
      <c r="E102" s="306">
        <v>1020</v>
      </c>
      <c r="F102" s="251" t="s">
        <v>83</v>
      </c>
      <c r="G102" s="248" t="s">
        <v>561</v>
      </c>
      <c r="H102" s="31"/>
      <c r="I102" s="230"/>
      <c r="J102" s="230"/>
      <c r="K102" s="230"/>
      <c r="L102" s="230"/>
      <c r="M102" s="251"/>
    </row>
    <row r="103" spans="1:13" x14ac:dyDescent="0.35">
      <c r="A103" s="261">
        <v>77</v>
      </c>
      <c r="B103" s="327" t="s">
        <v>101</v>
      </c>
      <c r="C103" s="298" t="s">
        <v>182</v>
      </c>
      <c r="D103" s="274" t="s">
        <v>92</v>
      </c>
      <c r="E103" s="306">
        <v>1020</v>
      </c>
      <c r="F103" s="251" t="s">
        <v>571</v>
      </c>
      <c r="G103" s="248" t="s">
        <v>561</v>
      </c>
      <c r="H103" s="30"/>
      <c r="I103" s="230"/>
      <c r="J103" s="230"/>
      <c r="K103" s="230"/>
      <c r="L103" s="230"/>
      <c r="M103" s="251"/>
    </row>
    <row r="104" spans="1:13" x14ac:dyDescent="0.35">
      <c r="A104" s="261">
        <v>78</v>
      </c>
      <c r="B104" s="327" t="s">
        <v>101</v>
      </c>
      <c r="C104" s="298" t="s">
        <v>183</v>
      </c>
      <c r="D104" s="274" t="s">
        <v>92</v>
      </c>
      <c r="E104" s="306">
        <v>1020</v>
      </c>
      <c r="F104" s="251" t="s">
        <v>571</v>
      </c>
      <c r="G104" s="248" t="s">
        <v>561</v>
      </c>
      <c r="H104" s="30"/>
      <c r="I104" s="230"/>
      <c r="J104" s="230"/>
      <c r="K104" s="230"/>
      <c r="L104" s="230"/>
      <c r="M104" s="251"/>
    </row>
    <row r="105" spans="1:13" x14ac:dyDescent="0.35">
      <c r="A105" s="261">
        <v>79</v>
      </c>
      <c r="B105" s="327" t="s">
        <v>101</v>
      </c>
      <c r="C105" s="298" t="s">
        <v>184</v>
      </c>
      <c r="D105" s="274" t="s">
        <v>92</v>
      </c>
      <c r="E105" s="306">
        <v>1020</v>
      </c>
      <c r="F105" s="251" t="s">
        <v>571</v>
      </c>
      <c r="G105" s="248" t="s">
        <v>561</v>
      </c>
      <c r="H105" s="30"/>
      <c r="I105" s="230"/>
      <c r="J105" s="230"/>
      <c r="K105" s="230"/>
      <c r="L105" s="230"/>
      <c r="M105" s="251"/>
    </row>
    <row r="106" spans="1:13" x14ac:dyDescent="0.35">
      <c r="A106" s="261">
        <v>80</v>
      </c>
      <c r="B106" s="327" t="s">
        <v>101</v>
      </c>
      <c r="C106" s="298" t="s">
        <v>185</v>
      </c>
      <c r="D106" s="274" t="s">
        <v>92</v>
      </c>
      <c r="E106" s="306">
        <v>1020</v>
      </c>
      <c r="F106" s="251" t="s">
        <v>571</v>
      </c>
      <c r="G106" s="248" t="s">
        <v>561</v>
      </c>
      <c r="H106" s="30"/>
      <c r="I106" s="230"/>
      <c r="J106" s="230"/>
      <c r="K106" s="230"/>
      <c r="L106" s="230"/>
      <c r="M106" s="251"/>
    </row>
    <row r="107" spans="1:13" x14ac:dyDescent="0.35">
      <c r="A107" s="261">
        <v>81</v>
      </c>
      <c r="B107" s="327" t="s">
        <v>101</v>
      </c>
      <c r="C107" s="298" t="s">
        <v>186</v>
      </c>
      <c r="D107" s="274" t="s">
        <v>92</v>
      </c>
      <c r="E107" s="306">
        <v>1020</v>
      </c>
      <c r="F107" s="251" t="s">
        <v>90</v>
      </c>
      <c r="G107" s="248" t="s">
        <v>561</v>
      </c>
      <c r="H107" s="31"/>
      <c r="I107" s="230"/>
      <c r="J107" s="230"/>
      <c r="K107" s="230"/>
      <c r="L107" s="230"/>
      <c r="M107" s="251"/>
    </row>
    <row r="108" spans="1:13" x14ac:dyDescent="0.35">
      <c r="A108" s="261">
        <v>82</v>
      </c>
      <c r="B108" s="327" t="s">
        <v>101</v>
      </c>
      <c r="C108" s="298" t="s">
        <v>187</v>
      </c>
      <c r="D108" s="274" t="s">
        <v>92</v>
      </c>
      <c r="E108" s="306">
        <v>1020</v>
      </c>
      <c r="F108" s="251" t="s">
        <v>90</v>
      </c>
      <c r="G108" s="248" t="s">
        <v>561</v>
      </c>
      <c r="H108" s="31"/>
      <c r="I108" s="230"/>
      <c r="J108" s="230"/>
      <c r="K108" s="230"/>
      <c r="L108" s="230"/>
      <c r="M108" s="251"/>
    </row>
    <row r="109" spans="1:13" x14ac:dyDescent="0.35">
      <c r="A109" s="261">
        <v>83</v>
      </c>
      <c r="B109" s="327" t="s">
        <v>101</v>
      </c>
      <c r="C109" s="298" t="s">
        <v>188</v>
      </c>
      <c r="D109" s="274" t="s">
        <v>92</v>
      </c>
      <c r="E109" s="306">
        <v>1020</v>
      </c>
      <c r="F109" s="251" t="s">
        <v>90</v>
      </c>
      <c r="G109" s="248" t="s">
        <v>561</v>
      </c>
      <c r="H109" s="31"/>
      <c r="I109" s="230"/>
      <c r="J109" s="230"/>
      <c r="K109" s="230"/>
      <c r="L109" s="230"/>
      <c r="M109" s="251"/>
    </row>
    <row r="110" spans="1:13" x14ac:dyDescent="0.35">
      <c r="A110" s="261">
        <v>84</v>
      </c>
      <c r="B110" s="327" t="s">
        <v>101</v>
      </c>
      <c r="C110" s="298" t="s">
        <v>189</v>
      </c>
      <c r="D110" s="274" t="s">
        <v>92</v>
      </c>
      <c r="E110" s="306">
        <v>1020</v>
      </c>
      <c r="F110" s="251" t="s">
        <v>90</v>
      </c>
      <c r="G110" s="248" t="s">
        <v>561</v>
      </c>
      <c r="H110" s="31"/>
      <c r="I110" s="230"/>
      <c r="J110" s="230"/>
      <c r="K110" s="230"/>
      <c r="L110" s="230"/>
      <c r="M110" s="251"/>
    </row>
    <row r="111" spans="1:13" x14ac:dyDescent="0.35">
      <c r="A111" s="261">
        <v>85</v>
      </c>
      <c r="B111" s="327" t="s">
        <v>101</v>
      </c>
      <c r="C111" s="298" t="s">
        <v>190</v>
      </c>
      <c r="D111" s="274" t="s">
        <v>92</v>
      </c>
      <c r="E111" s="306">
        <v>1020</v>
      </c>
      <c r="F111" s="251" t="s">
        <v>191</v>
      </c>
      <c r="G111" s="248" t="s">
        <v>561</v>
      </c>
      <c r="H111" s="31"/>
      <c r="I111" s="230"/>
      <c r="J111" s="230"/>
      <c r="K111" s="230"/>
      <c r="L111" s="230"/>
      <c r="M111" s="251"/>
    </row>
    <row r="112" spans="1:13" x14ac:dyDescent="0.35">
      <c r="A112" s="261">
        <v>86</v>
      </c>
      <c r="B112" s="327" t="s">
        <v>101</v>
      </c>
      <c r="C112" s="298" t="s">
        <v>192</v>
      </c>
      <c r="D112" s="274" t="s">
        <v>92</v>
      </c>
      <c r="E112" s="306">
        <v>1020</v>
      </c>
      <c r="F112" s="251" t="s">
        <v>191</v>
      </c>
      <c r="G112" s="248" t="s">
        <v>561</v>
      </c>
      <c r="H112" s="31"/>
      <c r="I112" s="230"/>
      <c r="J112" s="230"/>
      <c r="K112" s="230"/>
      <c r="L112" s="230"/>
      <c r="M112" s="251"/>
    </row>
    <row r="113" spans="1:14" x14ac:dyDescent="0.35">
      <c r="A113" s="261">
        <v>87</v>
      </c>
      <c r="B113" s="327" t="s">
        <v>101</v>
      </c>
      <c r="C113" s="298" t="s">
        <v>193</v>
      </c>
      <c r="D113" s="274" t="s">
        <v>92</v>
      </c>
      <c r="E113" s="306">
        <v>1020</v>
      </c>
      <c r="F113" s="251" t="s">
        <v>191</v>
      </c>
      <c r="G113" s="248" t="s">
        <v>561</v>
      </c>
      <c r="H113" s="31"/>
      <c r="I113" s="230"/>
      <c r="J113" s="230"/>
      <c r="K113" s="230"/>
      <c r="L113" s="230"/>
      <c r="M113" s="251"/>
    </row>
    <row r="114" spans="1:14" x14ac:dyDescent="0.35">
      <c r="A114" s="261">
        <v>88</v>
      </c>
      <c r="B114" s="327" t="s">
        <v>101</v>
      </c>
      <c r="C114" s="298" t="s">
        <v>194</v>
      </c>
      <c r="D114" s="274" t="s">
        <v>92</v>
      </c>
      <c r="E114" s="306">
        <v>1020</v>
      </c>
      <c r="F114" s="251" t="s">
        <v>191</v>
      </c>
      <c r="G114" s="248" t="s">
        <v>561</v>
      </c>
      <c r="H114" s="31"/>
      <c r="I114" s="230"/>
      <c r="J114" s="230"/>
      <c r="K114" s="230"/>
      <c r="L114" s="230"/>
      <c r="M114" s="251"/>
    </row>
    <row r="115" spans="1:14" x14ac:dyDescent="0.35">
      <c r="A115" s="261">
        <v>89</v>
      </c>
      <c r="B115" s="327" t="s">
        <v>101</v>
      </c>
      <c r="C115" s="298" t="s">
        <v>195</v>
      </c>
      <c r="D115" s="274" t="s">
        <v>92</v>
      </c>
      <c r="E115" s="306">
        <v>1020</v>
      </c>
      <c r="F115" s="251" t="s">
        <v>191</v>
      </c>
      <c r="G115" s="248" t="s">
        <v>561</v>
      </c>
      <c r="H115" s="31"/>
      <c r="I115" s="230"/>
      <c r="J115" s="230"/>
      <c r="K115" s="230"/>
      <c r="L115" s="230"/>
      <c r="M115" s="251"/>
    </row>
    <row r="116" spans="1:14" x14ac:dyDescent="0.35">
      <c r="A116" s="261">
        <v>90</v>
      </c>
      <c r="B116" s="327" t="s">
        <v>101</v>
      </c>
      <c r="C116" s="298" t="s">
        <v>196</v>
      </c>
      <c r="D116" s="274" t="s">
        <v>92</v>
      </c>
      <c r="E116" s="306">
        <v>1020</v>
      </c>
      <c r="F116" s="251" t="s">
        <v>191</v>
      </c>
      <c r="G116" s="248" t="s">
        <v>561</v>
      </c>
      <c r="H116" s="31"/>
      <c r="I116" s="230"/>
      <c r="J116" s="230"/>
      <c r="K116" s="230"/>
      <c r="L116" s="230"/>
      <c r="M116" s="251"/>
    </row>
    <row r="117" spans="1:14" x14ac:dyDescent="0.35">
      <c r="A117" s="261">
        <v>91</v>
      </c>
      <c r="B117" s="327" t="s">
        <v>101</v>
      </c>
      <c r="C117" s="298" t="s">
        <v>197</v>
      </c>
      <c r="D117" s="274" t="s">
        <v>92</v>
      </c>
      <c r="E117" s="306">
        <v>1020</v>
      </c>
      <c r="F117" s="251" t="s">
        <v>191</v>
      </c>
      <c r="G117" s="248" t="s">
        <v>561</v>
      </c>
      <c r="H117" s="31"/>
      <c r="I117" s="230"/>
      <c r="J117" s="230"/>
      <c r="K117" s="230"/>
      <c r="L117" s="230"/>
      <c r="M117" s="251"/>
    </row>
    <row r="118" spans="1:14" x14ac:dyDescent="0.35">
      <c r="A118" s="261">
        <v>92</v>
      </c>
      <c r="B118" s="327" t="s">
        <v>101</v>
      </c>
      <c r="C118" s="298" t="s">
        <v>198</v>
      </c>
      <c r="D118" s="274" t="s">
        <v>92</v>
      </c>
      <c r="E118" s="306">
        <v>1020</v>
      </c>
      <c r="F118" s="251" t="s">
        <v>191</v>
      </c>
      <c r="G118" s="248" t="s">
        <v>561</v>
      </c>
      <c r="H118" s="31"/>
      <c r="I118" s="230"/>
      <c r="J118" s="230"/>
      <c r="K118" s="230"/>
      <c r="L118" s="230"/>
      <c r="M118" s="251"/>
    </row>
    <row r="119" spans="1:14" x14ac:dyDescent="0.35">
      <c r="A119" s="261">
        <v>93</v>
      </c>
      <c r="B119" s="327" t="s">
        <v>101</v>
      </c>
      <c r="C119" s="298" t="s">
        <v>199</v>
      </c>
      <c r="D119" s="274" t="s">
        <v>92</v>
      </c>
      <c r="E119" s="306">
        <v>1020</v>
      </c>
      <c r="F119" s="251" t="s">
        <v>200</v>
      </c>
      <c r="G119" s="248" t="s">
        <v>561</v>
      </c>
      <c r="H119" s="31"/>
      <c r="I119" s="230"/>
      <c r="J119" s="230"/>
      <c r="K119" s="230"/>
      <c r="L119" s="230"/>
      <c r="M119" s="251"/>
    </row>
    <row r="120" spans="1:14" x14ac:dyDescent="0.35">
      <c r="A120" s="261">
        <v>94</v>
      </c>
      <c r="B120" s="343" t="s">
        <v>101</v>
      </c>
      <c r="C120" s="37" t="s">
        <v>201</v>
      </c>
      <c r="D120" s="280" t="s">
        <v>92</v>
      </c>
      <c r="E120" s="308">
        <v>1020</v>
      </c>
      <c r="F120" s="57" t="s">
        <v>200</v>
      </c>
      <c r="G120" s="263" t="s">
        <v>561</v>
      </c>
      <c r="H120" s="37"/>
      <c r="I120" s="262"/>
      <c r="J120" s="262"/>
      <c r="K120" s="262"/>
      <c r="L120" s="262"/>
      <c r="M120" s="57"/>
      <c r="N120" s="572">
        <f>SUM(E97:E120)</f>
        <v>24480</v>
      </c>
    </row>
    <row r="121" spans="1:14" x14ac:dyDescent="0.35">
      <c r="A121" s="261">
        <v>95</v>
      </c>
      <c r="B121" s="327" t="s">
        <v>101</v>
      </c>
      <c r="C121" s="31" t="s">
        <v>202</v>
      </c>
      <c r="D121" s="274" t="s">
        <v>92</v>
      </c>
      <c r="E121" s="306">
        <v>1020</v>
      </c>
      <c r="F121" s="251" t="s">
        <v>200</v>
      </c>
      <c r="G121" s="229" t="s">
        <v>561</v>
      </c>
      <c r="H121" s="31"/>
      <c r="I121" s="230"/>
      <c r="J121" s="230"/>
      <c r="K121" s="230"/>
      <c r="L121" s="230"/>
      <c r="M121" s="251"/>
    </row>
    <row r="122" spans="1:14" x14ac:dyDescent="0.35">
      <c r="A122" s="261">
        <v>96</v>
      </c>
      <c r="B122" s="327" t="s">
        <v>101</v>
      </c>
      <c r="C122" s="31" t="s">
        <v>203</v>
      </c>
      <c r="D122" s="274" t="s">
        <v>92</v>
      </c>
      <c r="E122" s="306">
        <v>1020</v>
      </c>
      <c r="F122" s="251" t="s">
        <v>200</v>
      </c>
      <c r="G122" s="229" t="s">
        <v>561</v>
      </c>
      <c r="H122" s="31"/>
      <c r="I122" s="230"/>
      <c r="J122" s="230"/>
      <c r="K122" s="230"/>
      <c r="L122" s="230"/>
      <c r="M122" s="251"/>
    </row>
    <row r="123" spans="1:14" x14ac:dyDescent="0.35">
      <c r="A123" s="261">
        <v>97</v>
      </c>
      <c r="B123" s="327" t="s">
        <v>101</v>
      </c>
      <c r="C123" s="298" t="s">
        <v>204</v>
      </c>
      <c r="D123" s="274" t="s">
        <v>92</v>
      </c>
      <c r="E123" s="306">
        <v>1020</v>
      </c>
      <c r="F123" s="251" t="s">
        <v>85</v>
      </c>
      <c r="G123" s="248" t="s">
        <v>561</v>
      </c>
      <c r="H123" s="30"/>
      <c r="I123" s="230"/>
      <c r="J123" s="230"/>
      <c r="K123" s="230"/>
      <c r="L123" s="230"/>
      <c r="M123" s="251"/>
    </row>
    <row r="124" spans="1:14" x14ac:dyDescent="0.35">
      <c r="A124" s="261">
        <v>98</v>
      </c>
      <c r="B124" s="450" t="s">
        <v>101</v>
      </c>
      <c r="C124" s="451" t="s">
        <v>205</v>
      </c>
      <c r="D124" s="277" t="s">
        <v>92</v>
      </c>
      <c r="E124" s="307">
        <v>1020</v>
      </c>
      <c r="F124" s="254" t="s">
        <v>85</v>
      </c>
      <c r="G124" s="431" t="s">
        <v>561</v>
      </c>
      <c r="H124" s="39"/>
      <c r="I124" s="256"/>
      <c r="J124" s="256"/>
      <c r="K124" s="256"/>
      <c r="L124" s="256"/>
      <c r="M124" s="254"/>
    </row>
    <row r="125" spans="1:14" x14ac:dyDescent="0.35">
      <c r="A125" s="261">
        <v>99</v>
      </c>
      <c r="B125" s="327" t="s">
        <v>101</v>
      </c>
      <c r="C125" s="31" t="s">
        <v>206</v>
      </c>
      <c r="D125" s="274" t="s">
        <v>92</v>
      </c>
      <c r="E125" s="306">
        <v>1020</v>
      </c>
      <c r="F125" s="251" t="s">
        <v>85</v>
      </c>
      <c r="G125" s="229" t="s">
        <v>561</v>
      </c>
      <c r="H125" s="30"/>
      <c r="I125" s="230"/>
      <c r="J125" s="230"/>
      <c r="K125" s="230"/>
      <c r="L125" s="230"/>
      <c r="M125" s="251"/>
      <c r="N125" s="258"/>
    </row>
    <row r="126" spans="1:14" x14ac:dyDescent="0.35">
      <c r="A126" s="261">
        <v>100</v>
      </c>
      <c r="B126" s="327" t="s">
        <v>101</v>
      </c>
      <c r="C126" s="31" t="s">
        <v>207</v>
      </c>
      <c r="D126" s="274" t="s">
        <v>92</v>
      </c>
      <c r="E126" s="306">
        <v>1020</v>
      </c>
      <c r="F126" s="251" t="s">
        <v>85</v>
      </c>
      <c r="G126" s="229" t="s">
        <v>561</v>
      </c>
      <c r="H126" s="30"/>
      <c r="I126" s="230"/>
      <c r="J126" s="230"/>
      <c r="K126" s="230"/>
      <c r="L126" s="230"/>
      <c r="M126" s="251"/>
    </row>
    <row r="127" spans="1:14" x14ac:dyDescent="0.35">
      <c r="A127" s="261">
        <v>101</v>
      </c>
      <c r="B127" s="327" t="s">
        <v>101</v>
      </c>
      <c r="C127" s="31" t="s">
        <v>208</v>
      </c>
      <c r="D127" s="274" t="s">
        <v>92</v>
      </c>
      <c r="E127" s="306">
        <v>1020</v>
      </c>
      <c r="F127" s="251" t="s">
        <v>213</v>
      </c>
      <c r="G127" s="229" t="s">
        <v>561</v>
      </c>
      <c r="H127" s="31"/>
      <c r="I127" s="230"/>
      <c r="J127" s="230"/>
      <c r="K127" s="230"/>
      <c r="L127" s="230"/>
      <c r="M127" s="251"/>
    </row>
    <row r="128" spans="1:14" x14ac:dyDescent="0.35">
      <c r="A128" s="261">
        <v>102</v>
      </c>
      <c r="B128" s="327" t="s">
        <v>101</v>
      </c>
      <c r="C128" s="31" t="s">
        <v>209</v>
      </c>
      <c r="D128" s="274" t="s">
        <v>92</v>
      </c>
      <c r="E128" s="306">
        <v>1020</v>
      </c>
      <c r="F128" s="251" t="s">
        <v>213</v>
      </c>
      <c r="G128" s="229" t="s">
        <v>561</v>
      </c>
      <c r="H128" s="31"/>
      <c r="I128" s="230"/>
      <c r="J128" s="230"/>
      <c r="K128" s="230"/>
      <c r="L128" s="230"/>
      <c r="M128" s="251"/>
    </row>
    <row r="129" spans="1:14" x14ac:dyDescent="0.35">
      <c r="A129" s="261">
        <v>103</v>
      </c>
      <c r="B129" s="327" t="s">
        <v>101</v>
      </c>
      <c r="C129" s="31" t="s">
        <v>210</v>
      </c>
      <c r="D129" s="274" t="s">
        <v>92</v>
      </c>
      <c r="E129" s="306">
        <v>1020</v>
      </c>
      <c r="F129" s="251" t="s">
        <v>213</v>
      </c>
      <c r="G129" s="229" t="s">
        <v>561</v>
      </c>
      <c r="H129" s="31"/>
      <c r="I129" s="230"/>
      <c r="J129" s="230"/>
      <c r="K129" s="230"/>
      <c r="L129" s="230"/>
      <c r="M129" s="251"/>
    </row>
    <row r="130" spans="1:14" x14ac:dyDescent="0.35">
      <c r="A130" s="261">
        <v>104</v>
      </c>
      <c r="B130" s="327" t="s">
        <v>101</v>
      </c>
      <c r="C130" s="31" t="s">
        <v>211</v>
      </c>
      <c r="D130" s="274" t="s">
        <v>92</v>
      </c>
      <c r="E130" s="306">
        <v>1020</v>
      </c>
      <c r="F130" s="251" t="s">
        <v>213</v>
      </c>
      <c r="G130" s="229" t="s">
        <v>561</v>
      </c>
      <c r="H130" s="31"/>
      <c r="I130" s="230"/>
      <c r="J130" s="230"/>
      <c r="K130" s="230"/>
      <c r="L130" s="230"/>
      <c r="M130" s="251"/>
    </row>
    <row r="131" spans="1:14" x14ac:dyDescent="0.35">
      <c r="A131" s="261">
        <v>105</v>
      </c>
      <c r="B131" s="327" t="s">
        <v>101</v>
      </c>
      <c r="C131" s="31" t="s">
        <v>212</v>
      </c>
      <c r="D131" s="274" t="s">
        <v>92</v>
      </c>
      <c r="E131" s="306">
        <v>1020</v>
      </c>
      <c r="F131" s="251" t="s">
        <v>213</v>
      </c>
      <c r="G131" s="229" t="s">
        <v>561</v>
      </c>
      <c r="H131" s="31"/>
      <c r="I131" s="230"/>
      <c r="J131" s="230"/>
      <c r="K131" s="230"/>
      <c r="L131" s="230"/>
      <c r="M131" s="251"/>
    </row>
    <row r="132" spans="1:14" x14ac:dyDescent="0.35">
      <c r="A132" s="261">
        <v>106</v>
      </c>
      <c r="B132" s="327" t="s">
        <v>101</v>
      </c>
      <c r="C132" s="31" t="s">
        <v>214</v>
      </c>
      <c r="D132" s="274" t="s">
        <v>92</v>
      </c>
      <c r="E132" s="306">
        <v>1020</v>
      </c>
      <c r="F132" s="251" t="s">
        <v>213</v>
      </c>
      <c r="G132" s="229" t="s">
        <v>561</v>
      </c>
      <c r="H132" s="31"/>
      <c r="I132" s="230"/>
      <c r="J132" s="230"/>
      <c r="K132" s="230"/>
      <c r="L132" s="230"/>
      <c r="M132" s="251"/>
    </row>
    <row r="133" spans="1:14" x14ac:dyDescent="0.35">
      <c r="A133" s="261">
        <v>107</v>
      </c>
      <c r="B133" s="327" t="s">
        <v>101</v>
      </c>
      <c r="C133" s="31" t="s">
        <v>215</v>
      </c>
      <c r="D133" s="274" t="s">
        <v>92</v>
      </c>
      <c r="E133" s="306">
        <v>1020</v>
      </c>
      <c r="F133" s="251" t="s">
        <v>213</v>
      </c>
      <c r="G133" s="229" t="s">
        <v>561</v>
      </c>
      <c r="H133" s="31"/>
      <c r="I133" s="230"/>
      <c r="J133" s="230"/>
      <c r="K133" s="230"/>
      <c r="L133" s="230"/>
      <c r="M133" s="251"/>
    </row>
    <row r="134" spans="1:14" x14ac:dyDescent="0.35">
      <c r="A134" s="261">
        <v>108</v>
      </c>
      <c r="B134" s="327" t="s">
        <v>101</v>
      </c>
      <c r="C134" s="31" t="s">
        <v>216</v>
      </c>
      <c r="D134" s="274" t="s">
        <v>92</v>
      </c>
      <c r="E134" s="306">
        <v>1020</v>
      </c>
      <c r="F134" s="251" t="s">
        <v>213</v>
      </c>
      <c r="G134" s="229" t="s">
        <v>561</v>
      </c>
      <c r="H134" s="31"/>
      <c r="I134" s="230"/>
      <c r="J134" s="230"/>
      <c r="K134" s="230"/>
      <c r="L134" s="230"/>
      <c r="M134" s="251"/>
    </row>
    <row r="135" spans="1:14" x14ac:dyDescent="0.35">
      <c r="A135" s="261">
        <v>109</v>
      </c>
      <c r="B135" s="327" t="s">
        <v>101</v>
      </c>
      <c r="C135" s="31" t="s">
        <v>217</v>
      </c>
      <c r="D135" s="274" t="s">
        <v>92</v>
      </c>
      <c r="E135" s="306">
        <v>1020</v>
      </c>
      <c r="F135" s="251" t="s">
        <v>27</v>
      </c>
      <c r="G135" s="229" t="s">
        <v>561</v>
      </c>
      <c r="H135" s="31"/>
      <c r="I135" s="230"/>
      <c r="J135" s="230"/>
      <c r="K135" s="230"/>
      <c r="L135" s="230"/>
      <c r="M135" s="251"/>
    </row>
    <row r="136" spans="1:14" x14ac:dyDescent="0.35">
      <c r="A136" s="261">
        <v>110</v>
      </c>
      <c r="B136" s="327" t="s">
        <v>101</v>
      </c>
      <c r="C136" s="31" t="s">
        <v>218</v>
      </c>
      <c r="D136" s="274" t="s">
        <v>92</v>
      </c>
      <c r="E136" s="306">
        <v>1020</v>
      </c>
      <c r="F136" s="251" t="s">
        <v>27</v>
      </c>
      <c r="G136" s="229" t="s">
        <v>561</v>
      </c>
      <c r="H136" s="31"/>
      <c r="I136" s="230"/>
      <c r="J136" s="230"/>
      <c r="K136" s="230"/>
      <c r="L136" s="230"/>
      <c r="M136" s="251"/>
    </row>
    <row r="137" spans="1:14" x14ac:dyDescent="0.35">
      <c r="A137" s="261">
        <v>111</v>
      </c>
      <c r="B137" s="327" t="s">
        <v>101</v>
      </c>
      <c r="C137" s="31" t="s">
        <v>219</v>
      </c>
      <c r="D137" s="274" t="s">
        <v>92</v>
      </c>
      <c r="E137" s="306">
        <v>1020</v>
      </c>
      <c r="F137" s="251" t="s">
        <v>27</v>
      </c>
      <c r="G137" s="229" t="s">
        <v>561</v>
      </c>
      <c r="H137" s="31"/>
      <c r="I137" s="230"/>
      <c r="J137" s="230"/>
      <c r="K137" s="230"/>
      <c r="L137" s="230"/>
      <c r="M137" s="251"/>
    </row>
    <row r="138" spans="1:14" x14ac:dyDescent="0.35">
      <c r="A138" s="261">
        <v>112</v>
      </c>
      <c r="B138" s="327" t="s">
        <v>101</v>
      </c>
      <c r="C138" s="31" t="s">
        <v>220</v>
      </c>
      <c r="D138" s="274" t="s">
        <v>92</v>
      </c>
      <c r="E138" s="306">
        <v>1020</v>
      </c>
      <c r="F138" s="251" t="s">
        <v>27</v>
      </c>
      <c r="G138" s="229" t="s">
        <v>561</v>
      </c>
      <c r="H138" s="31"/>
      <c r="I138" s="230"/>
      <c r="J138" s="230"/>
      <c r="K138" s="230"/>
      <c r="L138" s="230"/>
      <c r="M138" s="251"/>
    </row>
    <row r="139" spans="1:14" x14ac:dyDescent="0.35">
      <c r="A139" s="261">
        <v>113</v>
      </c>
      <c r="B139" s="327" t="s">
        <v>101</v>
      </c>
      <c r="C139" s="31" t="s">
        <v>221</v>
      </c>
      <c r="D139" s="274" t="s">
        <v>92</v>
      </c>
      <c r="E139" s="306">
        <v>1020</v>
      </c>
      <c r="F139" s="251" t="s">
        <v>15</v>
      </c>
      <c r="G139" s="229" t="s">
        <v>561</v>
      </c>
      <c r="H139" s="31"/>
      <c r="I139" s="230"/>
      <c r="J139" s="230"/>
      <c r="K139" s="230"/>
      <c r="L139" s="230"/>
      <c r="M139" s="251"/>
    </row>
    <row r="140" spans="1:14" x14ac:dyDescent="0.35">
      <c r="A140" s="261">
        <v>114</v>
      </c>
      <c r="B140" s="343" t="s">
        <v>101</v>
      </c>
      <c r="C140" s="37" t="s">
        <v>222</v>
      </c>
      <c r="D140" s="280" t="s">
        <v>92</v>
      </c>
      <c r="E140" s="308">
        <v>1020</v>
      </c>
      <c r="F140" s="57" t="s">
        <v>15</v>
      </c>
      <c r="G140" s="263" t="s">
        <v>561</v>
      </c>
      <c r="H140" s="37"/>
      <c r="I140" s="262"/>
      <c r="J140" s="262"/>
      <c r="K140" s="262"/>
      <c r="L140" s="262"/>
      <c r="M140" s="57"/>
    </row>
    <row r="141" spans="1:14" x14ac:dyDescent="0.35">
      <c r="A141" s="261">
        <v>115</v>
      </c>
      <c r="B141" s="327" t="s">
        <v>101</v>
      </c>
      <c r="C141" s="31" t="s">
        <v>223</v>
      </c>
      <c r="D141" s="274" t="s">
        <v>92</v>
      </c>
      <c r="E141" s="306">
        <v>1020</v>
      </c>
      <c r="F141" s="251" t="s">
        <v>15</v>
      </c>
      <c r="G141" s="229" t="s">
        <v>561</v>
      </c>
      <c r="H141" s="31"/>
      <c r="I141" s="230"/>
      <c r="J141" s="230"/>
      <c r="K141" s="230"/>
      <c r="L141" s="230"/>
      <c r="M141" s="251"/>
    </row>
    <row r="142" spans="1:14" x14ac:dyDescent="0.35">
      <c r="A142" s="261">
        <v>116</v>
      </c>
      <c r="B142" s="327" t="s">
        <v>101</v>
      </c>
      <c r="C142" s="31" t="s">
        <v>224</v>
      </c>
      <c r="D142" s="274" t="s">
        <v>92</v>
      </c>
      <c r="E142" s="306">
        <v>1020</v>
      </c>
      <c r="F142" s="251" t="s">
        <v>15</v>
      </c>
      <c r="G142" s="229" t="s">
        <v>561</v>
      </c>
      <c r="H142" s="31"/>
      <c r="I142" s="230"/>
      <c r="J142" s="230"/>
      <c r="K142" s="230"/>
      <c r="L142" s="230"/>
      <c r="M142" s="251"/>
    </row>
    <row r="143" spans="1:14" x14ac:dyDescent="0.35">
      <c r="A143" s="261">
        <v>117</v>
      </c>
      <c r="B143" s="327" t="s">
        <v>101</v>
      </c>
      <c r="C143" s="31" t="s">
        <v>225</v>
      </c>
      <c r="D143" s="274" t="s">
        <v>92</v>
      </c>
      <c r="E143" s="306">
        <v>1020</v>
      </c>
      <c r="F143" s="251" t="s">
        <v>226</v>
      </c>
      <c r="G143" s="229" t="s">
        <v>561</v>
      </c>
      <c r="H143" s="31"/>
      <c r="I143" s="230"/>
      <c r="J143" s="230"/>
      <c r="K143" s="230"/>
      <c r="L143" s="230"/>
      <c r="M143" s="251"/>
    </row>
    <row r="144" spans="1:14" x14ac:dyDescent="0.35">
      <c r="A144" s="261">
        <v>118</v>
      </c>
      <c r="B144" s="327" t="s">
        <v>101</v>
      </c>
      <c r="C144" s="31" t="s">
        <v>227</v>
      </c>
      <c r="D144" s="274" t="s">
        <v>92</v>
      </c>
      <c r="E144" s="306">
        <v>1020</v>
      </c>
      <c r="F144" s="251" t="s">
        <v>226</v>
      </c>
      <c r="G144" s="229" t="s">
        <v>561</v>
      </c>
      <c r="H144" s="31"/>
      <c r="I144" s="230"/>
      <c r="J144" s="230"/>
      <c r="K144" s="230"/>
      <c r="L144" s="230"/>
      <c r="M144" s="251"/>
      <c r="N144" s="572">
        <f>SUM(E121:E144)</f>
        <v>24480</v>
      </c>
    </row>
    <row r="145" spans="1:14" x14ac:dyDescent="0.35">
      <c r="A145" s="261">
        <v>119</v>
      </c>
      <c r="B145" s="327" t="s">
        <v>101</v>
      </c>
      <c r="C145" s="31" t="s">
        <v>228</v>
      </c>
      <c r="D145" s="274" t="s">
        <v>92</v>
      </c>
      <c r="E145" s="306">
        <v>1020</v>
      </c>
      <c r="F145" s="251" t="s">
        <v>226</v>
      </c>
      <c r="G145" s="229" t="s">
        <v>561</v>
      </c>
      <c r="H145" s="31"/>
      <c r="I145" s="230"/>
      <c r="J145" s="230"/>
      <c r="K145" s="230"/>
      <c r="L145" s="230"/>
      <c r="M145" s="251"/>
    </row>
    <row r="146" spans="1:14" x14ac:dyDescent="0.35">
      <c r="A146" s="261">
        <v>120</v>
      </c>
      <c r="B146" s="327" t="s">
        <v>101</v>
      </c>
      <c r="C146" s="31" t="s">
        <v>229</v>
      </c>
      <c r="D146" s="274" t="s">
        <v>92</v>
      </c>
      <c r="E146" s="306">
        <v>1020</v>
      </c>
      <c r="F146" s="251" t="s">
        <v>226</v>
      </c>
      <c r="G146" s="229" t="s">
        <v>561</v>
      </c>
      <c r="H146" s="31"/>
      <c r="I146" s="230"/>
      <c r="J146" s="230"/>
      <c r="K146" s="230"/>
      <c r="L146" s="230"/>
      <c r="M146" s="251"/>
    </row>
    <row r="147" spans="1:14" x14ac:dyDescent="0.35">
      <c r="A147" s="261">
        <v>121</v>
      </c>
      <c r="B147" s="327" t="s">
        <v>101</v>
      </c>
      <c r="C147" s="31" t="s">
        <v>230</v>
      </c>
      <c r="D147" s="274" t="s">
        <v>92</v>
      </c>
      <c r="E147" s="306">
        <v>1020</v>
      </c>
      <c r="F147" s="253" t="s">
        <v>1025</v>
      </c>
      <c r="G147" s="229" t="s">
        <v>561</v>
      </c>
      <c r="H147" s="31"/>
      <c r="I147" s="230"/>
      <c r="J147" s="230"/>
      <c r="K147" s="230"/>
      <c r="L147" s="230"/>
      <c r="M147" s="253"/>
    </row>
    <row r="148" spans="1:14" x14ac:dyDescent="0.35">
      <c r="A148" s="261">
        <v>122</v>
      </c>
      <c r="B148" s="327" t="s">
        <v>101</v>
      </c>
      <c r="C148" s="31" t="s">
        <v>231</v>
      </c>
      <c r="D148" s="274" t="s">
        <v>92</v>
      </c>
      <c r="E148" s="306">
        <v>1020</v>
      </c>
      <c r="F148" s="253" t="s">
        <v>1025</v>
      </c>
      <c r="G148" s="229" t="s">
        <v>561</v>
      </c>
      <c r="H148" s="31"/>
      <c r="I148" s="230"/>
      <c r="J148" s="230"/>
      <c r="K148" s="230"/>
      <c r="L148" s="230"/>
      <c r="M148" s="253"/>
    </row>
    <row r="149" spans="1:14" x14ac:dyDescent="0.35">
      <c r="A149" s="261">
        <v>123</v>
      </c>
      <c r="B149" s="327" t="s">
        <v>101</v>
      </c>
      <c r="C149" s="31" t="s">
        <v>232</v>
      </c>
      <c r="D149" s="274" t="s">
        <v>92</v>
      </c>
      <c r="E149" s="306">
        <v>1020</v>
      </c>
      <c r="F149" s="253" t="s">
        <v>1025</v>
      </c>
      <c r="G149" s="229" t="s">
        <v>561</v>
      </c>
      <c r="H149" s="31"/>
      <c r="I149" s="230"/>
      <c r="J149" s="230"/>
      <c r="K149" s="230"/>
      <c r="L149" s="230"/>
      <c r="M149" s="253"/>
    </row>
    <row r="150" spans="1:14" x14ac:dyDescent="0.35">
      <c r="A150" s="261">
        <v>124</v>
      </c>
      <c r="B150" s="327" t="s">
        <v>101</v>
      </c>
      <c r="C150" s="31" t="s">
        <v>233</v>
      </c>
      <c r="D150" s="274" t="s">
        <v>92</v>
      </c>
      <c r="E150" s="306">
        <v>1020</v>
      </c>
      <c r="F150" s="253" t="s">
        <v>1025</v>
      </c>
      <c r="G150" s="229" t="s">
        <v>561</v>
      </c>
      <c r="H150" s="31"/>
      <c r="I150" s="230"/>
      <c r="J150" s="230"/>
      <c r="K150" s="230"/>
      <c r="L150" s="230"/>
      <c r="M150" s="253"/>
    </row>
    <row r="151" spans="1:14" x14ac:dyDescent="0.35">
      <c r="A151" s="261">
        <v>125</v>
      </c>
      <c r="B151" s="30" t="s">
        <v>234</v>
      </c>
      <c r="C151" s="31" t="s">
        <v>235</v>
      </c>
      <c r="D151" s="274" t="s">
        <v>82</v>
      </c>
      <c r="E151" s="306">
        <v>1000</v>
      </c>
      <c r="F151" s="453" t="s">
        <v>200</v>
      </c>
      <c r="G151" s="229" t="s">
        <v>561</v>
      </c>
      <c r="H151" s="454"/>
      <c r="I151" s="230"/>
      <c r="J151" s="230"/>
      <c r="K151" s="230"/>
      <c r="L151" s="230"/>
      <c r="M151" s="453"/>
    </row>
    <row r="152" spans="1:14" x14ac:dyDescent="0.35">
      <c r="A152" s="261">
        <v>126</v>
      </c>
      <c r="B152" s="30" t="s">
        <v>234</v>
      </c>
      <c r="C152" s="31" t="s">
        <v>236</v>
      </c>
      <c r="D152" s="274" t="s">
        <v>82</v>
      </c>
      <c r="E152" s="306">
        <v>1000</v>
      </c>
      <c r="F152" s="453" t="s">
        <v>200</v>
      </c>
      <c r="G152" s="229" t="s">
        <v>561</v>
      </c>
      <c r="H152" s="454"/>
      <c r="I152" s="230"/>
      <c r="J152" s="230"/>
      <c r="K152" s="230"/>
      <c r="L152" s="230"/>
      <c r="M152" s="453"/>
    </row>
    <row r="153" spans="1:14" x14ac:dyDescent="0.35">
      <c r="A153" s="261">
        <v>127</v>
      </c>
      <c r="B153" s="30" t="s">
        <v>234</v>
      </c>
      <c r="C153" s="31" t="s">
        <v>237</v>
      </c>
      <c r="D153" s="274" t="s">
        <v>82</v>
      </c>
      <c r="E153" s="306">
        <v>1000</v>
      </c>
      <c r="F153" s="453" t="s">
        <v>200</v>
      </c>
      <c r="G153" s="229" t="s">
        <v>561</v>
      </c>
      <c r="H153" s="454"/>
      <c r="I153" s="230"/>
      <c r="J153" s="230"/>
      <c r="K153" s="230"/>
      <c r="L153" s="230"/>
      <c r="M153" s="453"/>
    </row>
    <row r="154" spans="1:14" x14ac:dyDescent="0.35">
      <c r="A154" s="261">
        <v>128</v>
      </c>
      <c r="B154" s="30" t="s">
        <v>234</v>
      </c>
      <c r="C154" s="31" t="s">
        <v>238</v>
      </c>
      <c r="D154" s="274" t="s">
        <v>82</v>
      </c>
      <c r="E154" s="306">
        <v>1000</v>
      </c>
      <c r="F154" s="251" t="s">
        <v>200</v>
      </c>
      <c r="G154" s="229" t="s">
        <v>561</v>
      </c>
      <c r="H154" s="31"/>
      <c r="I154" s="230"/>
      <c r="J154" s="230"/>
      <c r="K154" s="230"/>
      <c r="L154" s="230"/>
      <c r="M154" s="251"/>
    </row>
    <row r="155" spans="1:14" x14ac:dyDescent="0.35">
      <c r="A155" s="261">
        <v>129</v>
      </c>
      <c r="B155" s="30" t="s">
        <v>234</v>
      </c>
      <c r="C155" s="31" t="s">
        <v>239</v>
      </c>
      <c r="D155" s="274" t="s">
        <v>82</v>
      </c>
      <c r="E155" s="306">
        <v>1000</v>
      </c>
      <c r="F155" s="453" t="s">
        <v>200</v>
      </c>
      <c r="G155" s="229" t="s">
        <v>561</v>
      </c>
      <c r="H155" s="454"/>
      <c r="I155" s="230"/>
      <c r="J155" s="230"/>
      <c r="K155" s="230"/>
      <c r="L155" s="230"/>
      <c r="M155" s="453"/>
    </row>
    <row r="156" spans="1:14" x14ac:dyDescent="0.35">
      <c r="A156" s="261">
        <v>130</v>
      </c>
      <c r="B156" s="38" t="s">
        <v>240</v>
      </c>
      <c r="C156" s="37" t="s">
        <v>241</v>
      </c>
      <c r="D156" s="280" t="s">
        <v>82</v>
      </c>
      <c r="E156" s="308">
        <v>1000</v>
      </c>
      <c r="F156" s="57" t="s">
        <v>200</v>
      </c>
      <c r="G156" s="263" t="s">
        <v>561</v>
      </c>
      <c r="H156" s="37"/>
      <c r="I156" s="262"/>
      <c r="J156" s="262"/>
      <c r="K156" s="262"/>
      <c r="L156" s="262"/>
      <c r="M156" s="57"/>
      <c r="N156" s="258"/>
    </row>
    <row r="157" spans="1:14" x14ac:dyDescent="0.35">
      <c r="A157" s="261">
        <v>131</v>
      </c>
      <c r="B157" s="30" t="s">
        <v>234</v>
      </c>
      <c r="C157" s="31" t="s">
        <v>242</v>
      </c>
      <c r="D157" s="274" t="s">
        <v>82</v>
      </c>
      <c r="E157" s="306">
        <v>1000</v>
      </c>
      <c r="F157" s="251" t="s">
        <v>200</v>
      </c>
      <c r="G157" s="229" t="s">
        <v>561</v>
      </c>
      <c r="H157" s="31"/>
      <c r="I157" s="230"/>
      <c r="J157" s="230"/>
      <c r="K157" s="230"/>
      <c r="L157" s="230"/>
      <c r="M157" s="251"/>
    </row>
    <row r="158" spans="1:14" x14ac:dyDescent="0.35">
      <c r="A158" s="261">
        <v>132</v>
      </c>
      <c r="B158" s="30" t="s">
        <v>234</v>
      </c>
      <c r="C158" s="31" t="s">
        <v>243</v>
      </c>
      <c r="D158" s="274" t="s">
        <v>82</v>
      </c>
      <c r="E158" s="306">
        <v>1000</v>
      </c>
      <c r="F158" s="251" t="s">
        <v>200</v>
      </c>
      <c r="G158" s="229" t="s">
        <v>561</v>
      </c>
      <c r="H158" s="31"/>
      <c r="I158" s="230"/>
      <c r="J158" s="230"/>
      <c r="K158" s="230"/>
      <c r="L158" s="230"/>
      <c r="M158" s="251"/>
    </row>
    <row r="159" spans="1:14" x14ac:dyDescent="0.35">
      <c r="A159" s="261">
        <v>133</v>
      </c>
      <c r="B159" s="30" t="s">
        <v>234</v>
      </c>
      <c r="C159" s="31" t="s">
        <v>244</v>
      </c>
      <c r="D159" s="274" t="s">
        <v>82</v>
      </c>
      <c r="E159" s="306">
        <v>1000</v>
      </c>
      <c r="F159" s="453" t="s">
        <v>200</v>
      </c>
      <c r="G159" s="229" t="s">
        <v>561</v>
      </c>
      <c r="H159" s="454"/>
      <c r="I159" s="230"/>
      <c r="J159" s="230"/>
      <c r="K159" s="230"/>
      <c r="L159" s="230"/>
      <c r="M159" s="453"/>
    </row>
    <row r="160" spans="1:14" x14ac:dyDescent="0.35">
      <c r="A160" s="261">
        <v>134</v>
      </c>
      <c r="B160" s="30" t="s">
        <v>234</v>
      </c>
      <c r="C160" s="31" t="s">
        <v>245</v>
      </c>
      <c r="D160" s="274" t="s">
        <v>82</v>
      </c>
      <c r="E160" s="306">
        <v>1000</v>
      </c>
      <c r="F160" s="453" t="s">
        <v>200</v>
      </c>
      <c r="G160" s="229" t="s">
        <v>561</v>
      </c>
      <c r="H160" s="454"/>
      <c r="I160" s="230"/>
      <c r="J160" s="230"/>
      <c r="K160" s="230"/>
      <c r="L160" s="230"/>
      <c r="M160" s="453"/>
    </row>
    <row r="161" spans="1:14" x14ac:dyDescent="0.35">
      <c r="A161" s="261">
        <v>135</v>
      </c>
      <c r="B161" s="30" t="s">
        <v>234</v>
      </c>
      <c r="C161" s="31" t="s">
        <v>246</v>
      </c>
      <c r="D161" s="274" t="s">
        <v>82</v>
      </c>
      <c r="E161" s="306">
        <v>1000</v>
      </c>
      <c r="F161" s="251" t="s">
        <v>84</v>
      </c>
      <c r="G161" s="229" t="s">
        <v>561</v>
      </c>
      <c r="H161" s="31"/>
      <c r="I161" s="230"/>
      <c r="J161" s="230"/>
      <c r="K161" s="230"/>
      <c r="L161" s="230"/>
      <c r="M161" s="251"/>
    </row>
    <row r="162" spans="1:14" x14ac:dyDescent="0.35">
      <c r="A162" s="261">
        <v>136</v>
      </c>
      <c r="B162" s="30" t="s">
        <v>234</v>
      </c>
      <c r="C162" s="31" t="s">
        <v>247</v>
      </c>
      <c r="D162" s="274" t="s">
        <v>82</v>
      </c>
      <c r="E162" s="306">
        <v>1000</v>
      </c>
      <c r="F162" s="251" t="s">
        <v>84</v>
      </c>
      <c r="G162" s="229" t="s">
        <v>561</v>
      </c>
      <c r="H162" s="31"/>
      <c r="I162" s="230"/>
      <c r="J162" s="230"/>
      <c r="K162" s="230"/>
      <c r="L162" s="230"/>
      <c r="M162" s="251"/>
    </row>
    <row r="163" spans="1:14" x14ac:dyDescent="0.35">
      <c r="A163" s="261">
        <v>137</v>
      </c>
      <c r="B163" s="30" t="s">
        <v>234</v>
      </c>
      <c r="C163" s="31" t="s">
        <v>248</v>
      </c>
      <c r="D163" s="274" t="s">
        <v>82</v>
      </c>
      <c r="E163" s="306">
        <v>1000</v>
      </c>
      <c r="F163" s="251" t="s">
        <v>84</v>
      </c>
      <c r="G163" s="229" t="s">
        <v>561</v>
      </c>
      <c r="H163" s="31"/>
      <c r="I163" s="230"/>
      <c r="J163" s="230"/>
      <c r="K163" s="230"/>
      <c r="L163" s="230"/>
      <c r="M163" s="251"/>
    </row>
    <row r="164" spans="1:14" x14ac:dyDescent="0.35">
      <c r="A164" s="261">
        <v>138</v>
      </c>
      <c r="B164" s="30" t="s">
        <v>234</v>
      </c>
      <c r="C164" s="31" t="s">
        <v>249</v>
      </c>
      <c r="D164" s="274" t="s">
        <v>82</v>
      </c>
      <c r="E164" s="306">
        <v>1000</v>
      </c>
      <c r="F164" s="251" t="s">
        <v>84</v>
      </c>
      <c r="G164" s="229" t="s">
        <v>561</v>
      </c>
      <c r="H164" s="31"/>
      <c r="I164" s="230"/>
      <c r="J164" s="230"/>
      <c r="K164" s="230"/>
      <c r="L164" s="230"/>
      <c r="M164" s="251"/>
    </row>
    <row r="165" spans="1:14" x14ac:dyDescent="0.35">
      <c r="A165" s="261">
        <v>139</v>
      </c>
      <c r="B165" s="30" t="s">
        <v>234</v>
      </c>
      <c r="C165" s="31" t="s">
        <v>250</v>
      </c>
      <c r="D165" s="274" t="s">
        <v>82</v>
      </c>
      <c r="E165" s="306">
        <v>1000</v>
      </c>
      <c r="F165" s="251" t="s">
        <v>84</v>
      </c>
      <c r="G165" s="229" t="s">
        <v>561</v>
      </c>
      <c r="H165" s="31"/>
      <c r="I165" s="230"/>
      <c r="J165" s="230"/>
      <c r="K165" s="230"/>
      <c r="L165" s="230"/>
      <c r="M165" s="251"/>
    </row>
    <row r="166" spans="1:14" x14ac:dyDescent="0.35">
      <c r="A166" s="261">
        <v>140</v>
      </c>
      <c r="B166" s="30" t="s">
        <v>234</v>
      </c>
      <c r="C166" s="31" t="s">
        <v>251</v>
      </c>
      <c r="D166" s="274" t="s">
        <v>82</v>
      </c>
      <c r="E166" s="306">
        <v>1000</v>
      </c>
      <c r="F166" s="251" t="s">
        <v>84</v>
      </c>
      <c r="G166" s="229" t="s">
        <v>561</v>
      </c>
      <c r="H166" s="31"/>
      <c r="I166" s="230"/>
      <c r="J166" s="230"/>
      <c r="K166" s="230"/>
      <c r="L166" s="230"/>
      <c r="M166" s="251"/>
    </row>
    <row r="167" spans="1:14" x14ac:dyDescent="0.35">
      <c r="A167" s="261">
        <v>141</v>
      </c>
      <c r="B167" s="30" t="s">
        <v>234</v>
      </c>
      <c r="C167" s="31" t="s">
        <v>252</v>
      </c>
      <c r="D167" s="274" t="s">
        <v>82</v>
      </c>
      <c r="E167" s="306">
        <v>1000</v>
      </c>
      <c r="F167" s="251" t="s">
        <v>84</v>
      </c>
      <c r="G167" s="229" t="s">
        <v>561</v>
      </c>
      <c r="H167" s="31"/>
      <c r="I167" s="230"/>
      <c r="J167" s="230"/>
      <c r="K167" s="230"/>
      <c r="L167" s="230"/>
      <c r="M167" s="251"/>
    </row>
    <row r="168" spans="1:14" x14ac:dyDescent="0.35">
      <c r="A168" s="261">
        <v>142</v>
      </c>
      <c r="B168" s="30" t="s">
        <v>234</v>
      </c>
      <c r="C168" s="31" t="s">
        <v>253</v>
      </c>
      <c r="D168" s="274" t="s">
        <v>82</v>
      </c>
      <c r="E168" s="306">
        <v>1000</v>
      </c>
      <c r="F168" s="251" t="s">
        <v>84</v>
      </c>
      <c r="G168" s="229" t="s">
        <v>561</v>
      </c>
      <c r="H168" s="31"/>
      <c r="I168" s="230"/>
      <c r="J168" s="230"/>
      <c r="K168" s="230"/>
      <c r="L168" s="230"/>
      <c r="M168" s="251"/>
      <c r="N168" s="572">
        <f>SUM(E145:E168)</f>
        <v>24120</v>
      </c>
    </row>
    <row r="169" spans="1:14" x14ac:dyDescent="0.35">
      <c r="A169" s="261">
        <v>143</v>
      </c>
      <c r="B169" s="30" t="s">
        <v>234</v>
      </c>
      <c r="C169" s="31" t="s">
        <v>254</v>
      </c>
      <c r="D169" s="274" t="s">
        <v>82</v>
      </c>
      <c r="E169" s="306">
        <v>1000</v>
      </c>
      <c r="F169" s="251" t="s">
        <v>84</v>
      </c>
      <c r="G169" s="229" t="s">
        <v>561</v>
      </c>
      <c r="H169" s="31"/>
      <c r="I169" s="230"/>
      <c r="J169" s="230"/>
      <c r="K169" s="230"/>
      <c r="L169" s="230"/>
      <c r="M169" s="251"/>
    </row>
    <row r="170" spans="1:14" x14ac:dyDescent="0.35">
      <c r="A170" s="261">
        <v>144</v>
      </c>
      <c r="B170" s="30" t="s">
        <v>234</v>
      </c>
      <c r="C170" s="31" t="s">
        <v>255</v>
      </c>
      <c r="D170" s="274" t="s">
        <v>82</v>
      </c>
      <c r="E170" s="306">
        <v>1000</v>
      </c>
      <c r="F170" s="251" t="s">
        <v>84</v>
      </c>
      <c r="G170" s="229" t="s">
        <v>561</v>
      </c>
      <c r="H170" s="31"/>
      <c r="I170" s="230"/>
      <c r="J170" s="230"/>
      <c r="K170" s="230"/>
      <c r="L170" s="230"/>
      <c r="M170" s="251"/>
    </row>
    <row r="171" spans="1:14" x14ac:dyDescent="0.35">
      <c r="A171" s="261">
        <v>145</v>
      </c>
      <c r="B171" s="30" t="s">
        <v>234</v>
      </c>
      <c r="C171" s="31" t="s">
        <v>256</v>
      </c>
      <c r="D171" s="274" t="s">
        <v>82</v>
      </c>
      <c r="E171" s="306">
        <v>1000</v>
      </c>
      <c r="F171" s="251" t="s">
        <v>83</v>
      </c>
      <c r="G171" s="229" t="s">
        <v>561</v>
      </c>
      <c r="H171" s="31"/>
      <c r="I171" s="230"/>
      <c r="J171" s="230"/>
      <c r="K171" s="230"/>
      <c r="L171" s="230"/>
      <c r="M171" s="251"/>
    </row>
    <row r="172" spans="1:14" x14ac:dyDescent="0.35">
      <c r="A172" s="261">
        <v>146</v>
      </c>
      <c r="B172" s="30" t="s">
        <v>234</v>
      </c>
      <c r="C172" s="31" t="s">
        <v>257</v>
      </c>
      <c r="D172" s="274" t="s">
        <v>82</v>
      </c>
      <c r="E172" s="306">
        <v>1000</v>
      </c>
      <c r="F172" s="251" t="s">
        <v>83</v>
      </c>
      <c r="G172" s="229" t="s">
        <v>561</v>
      </c>
      <c r="H172" s="31"/>
      <c r="I172" s="230"/>
      <c r="J172" s="230"/>
      <c r="K172" s="230"/>
      <c r="L172" s="230"/>
      <c r="M172" s="251"/>
    </row>
    <row r="173" spans="1:14" x14ac:dyDescent="0.35">
      <c r="A173" s="261">
        <v>147</v>
      </c>
      <c r="B173" s="30" t="s">
        <v>234</v>
      </c>
      <c r="C173" s="31" t="s">
        <v>258</v>
      </c>
      <c r="D173" s="274" t="s">
        <v>82</v>
      </c>
      <c r="E173" s="306">
        <v>1000</v>
      </c>
      <c r="F173" s="251" t="s">
        <v>83</v>
      </c>
      <c r="G173" s="229" t="s">
        <v>561</v>
      </c>
      <c r="H173" s="31"/>
      <c r="I173" s="230"/>
      <c r="J173" s="230"/>
      <c r="K173" s="230"/>
      <c r="L173" s="230"/>
      <c r="M173" s="251"/>
    </row>
    <row r="174" spans="1:14" x14ac:dyDescent="0.35">
      <c r="A174" s="261">
        <v>148</v>
      </c>
      <c r="B174" s="30" t="s">
        <v>234</v>
      </c>
      <c r="C174" s="31" t="s">
        <v>259</v>
      </c>
      <c r="D174" s="274" t="s">
        <v>82</v>
      </c>
      <c r="E174" s="306">
        <v>1000</v>
      </c>
      <c r="F174" s="251" t="s">
        <v>83</v>
      </c>
      <c r="G174" s="229" t="s">
        <v>561</v>
      </c>
      <c r="H174" s="31"/>
      <c r="I174" s="230"/>
      <c r="J174" s="230"/>
      <c r="K174" s="230"/>
      <c r="L174" s="230"/>
      <c r="M174" s="251"/>
    </row>
    <row r="175" spans="1:14" x14ac:dyDescent="0.35">
      <c r="A175" s="261">
        <v>149</v>
      </c>
      <c r="B175" s="30" t="s">
        <v>234</v>
      </c>
      <c r="C175" s="31" t="s">
        <v>260</v>
      </c>
      <c r="D175" s="274" t="s">
        <v>82</v>
      </c>
      <c r="E175" s="306">
        <v>1000</v>
      </c>
      <c r="F175" s="251" t="s">
        <v>83</v>
      </c>
      <c r="G175" s="229" t="s">
        <v>561</v>
      </c>
      <c r="H175" s="31"/>
      <c r="I175" s="230"/>
      <c r="J175" s="230"/>
      <c r="K175" s="230"/>
      <c r="L175" s="230"/>
      <c r="M175" s="251"/>
    </row>
    <row r="176" spans="1:14" x14ac:dyDescent="0.35">
      <c r="A176" s="261">
        <v>150</v>
      </c>
      <c r="B176" s="38" t="s">
        <v>234</v>
      </c>
      <c r="C176" s="37" t="s">
        <v>261</v>
      </c>
      <c r="D176" s="280" t="s">
        <v>82</v>
      </c>
      <c r="E176" s="308">
        <v>1000</v>
      </c>
      <c r="F176" s="57" t="s">
        <v>83</v>
      </c>
      <c r="G176" s="263" t="s">
        <v>561</v>
      </c>
      <c r="H176" s="37"/>
      <c r="I176" s="262"/>
      <c r="J176" s="262"/>
      <c r="K176" s="262"/>
      <c r="L176" s="262"/>
      <c r="M176" s="57"/>
    </row>
    <row r="177" spans="1:14" x14ac:dyDescent="0.35">
      <c r="A177" s="261">
        <v>151</v>
      </c>
      <c r="B177" s="30" t="s">
        <v>234</v>
      </c>
      <c r="C177" s="31" t="s">
        <v>262</v>
      </c>
      <c r="D177" s="274" t="s">
        <v>82</v>
      </c>
      <c r="E177" s="306">
        <v>1000</v>
      </c>
      <c r="F177" s="251" t="s">
        <v>83</v>
      </c>
      <c r="G177" s="229" t="s">
        <v>561</v>
      </c>
      <c r="H177" s="31"/>
      <c r="I177" s="230"/>
      <c r="J177" s="230"/>
      <c r="K177" s="230"/>
      <c r="L177" s="230"/>
      <c r="M177" s="251"/>
    </row>
    <row r="178" spans="1:14" x14ac:dyDescent="0.35">
      <c r="A178" s="261">
        <v>152</v>
      </c>
      <c r="B178" s="30" t="s">
        <v>234</v>
      </c>
      <c r="C178" s="31" t="s">
        <v>263</v>
      </c>
      <c r="D178" s="274" t="s">
        <v>82</v>
      </c>
      <c r="E178" s="306">
        <v>1000</v>
      </c>
      <c r="F178" s="251" t="s">
        <v>83</v>
      </c>
      <c r="G178" s="229" t="s">
        <v>561</v>
      </c>
      <c r="H178" s="31"/>
      <c r="I178" s="230"/>
      <c r="J178" s="230"/>
      <c r="K178" s="230"/>
      <c r="L178" s="230"/>
      <c r="M178" s="251"/>
    </row>
    <row r="179" spans="1:14" x14ac:dyDescent="0.35">
      <c r="A179" s="261">
        <v>153</v>
      </c>
      <c r="B179" s="30" t="s">
        <v>234</v>
      </c>
      <c r="C179" s="31" t="s">
        <v>264</v>
      </c>
      <c r="D179" s="274" t="s">
        <v>82</v>
      </c>
      <c r="E179" s="306">
        <v>1000</v>
      </c>
      <c r="F179" s="251" t="s">
        <v>83</v>
      </c>
      <c r="G179" s="229" t="s">
        <v>561</v>
      </c>
      <c r="H179" s="31"/>
      <c r="I179" s="230"/>
      <c r="J179" s="230"/>
      <c r="K179" s="230"/>
      <c r="L179" s="230"/>
      <c r="M179" s="251"/>
    </row>
    <row r="180" spans="1:14" x14ac:dyDescent="0.35">
      <c r="A180" s="261">
        <v>154</v>
      </c>
      <c r="B180" s="30" t="s">
        <v>234</v>
      </c>
      <c r="C180" s="31" t="s">
        <v>265</v>
      </c>
      <c r="D180" s="274" t="s">
        <v>82</v>
      </c>
      <c r="E180" s="306">
        <v>1000</v>
      </c>
      <c r="F180" s="251" t="s">
        <v>83</v>
      </c>
      <c r="G180" s="229" t="s">
        <v>561</v>
      </c>
      <c r="H180" s="31"/>
      <c r="I180" s="230"/>
      <c r="J180" s="230"/>
      <c r="K180" s="230"/>
      <c r="L180" s="230"/>
      <c r="M180" s="251"/>
    </row>
    <row r="181" spans="1:14" x14ac:dyDescent="0.35">
      <c r="A181" s="261">
        <v>155</v>
      </c>
      <c r="B181" s="30" t="s">
        <v>234</v>
      </c>
      <c r="C181" s="31" t="s">
        <v>266</v>
      </c>
      <c r="D181" s="274" t="s">
        <v>82</v>
      </c>
      <c r="E181" s="306">
        <v>1000</v>
      </c>
      <c r="F181" s="251" t="s">
        <v>166</v>
      </c>
      <c r="G181" s="229" t="s">
        <v>561</v>
      </c>
      <c r="H181" s="31"/>
      <c r="I181" s="230"/>
      <c r="J181" s="230"/>
      <c r="K181" s="230"/>
      <c r="L181" s="230"/>
      <c r="M181" s="251"/>
    </row>
    <row r="182" spans="1:14" x14ac:dyDescent="0.35">
      <c r="A182" s="261">
        <v>156</v>
      </c>
      <c r="B182" s="30" t="s">
        <v>234</v>
      </c>
      <c r="C182" s="31" t="s">
        <v>267</v>
      </c>
      <c r="D182" s="274" t="s">
        <v>82</v>
      </c>
      <c r="E182" s="306">
        <v>1000</v>
      </c>
      <c r="F182" s="251" t="s">
        <v>166</v>
      </c>
      <c r="G182" s="229" t="s">
        <v>561</v>
      </c>
      <c r="H182" s="31"/>
      <c r="I182" s="230"/>
      <c r="J182" s="230"/>
      <c r="K182" s="230"/>
      <c r="L182" s="230"/>
      <c r="M182" s="251"/>
    </row>
    <row r="183" spans="1:14" x14ac:dyDescent="0.35">
      <c r="A183" s="261">
        <v>157</v>
      </c>
      <c r="B183" s="30" t="s">
        <v>234</v>
      </c>
      <c r="C183" s="31" t="s">
        <v>268</v>
      </c>
      <c r="D183" s="274" t="s">
        <v>82</v>
      </c>
      <c r="E183" s="306">
        <v>1000</v>
      </c>
      <c r="F183" s="251" t="s">
        <v>166</v>
      </c>
      <c r="G183" s="229" t="s">
        <v>561</v>
      </c>
      <c r="H183" s="31"/>
      <c r="I183" s="230"/>
      <c r="J183" s="230"/>
      <c r="K183" s="230"/>
      <c r="L183" s="230"/>
      <c r="M183" s="251"/>
    </row>
    <row r="184" spans="1:14" x14ac:dyDescent="0.35">
      <c r="A184" s="261">
        <v>158</v>
      </c>
      <c r="B184" s="30" t="s">
        <v>234</v>
      </c>
      <c r="C184" s="31" t="s">
        <v>269</v>
      </c>
      <c r="D184" s="274" t="s">
        <v>82</v>
      </c>
      <c r="E184" s="306">
        <v>1000</v>
      </c>
      <c r="F184" s="251" t="s">
        <v>166</v>
      </c>
      <c r="G184" s="229" t="s">
        <v>561</v>
      </c>
      <c r="H184" s="31"/>
      <c r="I184" s="230"/>
      <c r="J184" s="230"/>
      <c r="K184" s="230"/>
      <c r="L184" s="230"/>
      <c r="M184" s="251"/>
    </row>
    <row r="185" spans="1:14" x14ac:dyDescent="0.35">
      <c r="A185" s="261">
        <v>159</v>
      </c>
      <c r="B185" s="30" t="s">
        <v>234</v>
      </c>
      <c r="C185" s="31" t="s">
        <v>270</v>
      </c>
      <c r="D185" s="274" t="s">
        <v>82</v>
      </c>
      <c r="E185" s="306">
        <v>1000</v>
      </c>
      <c r="F185" s="251" t="s">
        <v>166</v>
      </c>
      <c r="G185" s="229" t="s">
        <v>561</v>
      </c>
      <c r="H185" s="31"/>
      <c r="I185" s="230"/>
      <c r="J185" s="230"/>
      <c r="K185" s="230"/>
      <c r="L185" s="230"/>
      <c r="M185" s="251"/>
    </row>
    <row r="186" spans="1:14" x14ac:dyDescent="0.35">
      <c r="A186" s="261">
        <v>160</v>
      </c>
      <c r="B186" s="30" t="s">
        <v>234</v>
      </c>
      <c r="C186" s="31" t="s">
        <v>271</v>
      </c>
      <c r="D186" s="274" t="s">
        <v>82</v>
      </c>
      <c r="E186" s="306">
        <v>1000</v>
      </c>
      <c r="F186" s="251" t="s">
        <v>166</v>
      </c>
      <c r="G186" s="229" t="s">
        <v>561</v>
      </c>
      <c r="H186" s="31"/>
      <c r="I186" s="230"/>
      <c r="J186" s="230"/>
      <c r="K186" s="230"/>
      <c r="L186" s="230"/>
      <c r="M186" s="251"/>
    </row>
    <row r="187" spans="1:14" x14ac:dyDescent="0.35">
      <c r="A187" s="261">
        <v>161</v>
      </c>
      <c r="B187" s="30" t="s">
        <v>234</v>
      </c>
      <c r="C187" s="31" t="s">
        <v>272</v>
      </c>
      <c r="D187" s="274" t="s">
        <v>82</v>
      </c>
      <c r="E187" s="306">
        <v>1000</v>
      </c>
      <c r="F187" s="251" t="s">
        <v>166</v>
      </c>
      <c r="G187" s="229" t="s">
        <v>561</v>
      </c>
      <c r="H187" s="31"/>
      <c r="I187" s="230"/>
      <c r="J187" s="230"/>
      <c r="K187" s="230"/>
      <c r="L187" s="230"/>
      <c r="M187" s="251"/>
      <c r="N187" s="258"/>
    </row>
    <row r="188" spans="1:14" x14ac:dyDescent="0.35">
      <c r="A188" s="261">
        <v>162</v>
      </c>
      <c r="B188" s="30" t="s">
        <v>234</v>
      </c>
      <c r="C188" s="31" t="s">
        <v>273</v>
      </c>
      <c r="D188" s="274" t="s">
        <v>82</v>
      </c>
      <c r="E188" s="306">
        <v>1000</v>
      </c>
      <c r="F188" s="251" t="s">
        <v>166</v>
      </c>
      <c r="G188" s="229" t="s">
        <v>561</v>
      </c>
      <c r="H188" s="31"/>
      <c r="I188" s="230"/>
      <c r="J188" s="230"/>
      <c r="K188" s="230"/>
      <c r="L188" s="230"/>
      <c r="M188" s="251"/>
    </row>
    <row r="189" spans="1:14" x14ac:dyDescent="0.35">
      <c r="A189" s="261">
        <v>163</v>
      </c>
      <c r="B189" s="30" t="s">
        <v>234</v>
      </c>
      <c r="C189" s="31" t="s">
        <v>274</v>
      </c>
      <c r="D189" s="274" t="s">
        <v>82</v>
      </c>
      <c r="E189" s="306">
        <v>1000</v>
      </c>
      <c r="F189" s="251" t="s">
        <v>166</v>
      </c>
      <c r="G189" s="229" t="s">
        <v>561</v>
      </c>
      <c r="H189" s="31"/>
      <c r="I189" s="230"/>
      <c r="J189" s="230"/>
      <c r="K189" s="230"/>
      <c r="L189" s="230"/>
      <c r="M189" s="251"/>
    </row>
    <row r="190" spans="1:14" x14ac:dyDescent="0.35">
      <c r="A190" s="261">
        <v>164</v>
      </c>
      <c r="B190" s="30" t="s">
        <v>234</v>
      </c>
      <c r="C190" s="31" t="s">
        <v>275</v>
      </c>
      <c r="D190" s="274" t="s">
        <v>82</v>
      </c>
      <c r="E190" s="306">
        <v>1000</v>
      </c>
      <c r="F190" s="251" t="s">
        <v>166</v>
      </c>
      <c r="G190" s="229" t="s">
        <v>561</v>
      </c>
      <c r="H190" s="31"/>
      <c r="I190" s="230"/>
      <c r="J190" s="230"/>
      <c r="K190" s="230"/>
      <c r="L190" s="230"/>
      <c r="M190" s="251"/>
    </row>
    <row r="191" spans="1:14" x14ac:dyDescent="0.35">
      <c r="A191" s="261">
        <v>165</v>
      </c>
      <c r="B191" s="30" t="s">
        <v>234</v>
      </c>
      <c r="C191" s="31" t="s">
        <v>276</v>
      </c>
      <c r="D191" s="274" t="s">
        <v>82</v>
      </c>
      <c r="E191" s="306">
        <v>1000</v>
      </c>
      <c r="F191" s="251" t="s">
        <v>277</v>
      </c>
      <c r="G191" s="229" t="s">
        <v>561</v>
      </c>
      <c r="H191" s="31"/>
      <c r="I191" s="230"/>
      <c r="J191" s="230"/>
      <c r="K191" s="230"/>
      <c r="L191" s="230"/>
      <c r="M191" s="251"/>
    </row>
    <row r="192" spans="1:14" x14ac:dyDescent="0.35">
      <c r="A192" s="261">
        <v>166</v>
      </c>
      <c r="B192" s="30" t="s">
        <v>234</v>
      </c>
      <c r="C192" s="31" t="s">
        <v>278</v>
      </c>
      <c r="D192" s="274" t="s">
        <v>82</v>
      </c>
      <c r="E192" s="306">
        <v>1000</v>
      </c>
      <c r="F192" s="251" t="s">
        <v>277</v>
      </c>
      <c r="G192" s="229" t="s">
        <v>561</v>
      </c>
      <c r="H192" s="31"/>
      <c r="I192" s="230"/>
      <c r="J192" s="230"/>
      <c r="K192" s="230"/>
      <c r="L192" s="230"/>
      <c r="M192" s="251"/>
      <c r="N192" s="572">
        <f>SUM(E169:E192)</f>
        <v>24000</v>
      </c>
    </row>
    <row r="193" spans="1:13" x14ac:dyDescent="0.35">
      <c r="A193" s="261">
        <v>167</v>
      </c>
      <c r="B193" s="30" t="s">
        <v>234</v>
      </c>
      <c r="C193" s="31" t="s">
        <v>279</v>
      </c>
      <c r="D193" s="274" t="s">
        <v>82</v>
      </c>
      <c r="E193" s="306">
        <v>1000</v>
      </c>
      <c r="F193" s="251" t="s">
        <v>277</v>
      </c>
      <c r="G193" s="229" t="s">
        <v>561</v>
      </c>
      <c r="H193" s="31"/>
      <c r="I193" s="230"/>
      <c r="J193" s="230"/>
      <c r="K193" s="230"/>
      <c r="L193" s="230"/>
      <c r="M193" s="251"/>
    </row>
    <row r="194" spans="1:13" x14ac:dyDescent="0.35">
      <c r="A194" s="261">
        <v>168</v>
      </c>
      <c r="B194" s="30" t="s">
        <v>234</v>
      </c>
      <c r="C194" s="31" t="s">
        <v>280</v>
      </c>
      <c r="D194" s="274" t="s">
        <v>82</v>
      </c>
      <c r="E194" s="306">
        <v>1000</v>
      </c>
      <c r="F194" s="251" t="s">
        <v>277</v>
      </c>
      <c r="G194" s="229" t="s">
        <v>561</v>
      </c>
      <c r="H194" s="31"/>
      <c r="I194" s="230"/>
      <c r="J194" s="230"/>
      <c r="K194" s="230"/>
      <c r="L194" s="230"/>
      <c r="M194" s="251"/>
    </row>
    <row r="195" spans="1:13" x14ac:dyDescent="0.35">
      <c r="A195" s="261">
        <v>169</v>
      </c>
      <c r="B195" s="30" t="s">
        <v>234</v>
      </c>
      <c r="C195" s="31" t="s">
        <v>281</v>
      </c>
      <c r="D195" s="274" t="s">
        <v>82</v>
      </c>
      <c r="E195" s="306">
        <v>1000</v>
      </c>
      <c r="F195" s="251" t="s">
        <v>277</v>
      </c>
      <c r="G195" s="229" t="s">
        <v>561</v>
      </c>
      <c r="H195" s="31"/>
      <c r="I195" s="230"/>
      <c r="J195" s="230"/>
      <c r="K195" s="230"/>
      <c r="L195" s="230"/>
      <c r="M195" s="251"/>
    </row>
    <row r="196" spans="1:13" x14ac:dyDescent="0.35">
      <c r="A196" s="261">
        <v>170</v>
      </c>
      <c r="B196" s="38" t="s">
        <v>234</v>
      </c>
      <c r="C196" s="37" t="s">
        <v>282</v>
      </c>
      <c r="D196" s="280" t="s">
        <v>82</v>
      </c>
      <c r="E196" s="308">
        <v>1000</v>
      </c>
      <c r="F196" s="57" t="s">
        <v>277</v>
      </c>
      <c r="G196" s="263" t="s">
        <v>561</v>
      </c>
      <c r="H196" s="37"/>
      <c r="I196" s="262"/>
      <c r="J196" s="262"/>
      <c r="K196" s="262"/>
      <c r="L196" s="262"/>
      <c r="M196" s="57"/>
    </row>
    <row r="197" spans="1:13" x14ac:dyDescent="0.35">
      <c r="A197" s="261">
        <v>171</v>
      </c>
      <c r="B197" s="30" t="s">
        <v>234</v>
      </c>
      <c r="C197" s="31" t="s">
        <v>283</v>
      </c>
      <c r="D197" s="274" t="s">
        <v>82</v>
      </c>
      <c r="E197" s="306">
        <v>1000</v>
      </c>
      <c r="F197" s="251" t="s">
        <v>277</v>
      </c>
      <c r="G197" s="229" t="s">
        <v>561</v>
      </c>
      <c r="H197" s="31"/>
      <c r="I197" s="230"/>
      <c r="J197" s="230"/>
      <c r="K197" s="230"/>
      <c r="L197" s="230"/>
      <c r="M197" s="251"/>
    </row>
    <row r="198" spans="1:13" x14ac:dyDescent="0.35">
      <c r="A198" s="261">
        <v>172</v>
      </c>
      <c r="B198" s="30" t="s">
        <v>234</v>
      </c>
      <c r="C198" s="31" t="s">
        <v>284</v>
      </c>
      <c r="D198" s="274" t="s">
        <v>82</v>
      </c>
      <c r="E198" s="306">
        <v>1000</v>
      </c>
      <c r="F198" s="251" t="s">
        <v>277</v>
      </c>
      <c r="G198" s="229" t="s">
        <v>561</v>
      </c>
      <c r="H198" s="31"/>
      <c r="I198" s="230"/>
      <c r="J198" s="230"/>
      <c r="K198" s="230"/>
      <c r="L198" s="230"/>
      <c r="M198" s="251"/>
    </row>
    <row r="199" spans="1:13" x14ac:dyDescent="0.35">
      <c r="A199" s="261">
        <v>173</v>
      </c>
      <c r="B199" s="30" t="s">
        <v>234</v>
      </c>
      <c r="C199" s="31" t="s">
        <v>285</v>
      </c>
      <c r="D199" s="274" t="s">
        <v>82</v>
      </c>
      <c r="E199" s="306">
        <v>1000</v>
      </c>
      <c r="F199" s="251" t="s">
        <v>277</v>
      </c>
      <c r="G199" s="229" t="s">
        <v>561</v>
      </c>
      <c r="H199" s="31"/>
      <c r="I199" s="230"/>
      <c r="J199" s="230"/>
      <c r="K199" s="230"/>
      <c r="L199" s="230"/>
      <c r="M199" s="251"/>
    </row>
    <row r="200" spans="1:13" x14ac:dyDescent="0.35">
      <c r="A200" s="261">
        <v>174</v>
      </c>
      <c r="B200" s="30" t="s">
        <v>234</v>
      </c>
      <c r="C200" s="31" t="s">
        <v>286</v>
      </c>
      <c r="D200" s="274" t="s">
        <v>82</v>
      </c>
      <c r="E200" s="306">
        <v>1000</v>
      </c>
      <c r="F200" s="251" t="s">
        <v>277</v>
      </c>
      <c r="G200" s="229" t="s">
        <v>561</v>
      </c>
      <c r="H200" s="31"/>
      <c r="I200" s="230"/>
      <c r="J200" s="230"/>
      <c r="K200" s="230"/>
      <c r="L200" s="230"/>
      <c r="M200" s="251"/>
    </row>
    <row r="201" spans="1:13" x14ac:dyDescent="0.35">
      <c r="A201" s="261">
        <v>175</v>
      </c>
      <c r="B201" s="30" t="s">
        <v>234</v>
      </c>
      <c r="C201" s="31" t="s">
        <v>287</v>
      </c>
      <c r="D201" s="274" t="s">
        <v>82</v>
      </c>
      <c r="E201" s="306">
        <v>1000</v>
      </c>
      <c r="F201" s="251" t="s">
        <v>288</v>
      </c>
      <c r="G201" s="229" t="s">
        <v>561</v>
      </c>
      <c r="H201" s="31"/>
      <c r="I201" s="230"/>
      <c r="J201" s="230"/>
      <c r="K201" s="230"/>
      <c r="L201" s="230"/>
      <c r="M201" s="251"/>
    </row>
    <row r="202" spans="1:13" x14ac:dyDescent="0.35">
      <c r="A202" s="261">
        <v>176</v>
      </c>
      <c r="B202" s="30" t="s">
        <v>234</v>
      </c>
      <c r="C202" s="31" t="s">
        <v>289</v>
      </c>
      <c r="D202" s="274" t="s">
        <v>82</v>
      </c>
      <c r="E202" s="306">
        <v>1000</v>
      </c>
      <c r="F202" s="251" t="s">
        <v>288</v>
      </c>
      <c r="G202" s="229" t="s">
        <v>561</v>
      </c>
      <c r="H202" s="31"/>
      <c r="I202" s="230"/>
      <c r="J202" s="230"/>
      <c r="K202" s="230"/>
      <c r="L202" s="230"/>
      <c r="M202" s="251"/>
    </row>
    <row r="203" spans="1:13" x14ac:dyDescent="0.35">
      <c r="A203" s="261">
        <v>177</v>
      </c>
      <c r="B203" s="30" t="s">
        <v>234</v>
      </c>
      <c r="C203" s="31" t="s">
        <v>290</v>
      </c>
      <c r="D203" s="274" t="s">
        <v>82</v>
      </c>
      <c r="E203" s="306">
        <v>1000</v>
      </c>
      <c r="F203" s="251" t="s">
        <v>288</v>
      </c>
      <c r="G203" s="229" t="s">
        <v>561</v>
      </c>
      <c r="H203" s="31"/>
      <c r="I203" s="230"/>
      <c r="J203" s="230"/>
      <c r="K203" s="230"/>
      <c r="L203" s="230"/>
      <c r="M203" s="251"/>
    </row>
    <row r="204" spans="1:13" x14ac:dyDescent="0.35">
      <c r="A204" s="261">
        <v>178</v>
      </c>
      <c r="B204" s="30" t="s">
        <v>234</v>
      </c>
      <c r="C204" s="31" t="s">
        <v>291</v>
      </c>
      <c r="D204" s="274" t="s">
        <v>82</v>
      </c>
      <c r="E204" s="306">
        <v>1000</v>
      </c>
      <c r="F204" s="251" t="s">
        <v>288</v>
      </c>
      <c r="G204" s="229" t="s">
        <v>561</v>
      </c>
      <c r="H204" s="31"/>
      <c r="I204" s="230"/>
      <c r="J204" s="230"/>
      <c r="K204" s="230"/>
      <c r="L204" s="230"/>
      <c r="M204" s="251"/>
    </row>
    <row r="205" spans="1:13" x14ac:dyDescent="0.35">
      <c r="A205" s="261">
        <v>179</v>
      </c>
      <c r="B205" s="30" t="s">
        <v>234</v>
      </c>
      <c r="C205" s="31" t="s">
        <v>292</v>
      </c>
      <c r="D205" s="274" t="s">
        <v>82</v>
      </c>
      <c r="E205" s="306">
        <v>1000</v>
      </c>
      <c r="F205" s="251" t="s">
        <v>288</v>
      </c>
      <c r="G205" s="229" t="s">
        <v>561</v>
      </c>
      <c r="H205" s="31"/>
      <c r="I205" s="230"/>
      <c r="J205" s="230"/>
      <c r="K205" s="230"/>
      <c r="L205" s="230"/>
      <c r="M205" s="251"/>
    </row>
    <row r="206" spans="1:13" x14ac:dyDescent="0.35">
      <c r="A206" s="261">
        <v>180</v>
      </c>
      <c r="B206" s="30" t="s">
        <v>234</v>
      </c>
      <c r="C206" s="31" t="s">
        <v>293</v>
      </c>
      <c r="D206" s="274" t="s">
        <v>82</v>
      </c>
      <c r="E206" s="306">
        <v>1000</v>
      </c>
      <c r="F206" s="251" t="s">
        <v>288</v>
      </c>
      <c r="G206" s="229" t="s">
        <v>561</v>
      </c>
      <c r="H206" s="31"/>
      <c r="I206" s="230"/>
      <c r="J206" s="230"/>
      <c r="K206" s="230"/>
      <c r="L206" s="230"/>
      <c r="M206" s="251"/>
    </row>
    <row r="207" spans="1:13" x14ac:dyDescent="0.35">
      <c r="A207" s="261">
        <v>181</v>
      </c>
      <c r="B207" s="30" t="s">
        <v>234</v>
      </c>
      <c r="C207" s="31" t="s">
        <v>294</v>
      </c>
      <c r="D207" s="274" t="s">
        <v>82</v>
      </c>
      <c r="E207" s="306">
        <v>1000</v>
      </c>
      <c r="F207" s="251" t="s">
        <v>288</v>
      </c>
      <c r="G207" s="229" t="s">
        <v>561</v>
      </c>
      <c r="H207" s="31"/>
      <c r="I207" s="230"/>
      <c r="J207" s="230"/>
      <c r="K207" s="230"/>
      <c r="L207" s="230"/>
      <c r="M207" s="251"/>
    </row>
    <row r="208" spans="1:13" x14ac:dyDescent="0.35">
      <c r="A208" s="261">
        <v>182</v>
      </c>
      <c r="B208" s="30" t="s">
        <v>234</v>
      </c>
      <c r="C208" s="31" t="s">
        <v>295</v>
      </c>
      <c r="D208" s="274" t="s">
        <v>82</v>
      </c>
      <c r="E208" s="306">
        <v>1000</v>
      </c>
      <c r="F208" s="251" t="s">
        <v>288</v>
      </c>
      <c r="G208" s="229" t="s">
        <v>561</v>
      </c>
      <c r="H208" s="31"/>
      <c r="I208" s="230"/>
      <c r="J208" s="230"/>
      <c r="K208" s="230"/>
      <c r="L208" s="230"/>
      <c r="M208" s="251"/>
    </row>
    <row r="209" spans="1:14" x14ac:dyDescent="0.35">
      <c r="A209" s="261">
        <v>183</v>
      </c>
      <c r="B209" s="30" t="s">
        <v>234</v>
      </c>
      <c r="C209" s="31" t="s">
        <v>296</v>
      </c>
      <c r="D209" s="274" t="s">
        <v>82</v>
      </c>
      <c r="E209" s="306">
        <v>1000</v>
      </c>
      <c r="F209" s="251" t="s">
        <v>288</v>
      </c>
      <c r="G209" s="229" t="s">
        <v>561</v>
      </c>
      <c r="H209" s="31"/>
      <c r="I209" s="230"/>
      <c r="J209" s="230"/>
      <c r="K209" s="230"/>
      <c r="L209" s="230"/>
      <c r="M209" s="251"/>
    </row>
    <row r="210" spans="1:14" x14ac:dyDescent="0.35">
      <c r="A210" s="261">
        <v>184</v>
      </c>
      <c r="B210" s="30" t="s">
        <v>234</v>
      </c>
      <c r="C210" s="31" t="s">
        <v>297</v>
      </c>
      <c r="D210" s="274" t="s">
        <v>82</v>
      </c>
      <c r="E210" s="306">
        <v>1000</v>
      </c>
      <c r="F210" s="251" t="s">
        <v>288</v>
      </c>
      <c r="G210" s="229" t="s">
        <v>561</v>
      </c>
      <c r="H210" s="31"/>
      <c r="I210" s="230"/>
      <c r="J210" s="230"/>
      <c r="K210" s="230"/>
      <c r="L210" s="230"/>
      <c r="M210" s="251"/>
    </row>
    <row r="211" spans="1:14" x14ac:dyDescent="0.35">
      <c r="A211" s="261">
        <v>185</v>
      </c>
      <c r="B211" s="30" t="s">
        <v>234</v>
      </c>
      <c r="C211" s="31" t="s">
        <v>298</v>
      </c>
      <c r="D211" s="274" t="s">
        <v>82</v>
      </c>
      <c r="E211" s="306">
        <v>1000</v>
      </c>
      <c r="F211" s="251" t="s">
        <v>299</v>
      </c>
      <c r="G211" s="229" t="s">
        <v>561</v>
      </c>
      <c r="H211" s="31"/>
      <c r="I211" s="230"/>
      <c r="J211" s="230"/>
      <c r="K211" s="230"/>
      <c r="L211" s="230"/>
      <c r="M211" s="251"/>
    </row>
    <row r="212" spans="1:14" x14ac:dyDescent="0.35">
      <c r="A212" s="261">
        <v>186</v>
      </c>
      <c r="B212" s="30" t="s">
        <v>234</v>
      </c>
      <c r="C212" s="31" t="s">
        <v>300</v>
      </c>
      <c r="D212" s="274" t="s">
        <v>82</v>
      </c>
      <c r="E212" s="306">
        <v>1000</v>
      </c>
      <c r="F212" s="251" t="s">
        <v>299</v>
      </c>
      <c r="G212" s="229" t="s">
        <v>561</v>
      </c>
      <c r="H212" s="31"/>
      <c r="I212" s="230"/>
      <c r="J212" s="230"/>
      <c r="K212" s="230"/>
      <c r="L212" s="230"/>
      <c r="M212" s="251"/>
    </row>
    <row r="213" spans="1:14" x14ac:dyDescent="0.35">
      <c r="A213" s="261">
        <v>187</v>
      </c>
      <c r="B213" s="30" t="s">
        <v>234</v>
      </c>
      <c r="C213" s="31" t="s">
        <v>301</v>
      </c>
      <c r="D213" s="274" t="s">
        <v>82</v>
      </c>
      <c r="E213" s="306">
        <v>1000</v>
      </c>
      <c r="F213" s="251" t="s">
        <v>299</v>
      </c>
      <c r="G213" s="229" t="s">
        <v>561</v>
      </c>
      <c r="H213" s="31"/>
      <c r="I213" s="230"/>
      <c r="J213" s="230"/>
      <c r="K213" s="230"/>
      <c r="L213" s="230"/>
      <c r="M213" s="251"/>
    </row>
    <row r="214" spans="1:14" x14ac:dyDescent="0.35">
      <c r="A214" s="261">
        <v>188</v>
      </c>
      <c r="B214" s="30" t="s">
        <v>234</v>
      </c>
      <c r="C214" s="31" t="s">
        <v>302</v>
      </c>
      <c r="D214" s="274" t="s">
        <v>82</v>
      </c>
      <c r="E214" s="306">
        <v>1000</v>
      </c>
      <c r="F214" s="251" t="s">
        <v>299</v>
      </c>
      <c r="G214" s="229" t="s">
        <v>561</v>
      </c>
      <c r="H214" s="31"/>
      <c r="I214" s="230"/>
      <c r="J214" s="230"/>
      <c r="K214" s="230"/>
      <c r="L214" s="230"/>
      <c r="M214" s="251"/>
    </row>
    <row r="215" spans="1:14" x14ac:dyDescent="0.35">
      <c r="A215" s="261">
        <v>189</v>
      </c>
      <c r="B215" s="30" t="s">
        <v>234</v>
      </c>
      <c r="C215" s="31" t="s">
        <v>303</v>
      </c>
      <c r="D215" s="274" t="s">
        <v>82</v>
      </c>
      <c r="E215" s="306">
        <v>1000</v>
      </c>
      <c r="F215" s="251" t="s">
        <v>299</v>
      </c>
      <c r="G215" s="229" t="s">
        <v>561</v>
      </c>
      <c r="H215" s="31"/>
      <c r="I215" s="230"/>
      <c r="J215" s="230"/>
      <c r="K215" s="230"/>
      <c r="L215" s="230"/>
      <c r="M215" s="251"/>
    </row>
    <row r="216" spans="1:14" x14ac:dyDescent="0.35">
      <c r="A216" s="261">
        <v>190</v>
      </c>
      <c r="B216" s="38" t="s">
        <v>234</v>
      </c>
      <c r="C216" s="37" t="s">
        <v>304</v>
      </c>
      <c r="D216" s="280" t="s">
        <v>82</v>
      </c>
      <c r="E216" s="308">
        <v>1000</v>
      </c>
      <c r="F216" s="57" t="s">
        <v>299</v>
      </c>
      <c r="G216" s="263" t="s">
        <v>561</v>
      </c>
      <c r="H216" s="37"/>
      <c r="I216" s="262"/>
      <c r="J216" s="262"/>
      <c r="K216" s="262"/>
      <c r="L216" s="262"/>
      <c r="M216" s="57"/>
      <c r="N216" s="501">
        <f>SUM(E193:E216)</f>
        <v>24000</v>
      </c>
    </row>
    <row r="217" spans="1:14" x14ac:dyDescent="0.35">
      <c r="A217" s="261">
        <v>191</v>
      </c>
      <c r="B217" s="30" t="s">
        <v>234</v>
      </c>
      <c r="C217" s="31" t="s">
        <v>305</v>
      </c>
      <c r="D217" s="274" t="s">
        <v>82</v>
      </c>
      <c r="E217" s="306">
        <v>1000</v>
      </c>
      <c r="F217" s="251" t="s">
        <v>299</v>
      </c>
      <c r="G217" s="229" t="s">
        <v>561</v>
      </c>
      <c r="H217" s="31"/>
      <c r="I217" s="230"/>
      <c r="J217" s="230"/>
      <c r="K217" s="230"/>
      <c r="L217" s="230"/>
      <c r="M217" s="251"/>
    </row>
    <row r="218" spans="1:14" x14ac:dyDescent="0.35">
      <c r="A218" s="261">
        <v>192</v>
      </c>
      <c r="B218" s="30" t="s">
        <v>234</v>
      </c>
      <c r="C218" s="31" t="s">
        <v>306</v>
      </c>
      <c r="D218" s="274" t="s">
        <v>82</v>
      </c>
      <c r="E218" s="306">
        <v>1000</v>
      </c>
      <c r="F218" s="251" t="s">
        <v>299</v>
      </c>
      <c r="G218" s="229" t="s">
        <v>561</v>
      </c>
      <c r="H218" s="31"/>
      <c r="I218" s="230"/>
      <c r="J218" s="230"/>
      <c r="K218" s="230"/>
      <c r="L218" s="230"/>
      <c r="M218" s="251"/>
      <c r="N218" s="258"/>
    </row>
    <row r="219" spans="1:14" x14ac:dyDescent="0.35">
      <c r="A219" s="261">
        <v>193</v>
      </c>
      <c r="B219" s="30" t="s">
        <v>234</v>
      </c>
      <c r="C219" s="31" t="s">
        <v>307</v>
      </c>
      <c r="D219" s="274" t="s">
        <v>82</v>
      </c>
      <c r="E219" s="306">
        <v>1000</v>
      </c>
      <c r="F219" s="251" t="s">
        <v>299</v>
      </c>
      <c r="G219" s="229" t="s">
        <v>561</v>
      </c>
      <c r="H219" s="31"/>
      <c r="I219" s="230"/>
      <c r="J219" s="230"/>
      <c r="K219" s="230"/>
      <c r="L219" s="230"/>
      <c r="M219" s="251"/>
    </row>
    <row r="220" spans="1:14" x14ac:dyDescent="0.35">
      <c r="A220" s="261">
        <v>194</v>
      </c>
      <c r="B220" s="30" t="s">
        <v>234</v>
      </c>
      <c r="C220" s="31" t="s">
        <v>308</v>
      </c>
      <c r="D220" s="274" t="s">
        <v>82</v>
      </c>
      <c r="E220" s="306">
        <v>1000</v>
      </c>
      <c r="F220" s="251" t="s">
        <v>299</v>
      </c>
      <c r="G220" s="229" t="s">
        <v>561</v>
      </c>
      <c r="H220" s="31"/>
      <c r="I220" s="230"/>
      <c r="J220" s="230"/>
      <c r="K220" s="230"/>
      <c r="L220" s="230"/>
      <c r="M220" s="251"/>
    </row>
    <row r="221" spans="1:14" x14ac:dyDescent="0.35">
      <c r="A221" s="261">
        <v>195</v>
      </c>
      <c r="B221" s="30" t="s">
        <v>234</v>
      </c>
      <c r="C221" s="31" t="s">
        <v>309</v>
      </c>
      <c r="D221" s="274" t="s">
        <v>82</v>
      </c>
      <c r="E221" s="306">
        <v>1000</v>
      </c>
      <c r="F221" s="251" t="s">
        <v>310</v>
      </c>
      <c r="G221" s="229" t="s">
        <v>561</v>
      </c>
      <c r="H221" s="31"/>
      <c r="I221" s="230"/>
      <c r="J221" s="230"/>
      <c r="K221" s="230"/>
      <c r="L221" s="230"/>
      <c r="M221" s="251"/>
    </row>
    <row r="222" spans="1:14" x14ac:dyDescent="0.35">
      <c r="A222" s="261">
        <v>196</v>
      </c>
      <c r="B222" s="30" t="s">
        <v>234</v>
      </c>
      <c r="C222" s="31" t="s">
        <v>311</v>
      </c>
      <c r="D222" s="274" t="s">
        <v>82</v>
      </c>
      <c r="E222" s="306">
        <v>1000</v>
      </c>
      <c r="F222" s="251" t="s">
        <v>310</v>
      </c>
      <c r="G222" s="229" t="s">
        <v>561</v>
      </c>
      <c r="H222" s="31"/>
      <c r="I222" s="230"/>
      <c r="J222" s="230"/>
      <c r="K222" s="230"/>
      <c r="L222" s="230"/>
      <c r="M222" s="251"/>
    </row>
    <row r="223" spans="1:14" x14ac:dyDescent="0.35">
      <c r="A223" s="261">
        <v>197</v>
      </c>
      <c r="B223" s="30" t="s">
        <v>234</v>
      </c>
      <c r="C223" s="31" t="s">
        <v>312</v>
      </c>
      <c r="D223" s="274" t="s">
        <v>82</v>
      </c>
      <c r="E223" s="306">
        <v>1000</v>
      </c>
      <c r="F223" s="251" t="s">
        <v>310</v>
      </c>
      <c r="G223" s="229" t="s">
        <v>561</v>
      </c>
      <c r="H223" s="31"/>
      <c r="I223" s="230"/>
      <c r="J223" s="230"/>
      <c r="K223" s="230"/>
      <c r="L223" s="230"/>
      <c r="M223" s="251"/>
    </row>
    <row r="224" spans="1:14" x14ac:dyDescent="0.35">
      <c r="A224" s="261">
        <v>198</v>
      </c>
      <c r="B224" s="30" t="s">
        <v>234</v>
      </c>
      <c r="C224" s="31" t="s">
        <v>313</v>
      </c>
      <c r="D224" s="274" t="s">
        <v>82</v>
      </c>
      <c r="E224" s="306">
        <v>1000</v>
      </c>
      <c r="F224" s="251" t="s">
        <v>310</v>
      </c>
      <c r="G224" s="229" t="s">
        <v>561</v>
      </c>
      <c r="H224" s="31"/>
      <c r="I224" s="230"/>
      <c r="J224" s="230"/>
      <c r="K224" s="230"/>
      <c r="L224" s="230"/>
      <c r="M224" s="251"/>
    </row>
    <row r="225" spans="1:14" x14ac:dyDescent="0.35">
      <c r="A225" s="261">
        <v>199</v>
      </c>
      <c r="B225" s="30" t="s">
        <v>234</v>
      </c>
      <c r="C225" s="31" t="s">
        <v>314</v>
      </c>
      <c r="D225" s="274" t="s">
        <v>82</v>
      </c>
      <c r="E225" s="306">
        <v>1000</v>
      </c>
      <c r="F225" s="251" t="s">
        <v>310</v>
      </c>
      <c r="G225" s="229" t="s">
        <v>561</v>
      </c>
      <c r="H225" s="31"/>
      <c r="I225" s="230"/>
      <c r="J225" s="230"/>
      <c r="K225" s="230"/>
      <c r="L225" s="230"/>
      <c r="M225" s="251"/>
    </row>
    <row r="226" spans="1:14" x14ac:dyDescent="0.35">
      <c r="A226" s="261">
        <v>200</v>
      </c>
      <c r="B226" s="30" t="s">
        <v>234</v>
      </c>
      <c r="C226" s="31" t="s">
        <v>315</v>
      </c>
      <c r="D226" s="274" t="s">
        <v>82</v>
      </c>
      <c r="E226" s="306">
        <v>1000</v>
      </c>
      <c r="F226" s="251" t="s">
        <v>310</v>
      </c>
      <c r="G226" s="229" t="s">
        <v>561</v>
      </c>
      <c r="H226" s="31"/>
      <c r="I226" s="230"/>
      <c r="J226" s="230"/>
      <c r="K226" s="230"/>
      <c r="L226" s="230"/>
      <c r="M226" s="251"/>
    </row>
    <row r="227" spans="1:14" x14ac:dyDescent="0.35">
      <c r="A227" s="261">
        <v>201</v>
      </c>
      <c r="B227" s="30" t="s">
        <v>234</v>
      </c>
      <c r="C227" s="31" t="s">
        <v>316</v>
      </c>
      <c r="D227" s="274" t="s">
        <v>82</v>
      </c>
      <c r="E227" s="306">
        <v>1000</v>
      </c>
      <c r="F227" s="251" t="s">
        <v>310</v>
      </c>
      <c r="G227" s="229" t="s">
        <v>561</v>
      </c>
      <c r="H227" s="31"/>
      <c r="I227" s="230"/>
      <c r="J227" s="230"/>
      <c r="K227" s="230"/>
      <c r="L227" s="230"/>
      <c r="M227" s="251"/>
    </row>
    <row r="228" spans="1:14" x14ac:dyDescent="0.35">
      <c r="A228" s="261">
        <v>202</v>
      </c>
      <c r="B228" s="30" t="s">
        <v>234</v>
      </c>
      <c r="C228" s="31" t="s">
        <v>317</v>
      </c>
      <c r="D228" s="274" t="s">
        <v>82</v>
      </c>
      <c r="E228" s="306">
        <v>1000</v>
      </c>
      <c r="F228" s="251" t="s">
        <v>310</v>
      </c>
      <c r="G228" s="229" t="s">
        <v>561</v>
      </c>
      <c r="H228" s="31"/>
      <c r="I228" s="230"/>
      <c r="J228" s="230"/>
      <c r="K228" s="230"/>
      <c r="L228" s="230"/>
      <c r="M228" s="251"/>
    </row>
    <row r="229" spans="1:14" x14ac:dyDescent="0.35">
      <c r="A229" s="261">
        <v>203</v>
      </c>
      <c r="B229" s="30" t="s">
        <v>234</v>
      </c>
      <c r="C229" s="31" t="s">
        <v>318</v>
      </c>
      <c r="D229" s="274" t="s">
        <v>82</v>
      </c>
      <c r="E229" s="306">
        <v>1000</v>
      </c>
      <c r="F229" s="251" t="s">
        <v>310</v>
      </c>
      <c r="G229" s="229" t="s">
        <v>561</v>
      </c>
      <c r="H229" s="31"/>
      <c r="I229" s="230"/>
      <c r="J229" s="230"/>
      <c r="K229" s="230"/>
      <c r="L229" s="230"/>
      <c r="M229" s="251"/>
    </row>
    <row r="230" spans="1:14" x14ac:dyDescent="0.35">
      <c r="A230" s="261">
        <v>204</v>
      </c>
      <c r="B230" s="30" t="s">
        <v>234</v>
      </c>
      <c r="C230" s="31" t="s">
        <v>319</v>
      </c>
      <c r="D230" s="274" t="s">
        <v>82</v>
      </c>
      <c r="E230" s="306">
        <v>1000</v>
      </c>
      <c r="F230" s="251" t="s">
        <v>310</v>
      </c>
      <c r="G230" s="229" t="s">
        <v>561</v>
      </c>
      <c r="H230" s="31"/>
      <c r="I230" s="230"/>
      <c r="J230" s="230"/>
      <c r="K230" s="230"/>
      <c r="L230" s="230"/>
      <c r="M230" s="251"/>
    </row>
    <row r="231" spans="1:14" x14ac:dyDescent="0.35">
      <c r="A231" s="261">
        <v>205</v>
      </c>
      <c r="B231" s="30" t="s">
        <v>234</v>
      </c>
      <c r="C231" s="31" t="s">
        <v>320</v>
      </c>
      <c r="D231" s="274" t="s">
        <v>82</v>
      </c>
      <c r="E231" s="306">
        <v>1000</v>
      </c>
      <c r="F231" s="251" t="s">
        <v>85</v>
      </c>
      <c r="G231" s="229" t="s">
        <v>561</v>
      </c>
      <c r="H231" s="31"/>
      <c r="I231" s="230"/>
      <c r="J231" s="230"/>
      <c r="K231" s="230"/>
      <c r="L231" s="230"/>
      <c r="M231" s="251"/>
    </row>
    <row r="232" spans="1:14" x14ac:dyDescent="0.35">
      <c r="A232" s="261">
        <v>206</v>
      </c>
      <c r="B232" s="30" t="s">
        <v>234</v>
      </c>
      <c r="C232" s="31" t="s">
        <v>321</v>
      </c>
      <c r="D232" s="274" t="s">
        <v>82</v>
      </c>
      <c r="E232" s="306">
        <v>1000</v>
      </c>
      <c r="F232" s="251" t="s">
        <v>85</v>
      </c>
      <c r="G232" s="229" t="s">
        <v>561</v>
      </c>
      <c r="H232" s="31"/>
      <c r="I232" s="230"/>
      <c r="J232" s="230"/>
      <c r="K232" s="230"/>
      <c r="L232" s="230"/>
      <c r="M232" s="251"/>
    </row>
    <row r="233" spans="1:14" x14ac:dyDescent="0.35">
      <c r="A233" s="261">
        <v>207</v>
      </c>
      <c r="B233" s="30" t="s">
        <v>234</v>
      </c>
      <c r="C233" s="31" t="s">
        <v>322</v>
      </c>
      <c r="D233" s="274" t="s">
        <v>82</v>
      </c>
      <c r="E233" s="306">
        <v>1000</v>
      </c>
      <c r="F233" s="251" t="s">
        <v>85</v>
      </c>
      <c r="G233" s="229" t="s">
        <v>561</v>
      </c>
      <c r="H233" s="31"/>
      <c r="I233" s="230"/>
      <c r="J233" s="230"/>
      <c r="K233" s="230"/>
      <c r="L233" s="230"/>
      <c r="M233" s="251"/>
    </row>
    <row r="234" spans="1:14" x14ac:dyDescent="0.35">
      <c r="A234" s="261">
        <v>208</v>
      </c>
      <c r="B234" s="30" t="s">
        <v>234</v>
      </c>
      <c r="C234" s="31" t="s">
        <v>323</v>
      </c>
      <c r="D234" s="274" t="s">
        <v>82</v>
      </c>
      <c r="E234" s="306">
        <v>1000</v>
      </c>
      <c r="F234" s="251" t="s">
        <v>85</v>
      </c>
      <c r="G234" s="229" t="s">
        <v>561</v>
      </c>
      <c r="H234" s="31"/>
      <c r="I234" s="230"/>
      <c r="J234" s="230"/>
      <c r="K234" s="230"/>
      <c r="L234" s="230"/>
      <c r="M234" s="251"/>
    </row>
    <row r="235" spans="1:14" x14ac:dyDescent="0.35">
      <c r="A235" s="261">
        <v>209</v>
      </c>
      <c r="B235" s="30" t="s">
        <v>234</v>
      </c>
      <c r="C235" s="31" t="s">
        <v>324</v>
      </c>
      <c r="D235" s="274" t="s">
        <v>82</v>
      </c>
      <c r="E235" s="306">
        <v>1000</v>
      </c>
      <c r="F235" s="251" t="s">
        <v>85</v>
      </c>
      <c r="G235" s="229" t="s">
        <v>561</v>
      </c>
      <c r="H235" s="31"/>
      <c r="I235" s="230"/>
      <c r="J235" s="230"/>
      <c r="K235" s="230"/>
      <c r="L235" s="230"/>
      <c r="M235" s="251"/>
    </row>
    <row r="236" spans="1:14" x14ac:dyDescent="0.35">
      <c r="A236" s="261">
        <v>210</v>
      </c>
      <c r="B236" s="38" t="s">
        <v>234</v>
      </c>
      <c r="C236" s="37" t="s">
        <v>325</v>
      </c>
      <c r="D236" s="280" t="s">
        <v>82</v>
      </c>
      <c r="E236" s="308">
        <v>1000</v>
      </c>
      <c r="F236" s="57" t="s">
        <v>85</v>
      </c>
      <c r="G236" s="263" t="s">
        <v>561</v>
      </c>
      <c r="H236" s="37"/>
      <c r="I236" s="262"/>
      <c r="J236" s="262"/>
      <c r="K236" s="262"/>
      <c r="L236" s="262"/>
      <c r="M236" s="57"/>
    </row>
    <row r="237" spans="1:14" x14ac:dyDescent="0.35">
      <c r="A237" s="261">
        <v>211</v>
      </c>
      <c r="B237" s="30" t="s">
        <v>234</v>
      </c>
      <c r="C237" s="31" t="s">
        <v>326</v>
      </c>
      <c r="D237" s="274" t="s">
        <v>82</v>
      </c>
      <c r="E237" s="306">
        <v>1000</v>
      </c>
      <c r="F237" s="251" t="s">
        <v>85</v>
      </c>
      <c r="G237" s="229" t="s">
        <v>561</v>
      </c>
      <c r="H237" s="31"/>
      <c r="I237" s="230"/>
      <c r="J237" s="230"/>
      <c r="K237" s="230"/>
      <c r="L237" s="230"/>
      <c r="M237" s="251"/>
    </row>
    <row r="238" spans="1:14" x14ac:dyDescent="0.35">
      <c r="A238" s="261">
        <v>212</v>
      </c>
      <c r="B238" s="30" t="s">
        <v>234</v>
      </c>
      <c r="C238" s="31" t="s">
        <v>327</v>
      </c>
      <c r="D238" s="274" t="s">
        <v>82</v>
      </c>
      <c r="E238" s="306">
        <v>1000</v>
      </c>
      <c r="F238" s="251" t="s">
        <v>85</v>
      </c>
      <c r="G238" s="229" t="s">
        <v>561</v>
      </c>
      <c r="H238" s="31"/>
      <c r="I238" s="230"/>
      <c r="J238" s="230"/>
      <c r="K238" s="230"/>
      <c r="L238" s="230"/>
      <c r="M238" s="251"/>
    </row>
    <row r="239" spans="1:14" x14ac:dyDescent="0.35">
      <c r="A239" s="261">
        <v>213</v>
      </c>
      <c r="B239" s="30" t="s">
        <v>234</v>
      </c>
      <c r="C239" s="31" t="s">
        <v>328</v>
      </c>
      <c r="D239" s="274" t="s">
        <v>82</v>
      </c>
      <c r="E239" s="306">
        <v>1000</v>
      </c>
      <c r="F239" s="251" t="s">
        <v>85</v>
      </c>
      <c r="G239" s="229" t="s">
        <v>561</v>
      </c>
      <c r="H239" s="31"/>
      <c r="I239" s="230"/>
      <c r="J239" s="230"/>
      <c r="K239" s="230"/>
      <c r="L239" s="230"/>
      <c r="M239" s="251"/>
    </row>
    <row r="240" spans="1:14" x14ac:dyDescent="0.35">
      <c r="A240" s="261">
        <v>214</v>
      </c>
      <c r="B240" s="30" t="s">
        <v>234</v>
      </c>
      <c r="C240" s="31" t="s">
        <v>329</v>
      </c>
      <c r="D240" s="274" t="s">
        <v>82</v>
      </c>
      <c r="E240" s="306">
        <v>1000</v>
      </c>
      <c r="F240" s="251" t="s">
        <v>85</v>
      </c>
      <c r="G240" s="229" t="s">
        <v>561</v>
      </c>
      <c r="H240" s="31"/>
      <c r="I240" s="230"/>
      <c r="J240" s="230"/>
      <c r="K240" s="230"/>
      <c r="L240" s="230"/>
      <c r="M240" s="251"/>
      <c r="N240" s="572">
        <f>SUM(E217:E240)</f>
        <v>24000</v>
      </c>
    </row>
    <row r="241" spans="1:14" x14ac:dyDescent="0.35">
      <c r="A241" s="261">
        <v>215</v>
      </c>
      <c r="B241" s="30" t="s">
        <v>234</v>
      </c>
      <c r="C241" s="31" t="s">
        <v>330</v>
      </c>
      <c r="D241" s="274" t="s">
        <v>82</v>
      </c>
      <c r="E241" s="306">
        <v>1000</v>
      </c>
      <c r="F241" s="251" t="s">
        <v>97</v>
      </c>
      <c r="G241" s="229" t="s">
        <v>561</v>
      </c>
      <c r="H241" s="31"/>
      <c r="I241" s="230"/>
      <c r="J241" s="230"/>
      <c r="K241" s="230"/>
      <c r="L241" s="230"/>
      <c r="M241" s="251"/>
    </row>
    <row r="242" spans="1:14" x14ac:dyDescent="0.35">
      <c r="A242" s="261">
        <v>216</v>
      </c>
      <c r="B242" s="30" t="s">
        <v>234</v>
      </c>
      <c r="C242" s="31" t="s">
        <v>331</v>
      </c>
      <c r="D242" s="274" t="s">
        <v>82</v>
      </c>
      <c r="E242" s="306">
        <v>1000</v>
      </c>
      <c r="F242" s="251" t="s">
        <v>97</v>
      </c>
      <c r="G242" s="229" t="s">
        <v>561</v>
      </c>
      <c r="H242" s="31"/>
      <c r="I242" s="230"/>
      <c r="J242" s="230"/>
      <c r="K242" s="230"/>
      <c r="L242" s="230"/>
      <c r="M242" s="251"/>
    </row>
    <row r="243" spans="1:14" x14ac:dyDescent="0.35">
      <c r="A243" s="261">
        <v>217</v>
      </c>
      <c r="B243" s="30" t="s">
        <v>234</v>
      </c>
      <c r="C243" s="31" t="s">
        <v>332</v>
      </c>
      <c r="D243" s="274" t="s">
        <v>82</v>
      </c>
      <c r="E243" s="306">
        <v>1000</v>
      </c>
      <c r="F243" s="251" t="s">
        <v>97</v>
      </c>
      <c r="G243" s="229" t="s">
        <v>561</v>
      </c>
      <c r="H243" s="31"/>
      <c r="I243" s="230"/>
      <c r="J243" s="230"/>
      <c r="K243" s="230"/>
      <c r="L243" s="230"/>
      <c r="M243" s="251"/>
    </row>
    <row r="244" spans="1:14" x14ac:dyDescent="0.35">
      <c r="A244" s="261">
        <v>218</v>
      </c>
      <c r="B244" s="30" t="s">
        <v>234</v>
      </c>
      <c r="C244" s="31" t="s">
        <v>333</v>
      </c>
      <c r="D244" s="274" t="s">
        <v>82</v>
      </c>
      <c r="E244" s="306">
        <v>1000</v>
      </c>
      <c r="F244" s="251" t="s">
        <v>97</v>
      </c>
      <c r="G244" s="229" t="s">
        <v>561</v>
      </c>
      <c r="H244" s="31"/>
      <c r="I244" s="230"/>
      <c r="J244" s="230"/>
      <c r="K244" s="230"/>
      <c r="L244" s="230"/>
      <c r="M244" s="251"/>
    </row>
    <row r="245" spans="1:14" x14ac:dyDescent="0.35">
      <c r="A245" s="261">
        <v>219</v>
      </c>
      <c r="B245" s="30" t="s">
        <v>234</v>
      </c>
      <c r="C245" s="31" t="s">
        <v>334</v>
      </c>
      <c r="D245" s="274" t="s">
        <v>82</v>
      </c>
      <c r="E245" s="306">
        <v>1000</v>
      </c>
      <c r="F245" s="251" t="s">
        <v>97</v>
      </c>
      <c r="G245" s="229" t="s">
        <v>561</v>
      </c>
      <c r="H245" s="31"/>
      <c r="I245" s="230"/>
      <c r="J245" s="230"/>
      <c r="K245" s="230"/>
      <c r="L245" s="230"/>
      <c r="M245" s="251"/>
    </row>
    <row r="246" spans="1:14" x14ac:dyDescent="0.35">
      <c r="A246" s="261">
        <v>220</v>
      </c>
      <c r="B246" s="30" t="s">
        <v>234</v>
      </c>
      <c r="C246" s="31" t="s">
        <v>335</v>
      </c>
      <c r="D246" s="274" t="s">
        <v>82</v>
      </c>
      <c r="E246" s="306">
        <v>1000</v>
      </c>
      <c r="F246" s="251" t="s">
        <v>97</v>
      </c>
      <c r="G246" s="229" t="s">
        <v>561</v>
      </c>
      <c r="H246" s="31"/>
      <c r="I246" s="230"/>
      <c r="J246" s="230"/>
      <c r="K246" s="230"/>
      <c r="L246" s="230"/>
      <c r="M246" s="251"/>
    </row>
    <row r="247" spans="1:14" x14ac:dyDescent="0.35">
      <c r="A247" s="261">
        <v>221</v>
      </c>
      <c r="B247" s="30" t="s">
        <v>234</v>
      </c>
      <c r="C247" s="31" t="s">
        <v>336</v>
      </c>
      <c r="D247" s="274" t="s">
        <v>82</v>
      </c>
      <c r="E247" s="306">
        <v>1000</v>
      </c>
      <c r="F247" s="251" t="s">
        <v>97</v>
      </c>
      <c r="G247" s="229" t="s">
        <v>561</v>
      </c>
      <c r="H247" s="31"/>
      <c r="I247" s="230"/>
      <c r="J247" s="230"/>
      <c r="K247" s="230"/>
      <c r="L247" s="230"/>
      <c r="M247" s="251"/>
    </row>
    <row r="248" spans="1:14" x14ac:dyDescent="0.35">
      <c r="A248" s="261">
        <v>222</v>
      </c>
      <c r="B248" s="30" t="s">
        <v>234</v>
      </c>
      <c r="C248" s="31" t="s">
        <v>337</v>
      </c>
      <c r="D248" s="274" t="s">
        <v>82</v>
      </c>
      <c r="E248" s="306">
        <v>1000</v>
      </c>
      <c r="F248" s="251" t="s">
        <v>97</v>
      </c>
      <c r="G248" s="229" t="s">
        <v>561</v>
      </c>
      <c r="H248" s="31"/>
      <c r="I248" s="230"/>
      <c r="J248" s="230"/>
      <c r="K248" s="230"/>
      <c r="L248" s="230"/>
      <c r="M248" s="251"/>
    </row>
    <row r="249" spans="1:14" x14ac:dyDescent="0.35">
      <c r="A249" s="261">
        <v>223</v>
      </c>
      <c r="B249" s="30" t="s">
        <v>234</v>
      </c>
      <c r="C249" s="31" t="s">
        <v>338</v>
      </c>
      <c r="D249" s="274" t="s">
        <v>82</v>
      </c>
      <c r="E249" s="306">
        <v>1000</v>
      </c>
      <c r="F249" s="251" t="s">
        <v>97</v>
      </c>
      <c r="G249" s="229" t="s">
        <v>561</v>
      </c>
      <c r="H249" s="31"/>
      <c r="I249" s="230"/>
      <c r="J249" s="230"/>
      <c r="K249" s="230"/>
      <c r="L249" s="230"/>
      <c r="M249" s="251"/>
      <c r="N249" s="258"/>
    </row>
    <row r="250" spans="1:14" x14ac:dyDescent="0.35">
      <c r="A250" s="261">
        <v>224</v>
      </c>
      <c r="B250" s="30" t="s">
        <v>234</v>
      </c>
      <c r="C250" s="31" t="s">
        <v>339</v>
      </c>
      <c r="D250" s="274" t="s">
        <v>82</v>
      </c>
      <c r="E250" s="306">
        <v>1000</v>
      </c>
      <c r="F250" s="251" t="s">
        <v>97</v>
      </c>
      <c r="G250" s="229" t="s">
        <v>561</v>
      </c>
      <c r="H250" s="31"/>
      <c r="I250" s="230"/>
      <c r="J250" s="230"/>
      <c r="K250" s="230"/>
      <c r="L250" s="230"/>
      <c r="M250" s="251"/>
    </row>
    <row r="251" spans="1:14" x14ac:dyDescent="0.35">
      <c r="A251" s="261">
        <v>225</v>
      </c>
      <c r="B251" s="30" t="s">
        <v>340</v>
      </c>
      <c r="C251" s="31" t="s">
        <v>341</v>
      </c>
      <c r="D251" s="274" t="s">
        <v>531</v>
      </c>
      <c r="E251" s="306">
        <v>1000</v>
      </c>
      <c r="F251" s="251" t="s">
        <v>90</v>
      </c>
      <c r="G251" s="229" t="s">
        <v>561</v>
      </c>
      <c r="H251" s="31"/>
      <c r="I251" s="230"/>
      <c r="J251" s="230"/>
      <c r="K251" s="230"/>
      <c r="L251" s="230"/>
      <c r="M251" s="251"/>
    </row>
    <row r="252" spans="1:14" x14ac:dyDescent="0.35">
      <c r="A252" s="261">
        <v>226</v>
      </c>
      <c r="B252" s="30" t="s">
        <v>340</v>
      </c>
      <c r="C252" s="31" t="s">
        <v>342</v>
      </c>
      <c r="D252" s="274" t="s">
        <v>531</v>
      </c>
      <c r="E252" s="306">
        <v>1000</v>
      </c>
      <c r="F252" s="251" t="s">
        <v>90</v>
      </c>
      <c r="G252" s="229" t="s">
        <v>561</v>
      </c>
      <c r="H252" s="31"/>
      <c r="I252" s="230"/>
      <c r="J252" s="230"/>
      <c r="K252" s="230"/>
      <c r="L252" s="230"/>
      <c r="M252" s="251"/>
    </row>
    <row r="253" spans="1:14" x14ac:dyDescent="0.35">
      <c r="A253" s="261">
        <v>227</v>
      </c>
      <c r="B253" s="30" t="s">
        <v>340</v>
      </c>
      <c r="C253" s="31" t="s">
        <v>343</v>
      </c>
      <c r="D253" s="274" t="s">
        <v>531</v>
      </c>
      <c r="E253" s="306">
        <v>1000</v>
      </c>
      <c r="F253" s="251" t="s">
        <v>90</v>
      </c>
      <c r="G253" s="229" t="s">
        <v>561</v>
      </c>
      <c r="H253" s="31"/>
      <c r="I253" s="230"/>
      <c r="J253" s="230"/>
      <c r="K253" s="230"/>
      <c r="L253" s="230"/>
      <c r="M253" s="251"/>
    </row>
    <row r="254" spans="1:14" x14ac:dyDescent="0.35">
      <c r="A254" s="261">
        <v>228</v>
      </c>
      <c r="B254" s="30" t="s">
        <v>340</v>
      </c>
      <c r="C254" s="31" t="s">
        <v>344</v>
      </c>
      <c r="D254" s="274" t="s">
        <v>531</v>
      </c>
      <c r="E254" s="306">
        <v>1000</v>
      </c>
      <c r="F254" s="251" t="s">
        <v>90</v>
      </c>
      <c r="G254" s="229" t="s">
        <v>561</v>
      </c>
      <c r="H254" s="31"/>
      <c r="I254" s="230"/>
      <c r="J254" s="230"/>
      <c r="K254" s="230"/>
      <c r="L254" s="230"/>
      <c r="M254" s="251"/>
    </row>
    <row r="255" spans="1:14" x14ac:dyDescent="0.35">
      <c r="A255" s="261">
        <v>229</v>
      </c>
      <c r="B255" s="30" t="s">
        <v>340</v>
      </c>
      <c r="C255" s="31" t="s">
        <v>345</v>
      </c>
      <c r="D255" s="274" t="s">
        <v>531</v>
      </c>
      <c r="E255" s="306">
        <v>1000</v>
      </c>
      <c r="F255" s="251" t="s">
        <v>90</v>
      </c>
      <c r="G255" s="229" t="s">
        <v>561</v>
      </c>
      <c r="H255" s="31"/>
      <c r="I255" s="230"/>
      <c r="J255" s="230"/>
      <c r="K255" s="230"/>
      <c r="L255" s="230"/>
      <c r="M255" s="251"/>
    </row>
    <row r="256" spans="1:14" x14ac:dyDescent="0.35">
      <c r="A256" s="261">
        <v>230</v>
      </c>
      <c r="B256" s="38" t="s">
        <v>340</v>
      </c>
      <c r="C256" s="37" t="s">
        <v>346</v>
      </c>
      <c r="D256" s="280" t="s">
        <v>531</v>
      </c>
      <c r="E256" s="308">
        <v>1000</v>
      </c>
      <c r="F256" s="57" t="s">
        <v>90</v>
      </c>
      <c r="G256" s="263" t="s">
        <v>561</v>
      </c>
      <c r="H256" s="37"/>
      <c r="I256" s="262"/>
      <c r="J256" s="262"/>
      <c r="K256" s="262"/>
      <c r="L256" s="262"/>
      <c r="M256" s="57"/>
    </row>
    <row r="257" spans="1:14" x14ac:dyDescent="0.35">
      <c r="A257" s="261">
        <v>231</v>
      </c>
      <c r="B257" s="30" t="s">
        <v>340</v>
      </c>
      <c r="C257" s="31" t="s">
        <v>347</v>
      </c>
      <c r="D257" s="274" t="s">
        <v>531</v>
      </c>
      <c r="E257" s="306">
        <v>1000</v>
      </c>
      <c r="F257" s="251" t="s">
        <v>90</v>
      </c>
      <c r="G257" s="229" t="s">
        <v>561</v>
      </c>
      <c r="H257" s="31"/>
      <c r="I257" s="230"/>
      <c r="J257" s="230"/>
      <c r="K257" s="230"/>
      <c r="L257" s="230"/>
      <c r="M257" s="251"/>
    </row>
    <row r="258" spans="1:14" x14ac:dyDescent="0.35">
      <c r="A258" s="261">
        <v>232</v>
      </c>
      <c r="B258" s="30" t="s">
        <v>340</v>
      </c>
      <c r="C258" s="31" t="s">
        <v>348</v>
      </c>
      <c r="D258" s="274" t="s">
        <v>531</v>
      </c>
      <c r="E258" s="306">
        <v>1000</v>
      </c>
      <c r="F258" s="251" t="s">
        <v>90</v>
      </c>
      <c r="G258" s="229" t="s">
        <v>561</v>
      </c>
      <c r="H258" s="31"/>
      <c r="I258" s="230"/>
      <c r="J258" s="230"/>
      <c r="K258" s="230"/>
      <c r="L258" s="230"/>
      <c r="M258" s="251"/>
    </row>
    <row r="259" spans="1:14" x14ac:dyDescent="0.35">
      <c r="A259" s="261">
        <v>233</v>
      </c>
      <c r="B259" s="30" t="s">
        <v>340</v>
      </c>
      <c r="C259" s="31" t="s">
        <v>349</v>
      </c>
      <c r="D259" s="274" t="s">
        <v>531</v>
      </c>
      <c r="E259" s="306">
        <v>1000</v>
      </c>
      <c r="F259" s="251" t="s">
        <v>90</v>
      </c>
      <c r="G259" s="229" t="s">
        <v>561</v>
      </c>
      <c r="H259" s="31"/>
      <c r="I259" s="230"/>
      <c r="J259" s="230"/>
      <c r="K259" s="230"/>
      <c r="L259" s="230"/>
      <c r="M259" s="251"/>
    </row>
    <row r="260" spans="1:14" x14ac:dyDescent="0.35">
      <c r="A260" s="261">
        <v>234</v>
      </c>
      <c r="B260" s="30" t="s">
        <v>340</v>
      </c>
      <c r="C260" s="31" t="s">
        <v>350</v>
      </c>
      <c r="D260" s="274" t="s">
        <v>531</v>
      </c>
      <c r="E260" s="306">
        <v>1000</v>
      </c>
      <c r="F260" s="251" t="s">
        <v>90</v>
      </c>
      <c r="G260" s="229" t="s">
        <v>561</v>
      </c>
      <c r="H260" s="31"/>
      <c r="I260" s="230"/>
      <c r="J260" s="230"/>
      <c r="K260" s="230"/>
      <c r="L260" s="230"/>
      <c r="M260" s="251"/>
    </row>
    <row r="261" spans="1:14" x14ac:dyDescent="0.35">
      <c r="A261" s="261">
        <v>235</v>
      </c>
      <c r="B261" s="30" t="s">
        <v>340</v>
      </c>
      <c r="C261" s="31" t="s">
        <v>351</v>
      </c>
      <c r="D261" s="274" t="s">
        <v>531</v>
      </c>
      <c r="E261" s="306">
        <v>1000</v>
      </c>
      <c r="F261" s="251" t="s">
        <v>94</v>
      </c>
      <c r="G261" s="229" t="s">
        <v>561</v>
      </c>
      <c r="H261" s="31"/>
      <c r="I261" s="230"/>
      <c r="J261" s="230"/>
      <c r="K261" s="230"/>
      <c r="L261" s="230"/>
      <c r="M261" s="251"/>
    </row>
    <row r="262" spans="1:14" x14ac:dyDescent="0.35">
      <c r="A262" s="261">
        <v>236</v>
      </c>
      <c r="B262" s="30" t="s">
        <v>340</v>
      </c>
      <c r="C262" s="31" t="s">
        <v>352</v>
      </c>
      <c r="D262" s="274" t="s">
        <v>531</v>
      </c>
      <c r="E262" s="306">
        <v>1000</v>
      </c>
      <c r="F262" s="251" t="s">
        <v>94</v>
      </c>
      <c r="G262" s="229" t="s">
        <v>561</v>
      </c>
      <c r="H262" s="31"/>
      <c r="I262" s="230"/>
      <c r="J262" s="230"/>
      <c r="K262" s="230"/>
      <c r="L262" s="230"/>
      <c r="M262" s="251"/>
    </row>
    <row r="263" spans="1:14" x14ac:dyDescent="0.35">
      <c r="A263" s="261">
        <v>237</v>
      </c>
      <c r="B263" s="30" t="s">
        <v>340</v>
      </c>
      <c r="C263" s="31" t="s">
        <v>353</v>
      </c>
      <c r="D263" s="274" t="s">
        <v>531</v>
      </c>
      <c r="E263" s="306">
        <v>1000</v>
      </c>
      <c r="F263" s="251" t="s">
        <v>94</v>
      </c>
      <c r="G263" s="229" t="s">
        <v>561</v>
      </c>
      <c r="H263" s="31"/>
      <c r="I263" s="230"/>
      <c r="J263" s="230"/>
      <c r="K263" s="230"/>
      <c r="L263" s="230"/>
      <c r="M263" s="251"/>
    </row>
    <row r="264" spans="1:14" x14ac:dyDescent="0.35">
      <c r="A264" s="261">
        <v>238</v>
      </c>
      <c r="B264" s="30" t="s">
        <v>340</v>
      </c>
      <c r="C264" s="31" t="s">
        <v>354</v>
      </c>
      <c r="D264" s="274" t="s">
        <v>531</v>
      </c>
      <c r="E264" s="306">
        <v>1000</v>
      </c>
      <c r="F264" s="251" t="s">
        <v>94</v>
      </c>
      <c r="G264" s="229" t="s">
        <v>561</v>
      </c>
      <c r="H264" s="31"/>
      <c r="I264" s="230"/>
      <c r="J264" s="230"/>
      <c r="K264" s="230"/>
      <c r="L264" s="230"/>
      <c r="M264" s="251"/>
      <c r="N264" s="572">
        <f>SUM(E241:E264)</f>
        <v>24000</v>
      </c>
    </row>
    <row r="265" spans="1:14" x14ac:dyDescent="0.35">
      <c r="A265" s="261">
        <v>239</v>
      </c>
      <c r="B265" s="30" t="s">
        <v>340</v>
      </c>
      <c r="C265" s="31" t="s">
        <v>355</v>
      </c>
      <c r="D265" s="274" t="s">
        <v>531</v>
      </c>
      <c r="E265" s="306">
        <v>1000</v>
      </c>
      <c r="F265" s="251" t="s">
        <v>94</v>
      </c>
      <c r="G265" s="229" t="s">
        <v>561</v>
      </c>
      <c r="H265" s="31"/>
      <c r="I265" s="230"/>
      <c r="J265" s="230"/>
      <c r="K265" s="230"/>
      <c r="L265" s="230"/>
      <c r="M265" s="251"/>
    </row>
    <row r="266" spans="1:14" x14ac:dyDescent="0.35">
      <c r="A266" s="261">
        <v>240</v>
      </c>
      <c r="B266" s="30" t="s">
        <v>340</v>
      </c>
      <c r="C266" s="31" t="s">
        <v>356</v>
      </c>
      <c r="D266" s="274" t="s">
        <v>531</v>
      </c>
      <c r="E266" s="306">
        <v>1000</v>
      </c>
      <c r="F266" s="251" t="s">
        <v>94</v>
      </c>
      <c r="G266" s="229" t="s">
        <v>561</v>
      </c>
      <c r="H266" s="31"/>
      <c r="I266" s="230"/>
      <c r="J266" s="230"/>
      <c r="K266" s="230"/>
      <c r="L266" s="230"/>
      <c r="M266" s="251"/>
    </row>
    <row r="267" spans="1:14" s="232" customFormat="1" x14ac:dyDescent="0.35">
      <c r="A267" s="261">
        <v>241</v>
      </c>
      <c r="B267" s="30" t="s">
        <v>340</v>
      </c>
      <c r="C267" s="31" t="s">
        <v>357</v>
      </c>
      <c r="D267" s="274" t="s">
        <v>531</v>
      </c>
      <c r="E267" s="306">
        <v>1000</v>
      </c>
      <c r="F267" s="251" t="s">
        <v>94</v>
      </c>
      <c r="G267" s="229" t="s">
        <v>561</v>
      </c>
      <c r="H267" s="31"/>
      <c r="I267" s="230"/>
      <c r="J267" s="230"/>
      <c r="K267" s="230"/>
      <c r="L267" s="230"/>
      <c r="M267" s="251"/>
    </row>
    <row r="268" spans="1:14" x14ac:dyDescent="0.35">
      <c r="A268" s="261">
        <v>242</v>
      </c>
      <c r="B268" s="30" t="s">
        <v>340</v>
      </c>
      <c r="C268" s="31" t="s">
        <v>358</v>
      </c>
      <c r="D268" s="274" t="s">
        <v>531</v>
      </c>
      <c r="E268" s="306">
        <v>1000</v>
      </c>
      <c r="F268" s="251" t="s">
        <v>94</v>
      </c>
      <c r="G268" s="229" t="s">
        <v>561</v>
      </c>
      <c r="H268" s="31"/>
      <c r="I268" s="230"/>
      <c r="J268" s="230"/>
      <c r="K268" s="230"/>
      <c r="L268" s="230"/>
      <c r="M268" s="251"/>
    </row>
    <row r="269" spans="1:14" x14ac:dyDescent="0.35">
      <c r="A269" s="261">
        <v>243</v>
      </c>
      <c r="B269" s="30" t="s">
        <v>340</v>
      </c>
      <c r="C269" s="31" t="s">
        <v>359</v>
      </c>
      <c r="D269" s="274" t="s">
        <v>531</v>
      </c>
      <c r="E269" s="306">
        <v>1000</v>
      </c>
      <c r="F269" s="251" t="s">
        <v>94</v>
      </c>
      <c r="G269" s="229" t="s">
        <v>561</v>
      </c>
      <c r="H269" s="31"/>
      <c r="I269" s="230"/>
      <c r="J269" s="230"/>
      <c r="K269" s="230"/>
      <c r="L269" s="230"/>
      <c r="M269" s="251"/>
    </row>
    <row r="270" spans="1:14" x14ac:dyDescent="0.35">
      <c r="A270" s="261">
        <v>244</v>
      </c>
      <c r="B270" s="30" t="s">
        <v>340</v>
      </c>
      <c r="C270" s="31" t="s">
        <v>360</v>
      </c>
      <c r="D270" s="274" t="s">
        <v>531</v>
      </c>
      <c r="E270" s="306">
        <v>1000</v>
      </c>
      <c r="F270" s="251" t="s">
        <v>94</v>
      </c>
      <c r="G270" s="229" t="s">
        <v>561</v>
      </c>
      <c r="H270" s="31"/>
      <c r="I270" s="230"/>
      <c r="J270" s="230"/>
      <c r="K270" s="230"/>
      <c r="L270" s="230"/>
      <c r="M270" s="251"/>
    </row>
    <row r="271" spans="1:14" x14ac:dyDescent="0.35">
      <c r="A271" s="261">
        <v>245</v>
      </c>
      <c r="B271" s="30" t="s">
        <v>340</v>
      </c>
      <c r="C271" s="31" t="s">
        <v>361</v>
      </c>
      <c r="D271" s="274" t="s">
        <v>531</v>
      </c>
      <c r="E271" s="306">
        <v>1000</v>
      </c>
      <c r="F271" s="251" t="s">
        <v>91</v>
      </c>
      <c r="G271" s="229" t="s">
        <v>561</v>
      </c>
      <c r="H271" s="31"/>
      <c r="I271" s="230"/>
      <c r="J271" s="230"/>
      <c r="K271" s="230"/>
      <c r="L271" s="230"/>
      <c r="M271" s="251"/>
    </row>
    <row r="272" spans="1:14" x14ac:dyDescent="0.35">
      <c r="A272" s="261">
        <v>246</v>
      </c>
      <c r="B272" s="30" t="s">
        <v>340</v>
      </c>
      <c r="C272" s="31" t="s">
        <v>362</v>
      </c>
      <c r="D272" s="274" t="s">
        <v>531</v>
      </c>
      <c r="E272" s="306">
        <v>1000</v>
      </c>
      <c r="F272" s="251" t="s">
        <v>91</v>
      </c>
      <c r="G272" s="229" t="s">
        <v>561</v>
      </c>
      <c r="H272" s="31"/>
      <c r="I272" s="230"/>
      <c r="J272" s="230"/>
      <c r="K272" s="230"/>
      <c r="L272" s="230"/>
      <c r="M272" s="251"/>
    </row>
    <row r="273" spans="1:14" x14ac:dyDescent="0.35">
      <c r="A273" s="261">
        <v>247</v>
      </c>
      <c r="B273" s="30" t="s">
        <v>340</v>
      </c>
      <c r="C273" s="31" t="s">
        <v>363</v>
      </c>
      <c r="D273" s="274" t="s">
        <v>531</v>
      </c>
      <c r="E273" s="306">
        <v>1000</v>
      </c>
      <c r="F273" s="251" t="s">
        <v>91</v>
      </c>
      <c r="G273" s="229" t="s">
        <v>561</v>
      </c>
      <c r="H273" s="31"/>
      <c r="I273" s="230"/>
      <c r="J273" s="230"/>
      <c r="K273" s="230"/>
      <c r="L273" s="230"/>
      <c r="M273" s="251"/>
    </row>
    <row r="274" spans="1:14" x14ac:dyDescent="0.35">
      <c r="A274" s="261">
        <v>248</v>
      </c>
      <c r="B274" s="30" t="s">
        <v>340</v>
      </c>
      <c r="C274" s="31" t="s">
        <v>364</v>
      </c>
      <c r="D274" s="274" t="s">
        <v>531</v>
      </c>
      <c r="E274" s="306">
        <v>1000</v>
      </c>
      <c r="F274" s="251" t="s">
        <v>91</v>
      </c>
      <c r="G274" s="229" t="s">
        <v>561</v>
      </c>
      <c r="H274" s="31"/>
      <c r="I274" s="230"/>
      <c r="J274" s="230"/>
      <c r="K274" s="230"/>
      <c r="L274" s="230"/>
      <c r="M274" s="251"/>
    </row>
    <row r="275" spans="1:14" x14ac:dyDescent="0.35">
      <c r="A275" s="261">
        <v>249</v>
      </c>
      <c r="B275" s="30" t="s">
        <v>340</v>
      </c>
      <c r="C275" s="31" t="s">
        <v>365</v>
      </c>
      <c r="D275" s="274" t="s">
        <v>531</v>
      </c>
      <c r="E275" s="306">
        <v>1000</v>
      </c>
      <c r="F275" s="251" t="s">
        <v>91</v>
      </c>
      <c r="G275" s="229" t="s">
        <v>561</v>
      </c>
      <c r="H275" s="31"/>
      <c r="I275" s="230"/>
      <c r="J275" s="230"/>
      <c r="K275" s="230"/>
      <c r="L275" s="230"/>
      <c r="M275" s="251"/>
    </row>
    <row r="276" spans="1:14" x14ac:dyDescent="0.35">
      <c r="A276" s="261">
        <v>250</v>
      </c>
      <c r="B276" s="38" t="s">
        <v>340</v>
      </c>
      <c r="C276" s="37" t="s">
        <v>366</v>
      </c>
      <c r="D276" s="280" t="s">
        <v>531</v>
      </c>
      <c r="E276" s="308">
        <v>1000</v>
      </c>
      <c r="F276" s="57" t="s">
        <v>91</v>
      </c>
      <c r="G276" s="263" t="s">
        <v>561</v>
      </c>
      <c r="H276" s="37"/>
      <c r="I276" s="262"/>
      <c r="J276" s="262"/>
      <c r="K276" s="262"/>
      <c r="L276" s="262"/>
      <c r="M276" s="57"/>
    </row>
    <row r="277" spans="1:14" x14ac:dyDescent="0.35">
      <c r="A277" s="261">
        <v>251</v>
      </c>
      <c r="B277" s="30" t="s">
        <v>340</v>
      </c>
      <c r="C277" s="31" t="s">
        <v>367</v>
      </c>
      <c r="D277" s="274" t="s">
        <v>531</v>
      </c>
      <c r="E277" s="306">
        <v>1000</v>
      </c>
      <c r="F277" s="251" t="s">
        <v>91</v>
      </c>
      <c r="G277" s="229" t="s">
        <v>561</v>
      </c>
      <c r="H277" s="31"/>
      <c r="I277" s="230"/>
      <c r="J277" s="230"/>
      <c r="K277" s="230"/>
      <c r="L277" s="230"/>
      <c r="M277" s="251"/>
    </row>
    <row r="278" spans="1:14" x14ac:dyDescent="0.35">
      <c r="A278" s="261">
        <v>252</v>
      </c>
      <c r="B278" s="30" t="s">
        <v>340</v>
      </c>
      <c r="C278" s="31" t="s">
        <v>368</v>
      </c>
      <c r="D278" s="274" t="s">
        <v>531</v>
      </c>
      <c r="E278" s="306">
        <v>1000</v>
      </c>
      <c r="F278" s="251" t="s">
        <v>91</v>
      </c>
      <c r="G278" s="229" t="s">
        <v>561</v>
      </c>
      <c r="H278" s="31"/>
      <c r="I278" s="230"/>
      <c r="J278" s="230"/>
      <c r="K278" s="230"/>
      <c r="L278" s="230"/>
      <c r="M278" s="251"/>
    </row>
    <row r="279" spans="1:14" x14ac:dyDescent="0.35">
      <c r="A279" s="261">
        <v>253</v>
      </c>
      <c r="B279" s="30" t="s">
        <v>340</v>
      </c>
      <c r="C279" s="31" t="s">
        <v>369</v>
      </c>
      <c r="D279" s="274" t="s">
        <v>531</v>
      </c>
      <c r="E279" s="306">
        <v>1000</v>
      </c>
      <c r="F279" s="251" t="s">
        <v>91</v>
      </c>
      <c r="G279" s="229" t="s">
        <v>561</v>
      </c>
      <c r="H279" s="31"/>
      <c r="I279" s="230"/>
      <c r="J279" s="230"/>
      <c r="K279" s="230"/>
      <c r="L279" s="230"/>
      <c r="M279" s="251"/>
    </row>
    <row r="280" spans="1:14" x14ac:dyDescent="0.35">
      <c r="A280" s="261">
        <v>254</v>
      </c>
      <c r="B280" s="30" t="s">
        <v>340</v>
      </c>
      <c r="C280" s="31" t="s">
        <v>370</v>
      </c>
      <c r="D280" s="274" t="s">
        <v>531</v>
      </c>
      <c r="E280" s="306">
        <v>1000</v>
      </c>
      <c r="F280" s="251" t="s">
        <v>91</v>
      </c>
      <c r="G280" s="229" t="s">
        <v>561</v>
      </c>
      <c r="H280" s="31"/>
      <c r="I280" s="30"/>
      <c r="J280" s="30"/>
      <c r="K280" s="30"/>
      <c r="L280" s="30"/>
      <c r="M280" s="251"/>
      <c r="N280" s="258"/>
    </row>
    <row r="281" spans="1:14" x14ac:dyDescent="0.35">
      <c r="A281" s="261">
        <v>255</v>
      </c>
      <c r="B281" s="30" t="s">
        <v>371</v>
      </c>
      <c r="C281" s="31" t="s">
        <v>372</v>
      </c>
      <c r="D281" s="274" t="s">
        <v>528</v>
      </c>
      <c r="E281" s="306">
        <v>2597</v>
      </c>
      <c r="F281" s="251" t="s">
        <v>98</v>
      </c>
      <c r="G281" s="229" t="s">
        <v>561</v>
      </c>
      <c r="H281" s="31"/>
      <c r="I281" s="230"/>
      <c r="J281" s="230"/>
      <c r="K281" s="230"/>
      <c r="L281" s="230"/>
      <c r="M281" s="251"/>
    </row>
    <row r="282" spans="1:14" x14ac:dyDescent="0.35">
      <c r="A282" s="261">
        <v>256</v>
      </c>
      <c r="B282" s="30" t="s">
        <v>371</v>
      </c>
      <c r="C282" s="31" t="s">
        <v>374</v>
      </c>
      <c r="D282" s="274" t="s">
        <v>528</v>
      </c>
      <c r="E282" s="306">
        <v>2597</v>
      </c>
      <c r="F282" s="251" t="s">
        <v>98</v>
      </c>
      <c r="G282" s="229" t="s">
        <v>561</v>
      </c>
      <c r="H282" s="31"/>
      <c r="I282" s="230"/>
      <c r="J282" s="230"/>
      <c r="K282" s="230"/>
      <c r="L282" s="230"/>
      <c r="M282" s="251"/>
    </row>
    <row r="283" spans="1:14" x14ac:dyDescent="0.35">
      <c r="A283" s="261">
        <v>257</v>
      </c>
      <c r="B283" s="30" t="s">
        <v>371</v>
      </c>
      <c r="C283" s="31" t="s">
        <v>375</v>
      </c>
      <c r="D283" s="274" t="s">
        <v>528</v>
      </c>
      <c r="E283" s="306">
        <v>2597</v>
      </c>
      <c r="F283" s="251" t="s">
        <v>98</v>
      </c>
      <c r="G283" s="229" t="s">
        <v>561</v>
      </c>
      <c r="H283" s="31"/>
      <c r="I283" s="230"/>
      <c r="J283" s="230"/>
      <c r="K283" s="230"/>
      <c r="L283" s="230"/>
      <c r="M283" s="251"/>
    </row>
    <row r="284" spans="1:14" x14ac:dyDescent="0.35">
      <c r="A284" s="261">
        <v>258</v>
      </c>
      <c r="B284" s="30" t="s">
        <v>371</v>
      </c>
      <c r="C284" s="31" t="s">
        <v>376</v>
      </c>
      <c r="D284" s="274" t="s">
        <v>528</v>
      </c>
      <c r="E284" s="306">
        <v>2597</v>
      </c>
      <c r="F284" s="251" t="s">
        <v>98</v>
      </c>
      <c r="G284" s="229" t="s">
        <v>561</v>
      </c>
      <c r="H284" s="31"/>
      <c r="I284" s="230"/>
      <c r="J284" s="230"/>
      <c r="K284" s="230"/>
      <c r="L284" s="230"/>
      <c r="M284" s="251"/>
    </row>
    <row r="285" spans="1:14" x14ac:dyDescent="0.35">
      <c r="A285" s="261">
        <v>259</v>
      </c>
      <c r="B285" s="30" t="s">
        <v>371</v>
      </c>
      <c r="C285" s="31" t="s">
        <v>377</v>
      </c>
      <c r="D285" s="274" t="s">
        <v>528</v>
      </c>
      <c r="E285" s="306">
        <v>2597</v>
      </c>
      <c r="F285" s="251" t="s">
        <v>98</v>
      </c>
      <c r="G285" s="229" t="s">
        <v>561</v>
      </c>
      <c r="H285" s="31"/>
      <c r="I285" s="230"/>
      <c r="J285" s="230"/>
      <c r="K285" s="230"/>
      <c r="L285" s="230"/>
      <c r="M285" s="251"/>
    </row>
    <row r="286" spans="1:14" x14ac:dyDescent="0.35">
      <c r="A286" s="261">
        <v>260</v>
      </c>
      <c r="B286" s="30" t="s">
        <v>371</v>
      </c>
      <c r="C286" s="31" t="s">
        <v>378</v>
      </c>
      <c r="D286" s="274" t="s">
        <v>528</v>
      </c>
      <c r="E286" s="306">
        <v>2597</v>
      </c>
      <c r="F286" s="251" t="s">
        <v>98</v>
      </c>
      <c r="G286" s="229" t="s">
        <v>561</v>
      </c>
      <c r="H286" s="31"/>
      <c r="I286" s="230"/>
      <c r="J286" s="230"/>
      <c r="K286" s="230"/>
      <c r="L286" s="230"/>
      <c r="M286" s="251"/>
    </row>
    <row r="287" spans="1:14" x14ac:dyDescent="0.35">
      <c r="A287" s="261">
        <v>261</v>
      </c>
      <c r="B287" s="30" t="s">
        <v>371</v>
      </c>
      <c r="C287" s="31" t="s">
        <v>379</v>
      </c>
      <c r="D287" s="274" t="s">
        <v>528</v>
      </c>
      <c r="E287" s="306">
        <v>2597</v>
      </c>
      <c r="F287" s="251" t="s">
        <v>98</v>
      </c>
      <c r="G287" s="229" t="s">
        <v>561</v>
      </c>
      <c r="H287" s="31"/>
      <c r="I287" s="230"/>
      <c r="J287" s="230"/>
      <c r="K287" s="230"/>
      <c r="L287" s="230"/>
      <c r="M287" s="251"/>
    </row>
    <row r="288" spans="1:14" x14ac:dyDescent="0.35">
      <c r="A288" s="261">
        <v>262</v>
      </c>
      <c r="B288" s="30" t="s">
        <v>371</v>
      </c>
      <c r="C288" s="31" t="s">
        <v>380</v>
      </c>
      <c r="D288" s="274" t="s">
        <v>528</v>
      </c>
      <c r="E288" s="306">
        <v>2597</v>
      </c>
      <c r="F288" s="251" t="s">
        <v>98</v>
      </c>
      <c r="G288" s="229" t="s">
        <v>561</v>
      </c>
      <c r="H288" s="31"/>
      <c r="I288" s="230"/>
      <c r="J288" s="230"/>
      <c r="K288" s="230"/>
      <c r="L288" s="230"/>
      <c r="M288" s="251"/>
      <c r="N288" s="572">
        <f>SUM(E265:E288)</f>
        <v>36776</v>
      </c>
    </row>
    <row r="289" spans="1:13" x14ac:dyDescent="0.35">
      <c r="A289" s="261">
        <v>263</v>
      </c>
      <c r="B289" s="30" t="s">
        <v>371</v>
      </c>
      <c r="C289" s="31" t="s">
        <v>381</v>
      </c>
      <c r="D289" s="274" t="s">
        <v>528</v>
      </c>
      <c r="E289" s="306">
        <v>2597</v>
      </c>
      <c r="F289" s="251" t="s">
        <v>98</v>
      </c>
      <c r="G289" s="229" t="s">
        <v>561</v>
      </c>
      <c r="H289" s="31"/>
      <c r="I289" s="230"/>
      <c r="J289" s="230"/>
      <c r="K289" s="230"/>
      <c r="L289" s="230"/>
      <c r="M289" s="251"/>
    </row>
    <row r="290" spans="1:13" x14ac:dyDescent="0.35">
      <c r="A290" s="261">
        <v>264</v>
      </c>
      <c r="B290" s="30" t="s">
        <v>371</v>
      </c>
      <c r="C290" s="31" t="s">
        <v>382</v>
      </c>
      <c r="D290" s="274" t="s">
        <v>528</v>
      </c>
      <c r="E290" s="306">
        <v>2597</v>
      </c>
      <c r="F290" s="251" t="s">
        <v>98</v>
      </c>
      <c r="G290" s="229" t="s">
        <v>561</v>
      </c>
      <c r="H290" s="31"/>
      <c r="I290" s="230"/>
      <c r="J290" s="230"/>
      <c r="K290" s="230"/>
      <c r="L290" s="230"/>
      <c r="M290" s="251"/>
    </row>
    <row r="291" spans="1:13" x14ac:dyDescent="0.35">
      <c r="A291" s="261">
        <v>265</v>
      </c>
      <c r="B291" s="30" t="s">
        <v>371</v>
      </c>
      <c r="C291" s="31" t="s">
        <v>383</v>
      </c>
      <c r="D291" s="274" t="s">
        <v>528</v>
      </c>
      <c r="E291" s="306">
        <v>2597</v>
      </c>
      <c r="F291" s="251" t="s">
        <v>98</v>
      </c>
      <c r="G291" s="229" t="s">
        <v>561</v>
      </c>
      <c r="H291" s="31"/>
      <c r="I291" s="230"/>
      <c r="J291" s="230"/>
      <c r="K291" s="230"/>
      <c r="L291" s="230"/>
      <c r="M291" s="251"/>
    </row>
    <row r="292" spans="1:13" x14ac:dyDescent="0.35">
      <c r="A292" s="261">
        <v>266</v>
      </c>
      <c r="B292" s="30" t="s">
        <v>371</v>
      </c>
      <c r="C292" s="31" t="s">
        <v>384</v>
      </c>
      <c r="D292" s="274" t="s">
        <v>528</v>
      </c>
      <c r="E292" s="306">
        <v>2597</v>
      </c>
      <c r="F292" s="251" t="s">
        <v>98</v>
      </c>
      <c r="G292" s="229" t="s">
        <v>561</v>
      </c>
      <c r="H292" s="31"/>
      <c r="I292" s="230"/>
      <c r="J292" s="230"/>
      <c r="K292" s="230"/>
      <c r="L292" s="230"/>
      <c r="M292" s="251"/>
    </row>
    <row r="293" spans="1:13" x14ac:dyDescent="0.35">
      <c r="A293" s="261">
        <v>267</v>
      </c>
      <c r="B293" s="30" t="s">
        <v>371</v>
      </c>
      <c r="C293" s="31" t="s">
        <v>385</v>
      </c>
      <c r="D293" s="274" t="s">
        <v>528</v>
      </c>
      <c r="E293" s="306">
        <v>2597</v>
      </c>
      <c r="F293" s="251" t="s">
        <v>98</v>
      </c>
      <c r="G293" s="229" t="s">
        <v>561</v>
      </c>
      <c r="H293" s="31"/>
      <c r="I293" s="230"/>
      <c r="J293" s="230"/>
      <c r="K293" s="230"/>
      <c r="L293" s="230"/>
      <c r="M293" s="251"/>
    </row>
    <row r="294" spans="1:13" x14ac:dyDescent="0.35">
      <c r="A294" s="261">
        <v>268</v>
      </c>
      <c r="B294" s="30" t="s">
        <v>371</v>
      </c>
      <c r="C294" s="31" t="s">
        <v>386</v>
      </c>
      <c r="D294" s="274" t="s">
        <v>528</v>
      </c>
      <c r="E294" s="306">
        <v>2597</v>
      </c>
      <c r="F294" s="251" t="s">
        <v>98</v>
      </c>
      <c r="G294" s="229" t="s">
        <v>561</v>
      </c>
      <c r="H294" s="31"/>
      <c r="I294" s="230"/>
      <c r="J294" s="230"/>
      <c r="K294" s="230"/>
      <c r="L294" s="230"/>
      <c r="M294" s="251"/>
    </row>
    <row r="295" spans="1:13" x14ac:dyDescent="0.35">
      <c r="A295" s="261">
        <v>269</v>
      </c>
      <c r="B295" s="30" t="s">
        <v>371</v>
      </c>
      <c r="C295" s="31" t="s">
        <v>387</v>
      </c>
      <c r="D295" s="428" t="s">
        <v>528</v>
      </c>
      <c r="E295" s="306">
        <v>2602</v>
      </c>
      <c r="F295" s="429" t="s">
        <v>98</v>
      </c>
      <c r="G295" s="229" t="s">
        <v>561</v>
      </c>
      <c r="H295" s="298"/>
      <c r="I295" s="230"/>
      <c r="J295" s="455"/>
      <c r="K295" s="456"/>
      <c r="L295" s="456"/>
      <c r="M295" s="457"/>
    </row>
    <row r="296" spans="1:13" x14ac:dyDescent="0.35">
      <c r="A296" s="261">
        <v>270</v>
      </c>
      <c r="B296" s="38" t="s">
        <v>371</v>
      </c>
      <c r="C296" s="37" t="s">
        <v>388</v>
      </c>
      <c r="D296" s="280" t="s">
        <v>528</v>
      </c>
      <c r="E296" s="308">
        <v>2597</v>
      </c>
      <c r="F296" s="57" t="s">
        <v>99</v>
      </c>
      <c r="G296" s="263" t="s">
        <v>561</v>
      </c>
      <c r="H296" s="37"/>
      <c r="I296" s="262"/>
      <c r="J296" s="262"/>
      <c r="K296" s="262"/>
      <c r="L296" s="262"/>
      <c r="M296" s="57"/>
    </row>
    <row r="297" spans="1:13" x14ac:dyDescent="0.35">
      <c r="A297" s="261">
        <v>271</v>
      </c>
      <c r="B297" s="30" t="s">
        <v>371</v>
      </c>
      <c r="C297" s="31" t="s">
        <v>389</v>
      </c>
      <c r="D297" s="274" t="s">
        <v>528</v>
      </c>
      <c r="E297" s="306">
        <v>2597</v>
      </c>
      <c r="F297" s="251" t="s">
        <v>99</v>
      </c>
      <c r="G297" s="229" t="s">
        <v>561</v>
      </c>
      <c r="H297" s="31"/>
      <c r="I297" s="230"/>
      <c r="J297" s="230"/>
      <c r="K297" s="230"/>
      <c r="L297" s="230"/>
      <c r="M297" s="251"/>
    </row>
    <row r="298" spans="1:13" x14ac:dyDescent="0.35">
      <c r="A298" s="261">
        <v>272</v>
      </c>
      <c r="B298" s="30" t="s">
        <v>371</v>
      </c>
      <c r="C298" s="31" t="s">
        <v>390</v>
      </c>
      <c r="D298" s="274" t="s">
        <v>528</v>
      </c>
      <c r="E298" s="306">
        <v>2597</v>
      </c>
      <c r="F298" s="251" t="s">
        <v>99</v>
      </c>
      <c r="G298" s="229" t="s">
        <v>561</v>
      </c>
      <c r="H298" s="31"/>
      <c r="I298" s="230"/>
      <c r="J298" s="230"/>
      <c r="K298" s="230"/>
      <c r="L298" s="230"/>
      <c r="M298" s="251"/>
    </row>
    <row r="299" spans="1:13" x14ac:dyDescent="0.35">
      <c r="A299" s="261">
        <v>273</v>
      </c>
      <c r="B299" s="30" t="s">
        <v>371</v>
      </c>
      <c r="C299" s="31" t="s">
        <v>391</v>
      </c>
      <c r="D299" s="274" t="s">
        <v>528</v>
      </c>
      <c r="E299" s="306">
        <v>2597</v>
      </c>
      <c r="F299" s="251" t="s">
        <v>99</v>
      </c>
      <c r="G299" s="229" t="s">
        <v>561</v>
      </c>
      <c r="H299" s="31"/>
      <c r="I299" s="230"/>
      <c r="J299" s="230"/>
      <c r="K299" s="230"/>
      <c r="L299" s="230"/>
      <c r="M299" s="251"/>
    </row>
    <row r="300" spans="1:13" x14ac:dyDescent="0.35">
      <c r="A300" s="261">
        <v>274</v>
      </c>
      <c r="B300" s="30" t="s">
        <v>371</v>
      </c>
      <c r="C300" s="31" t="s">
        <v>392</v>
      </c>
      <c r="D300" s="274" t="s">
        <v>528</v>
      </c>
      <c r="E300" s="306">
        <v>2597</v>
      </c>
      <c r="F300" s="251" t="s">
        <v>99</v>
      </c>
      <c r="G300" s="229" t="s">
        <v>561</v>
      </c>
      <c r="H300" s="31"/>
      <c r="I300" s="230"/>
      <c r="J300" s="230"/>
      <c r="K300" s="230"/>
      <c r="L300" s="230"/>
      <c r="M300" s="251"/>
    </row>
    <row r="301" spans="1:13" x14ac:dyDescent="0.35">
      <c r="A301" s="261">
        <v>275</v>
      </c>
      <c r="B301" s="30" t="s">
        <v>371</v>
      </c>
      <c r="C301" s="31" t="s">
        <v>393</v>
      </c>
      <c r="D301" s="274" t="s">
        <v>528</v>
      </c>
      <c r="E301" s="306">
        <v>2597</v>
      </c>
      <c r="F301" s="251" t="s">
        <v>99</v>
      </c>
      <c r="G301" s="229" t="s">
        <v>561</v>
      </c>
      <c r="H301" s="31"/>
      <c r="I301" s="230"/>
      <c r="J301" s="230"/>
      <c r="K301" s="230"/>
      <c r="L301" s="230"/>
      <c r="M301" s="251"/>
    </row>
    <row r="302" spans="1:13" x14ac:dyDescent="0.35">
      <c r="A302" s="261">
        <v>276</v>
      </c>
      <c r="B302" s="30" t="s">
        <v>371</v>
      </c>
      <c r="C302" s="31" t="s">
        <v>394</v>
      </c>
      <c r="D302" s="274" t="s">
        <v>528</v>
      </c>
      <c r="E302" s="306">
        <v>2597</v>
      </c>
      <c r="F302" s="251" t="s">
        <v>99</v>
      </c>
      <c r="G302" s="229" t="s">
        <v>561</v>
      </c>
      <c r="H302" s="31"/>
      <c r="I302" s="230"/>
      <c r="J302" s="230"/>
      <c r="K302" s="230"/>
      <c r="L302" s="230"/>
      <c r="M302" s="251"/>
    </row>
    <row r="303" spans="1:13" x14ac:dyDescent="0.35">
      <c r="A303" s="261">
        <v>277</v>
      </c>
      <c r="B303" s="30" t="s">
        <v>371</v>
      </c>
      <c r="C303" s="31" t="s">
        <v>395</v>
      </c>
      <c r="D303" s="274" t="s">
        <v>528</v>
      </c>
      <c r="E303" s="306">
        <v>2597</v>
      </c>
      <c r="F303" s="251" t="s">
        <v>99</v>
      </c>
      <c r="G303" s="229" t="s">
        <v>561</v>
      </c>
      <c r="H303" s="31"/>
      <c r="I303" s="230"/>
      <c r="J303" s="230"/>
      <c r="K303" s="230"/>
      <c r="L303" s="230"/>
      <c r="M303" s="251"/>
    </row>
    <row r="304" spans="1:13" x14ac:dyDescent="0.35">
      <c r="A304" s="261">
        <v>278</v>
      </c>
      <c r="B304" s="30" t="s">
        <v>371</v>
      </c>
      <c r="C304" s="31" t="s">
        <v>396</v>
      </c>
      <c r="D304" s="274" t="s">
        <v>528</v>
      </c>
      <c r="E304" s="306">
        <v>2597</v>
      </c>
      <c r="F304" s="251" t="s">
        <v>99</v>
      </c>
      <c r="G304" s="229" t="s">
        <v>561</v>
      </c>
      <c r="H304" s="31"/>
      <c r="I304" s="230"/>
      <c r="J304" s="230"/>
      <c r="K304" s="230"/>
      <c r="L304" s="230"/>
      <c r="M304" s="251"/>
    </row>
    <row r="305" spans="1:14" x14ac:dyDescent="0.35">
      <c r="A305" s="261">
        <v>279</v>
      </c>
      <c r="B305" s="30" t="s">
        <v>371</v>
      </c>
      <c r="C305" s="31" t="s">
        <v>397</v>
      </c>
      <c r="D305" s="274" t="s">
        <v>528</v>
      </c>
      <c r="E305" s="306">
        <v>2597</v>
      </c>
      <c r="F305" s="251" t="s">
        <v>99</v>
      </c>
      <c r="G305" s="229" t="s">
        <v>561</v>
      </c>
      <c r="H305" s="31"/>
      <c r="I305" s="230"/>
      <c r="J305" s="230"/>
      <c r="K305" s="230"/>
      <c r="L305" s="230"/>
      <c r="M305" s="251"/>
    </row>
    <row r="306" spans="1:14" x14ac:dyDescent="0.35">
      <c r="A306" s="261">
        <v>280</v>
      </c>
      <c r="B306" s="30" t="s">
        <v>371</v>
      </c>
      <c r="C306" s="31" t="s">
        <v>398</v>
      </c>
      <c r="D306" s="274" t="s">
        <v>528</v>
      </c>
      <c r="E306" s="306">
        <v>2597</v>
      </c>
      <c r="F306" s="251" t="s">
        <v>99</v>
      </c>
      <c r="G306" s="229" t="s">
        <v>561</v>
      </c>
      <c r="H306" s="31"/>
      <c r="I306" s="230"/>
      <c r="J306" s="230"/>
      <c r="K306" s="230"/>
      <c r="L306" s="230"/>
      <c r="M306" s="251"/>
    </row>
    <row r="307" spans="1:14" x14ac:dyDescent="0.35">
      <c r="A307" s="261">
        <v>281</v>
      </c>
      <c r="B307" s="30" t="s">
        <v>371</v>
      </c>
      <c r="C307" s="31" t="s">
        <v>399</v>
      </c>
      <c r="D307" s="274" t="s">
        <v>528</v>
      </c>
      <c r="E307" s="306">
        <v>2597</v>
      </c>
      <c r="F307" s="251" t="s">
        <v>99</v>
      </c>
      <c r="G307" s="229" t="s">
        <v>561</v>
      </c>
      <c r="H307" s="31"/>
      <c r="I307" s="230"/>
      <c r="J307" s="230"/>
      <c r="K307" s="230"/>
      <c r="L307" s="230"/>
      <c r="M307" s="251"/>
    </row>
    <row r="308" spans="1:14" x14ac:dyDescent="0.35">
      <c r="A308" s="261">
        <v>282</v>
      </c>
      <c r="B308" s="30" t="s">
        <v>371</v>
      </c>
      <c r="C308" s="31" t="s">
        <v>400</v>
      </c>
      <c r="D308" s="274" t="s">
        <v>528</v>
      </c>
      <c r="E308" s="306">
        <v>2597</v>
      </c>
      <c r="F308" s="251" t="s">
        <v>99</v>
      </c>
      <c r="G308" s="229" t="s">
        <v>561</v>
      </c>
      <c r="H308" s="31"/>
      <c r="I308" s="230"/>
      <c r="J308" s="230"/>
      <c r="K308" s="230"/>
      <c r="L308" s="230"/>
      <c r="M308" s="251"/>
    </row>
    <row r="309" spans="1:14" x14ac:dyDescent="0.35">
      <c r="A309" s="261">
        <v>283</v>
      </c>
      <c r="B309" s="30" t="s">
        <v>371</v>
      </c>
      <c r="C309" s="31" t="s">
        <v>401</v>
      </c>
      <c r="D309" s="274" t="s">
        <v>528</v>
      </c>
      <c r="E309" s="306">
        <v>2597</v>
      </c>
      <c r="F309" s="251" t="s">
        <v>99</v>
      </c>
      <c r="G309" s="229" t="s">
        <v>561</v>
      </c>
      <c r="H309" s="31"/>
      <c r="I309" s="230"/>
      <c r="J309" s="230"/>
      <c r="K309" s="230"/>
      <c r="L309" s="230"/>
      <c r="M309" s="251"/>
    </row>
    <row r="310" spans="1:14" x14ac:dyDescent="0.35">
      <c r="A310" s="261">
        <v>284</v>
      </c>
      <c r="B310" s="30" t="s">
        <v>371</v>
      </c>
      <c r="C310" s="31" t="s">
        <v>402</v>
      </c>
      <c r="D310" s="274" t="s">
        <v>528</v>
      </c>
      <c r="E310" s="306">
        <v>2602</v>
      </c>
      <c r="F310" s="251" t="s">
        <v>99</v>
      </c>
      <c r="G310" s="229" t="s">
        <v>561</v>
      </c>
      <c r="H310" s="31"/>
      <c r="I310" s="230"/>
      <c r="J310" s="230"/>
      <c r="K310" s="230"/>
      <c r="L310" s="230"/>
      <c r="M310" s="251"/>
    </row>
    <row r="311" spans="1:14" x14ac:dyDescent="0.35">
      <c r="A311" s="261">
        <v>285</v>
      </c>
      <c r="B311" s="30" t="s">
        <v>371</v>
      </c>
      <c r="C311" s="31" t="s">
        <v>403</v>
      </c>
      <c r="D311" s="274" t="s">
        <v>528</v>
      </c>
      <c r="E311" s="306">
        <v>2597</v>
      </c>
      <c r="F311" s="251" t="s">
        <v>100</v>
      </c>
      <c r="G311" s="229" t="s">
        <v>561</v>
      </c>
      <c r="H311" s="31"/>
      <c r="I311" s="230"/>
      <c r="J311" s="230"/>
      <c r="K311" s="230"/>
      <c r="L311" s="230"/>
      <c r="M311" s="251"/>
      <c r="N311" s="258"/>
    </row>
    <row r="312" spans="1:14" x14ac:dyDescent="0.35">
      <c r="A312" s="261">
        <v>286</v>
      </c>
      <c r="B312" s="30" t="s">
        <v>371</v>
      </c>
      <c r="C312" s="31" t="s">
        <v>404</v>
      </c>
      <c r="D312" s="274" t="s">
        <v>528</v>
      </c>
      <c r="E312" s="306">
        <v>2597</v>
      </c>
      <c r="F312" s="251" t="s">
        <v>100</v>
      </c>
      <c r="G312" s="229" t="s">
        <v>561</v>
      </c>
      <c r="H312" s="31"/>
      <c r="I312" s="230"/>
      <c r="J312" s="230"/>
      <c r="K312" s="230"/>
      <c r="L312" s="230"/>
      <c r="M312" s="251"/>
      <c r="N312" s="572">
        <f>SUM(E289:E312)</f>
        <v>62338</v>
      </c>
    </row>
    <row r="313" spans="1:14" x14ac:dyDescent="0.35">
      <c r="A313" s="261">
        <v>287</v>
      </c>
      <c r="B313" s="30" t="s">
        <v>371</v>
      </c>
      <c r="C313" s="31" t="s">
        <v>405</v>
      </c>
      <c r="D313" s="274" t="s">
        <v>528</v>
      </c>
      <c r="E313" s="306">
        <v>2597</v>
      </c>
      <c r="F313" s="251" t="s">
        <v>100</v>
      </c>
      <c r="G313" s="229" t="s">
        <v>561</v>
      </c>
      <c r="H313" s="31"/>
      <c r="I313" s="230"/>
      <c r="J313" s="230"/>
      <c r="K313" s="230"/>
      <c r="L313" s="230"/>
      <c r="M313" s="251"/>
    </row>
    <row r="314" spans="1:14" x14ac:dyDescent="0.35">
      <c r="A314" s="261">
        <v>288</v>
      </c>
      <c r="B314" s="30" t="s">
        <v>371</v>
      </c>
      <c r="C314" s="31" t="s">
        <v>406</v>
      </c>
      <c r="D314" s="274" t="s">
        <v>528</v>
      </c>
      <c r="E314" s="306">
        <v>2597</v>
      </c>
      <c r="F314" s="251" t="s">
        <v>100</v>
      </c>
      <c r="G314" s="229" t="s">
        <v>561</v>
      </c>
      <c r="H314" s="31"/>
      <c r="I314" s="230"/>
      <c r="J314" s="230"/>
      <c r="K314" s="230"/>
      <c r="L314" s="230"/>
      <c r="M314" s="251"/>
    </row>
    <row r="315" spans="1:14" x14ac:dyDescent="0.35">
      <c r="A315" s="261">
        <v>289</v>
      </c>
      <c r="B315" s="30" t="s">
        <v>371</v>
      </c>
      <c r="C315" s="31" t="s">
        <v>407</v>
      </c>
      <c r="D315" s="274" t="s">
        <v>528</v>
      </c>
      <c r="E315" s="306">
        <v>2597</v>
      </c>
      <c r="F315" s="251" t="s">
        <v>100</v>
      </c>
      <c r="G315" s="229" t="s">
        <v>561</v>
      </c>
      <c r="H315" s="31"/>
      <c r="I315" s="230"/>
      <c r="J315" s="230"/>
      <c r="K315" s="230"/>
      <c r="L315" s="230"/>
      <c r="M315" s="251"/>
    </row>
    <row r="316" spans="1:14" x14ac:dyDescent="0.35">
      <c r="A316" s="261">
        <v>290</v>
      </c>
      <c r="B316" s="38" t="s">
        <v>371</v>
      </c>
      <c r="C316" s="37" t="s">
        <v>408</v>
      </c>
      <c r="D316" s="280" t="s">
        <v>528</v>
      </c>
      <c r="E316" s="308">
        <v>2597</v>
      </c>
      <c r="F316" s="57" t="s">
        <v>100</v>
      </c>
      <c r="G316" s="263" t="s">
        <v>561</v>
      </c>
      <c r="H316" s="37"/>
      <c r="I316" s="262"/>
      <c r="J316" s="262"/>
      <c r="K316" s="262"/>
      <c r="L316" s="262"/>
      <c r="M316" s="57"/>
    </row>
    <row r="317" spans="1:14" x14ac:dyDescent="0.35">
      <c r="A317" s="261">
        <v>291</v>
      </c>
      <c r="B317" s="30" t="s">
        <v>371</v>
      </c>
      <c r="C317" s="31" t="s">
        <v>409</v>
      </c>
      <c r="D317" s="274" t="s">
        <v>528</v>
      </c>
      <c r="E317" s="306">
        <v>2597</v>
      </c>
      <c r="F317" s="251" t="s">
        <v>100</v>
      </c>
      <c r="G317" s="229" t="s">
        <v>561</v>
      </c>
      <c r="H317" s="31"/>
      <c r="I317" s="230"/>
      <c r="J317" s="230"/>
      <c r="K317" s="230"/>
      <c r="L317" s="230"/>
      <c r="M317" s="251"/>
    </row>
    <row r="318" spans="1:14" x14ac:dyDescent="0.35">
      <c r="A318" s="261">
        <v>292</v>
      </c>
      <c r="B318" s="30" t="s">
        <v>371</v>
      </c>
      <c r="C318" s="31" t="s">
        <v>410</v>
      </c>
      <c r="D318" s="274" t="s">
        <v>528</v>
      </c>
      <c r="E318" s="306">
        <v>2597</v>
      </c>
      <c r="F318" s="251" t="s">
        <v>100</v>
      </c>
      <c r="G318" s="229" t="s">
        <v>561</v>
      </c>
      <c r="H318" s="31"/>
      <c r="I318" s="230"/>
      <c r="J318" s="230"/>
      <c r="K318" s="230"/>
      <c r="L318" s="230"/>
      <c r="M318" s="251"/>
    </row>
    <row r="319" spans="1:14" x14ac:dyDescent="0.35">
      <c r="A319" s="261">
        <v>293</v>
      </c>
      <c r="B319" s="30" t="s">
        <v>371</v>
      </c>
      <c r="C319" s="31" t="s">
        <v>411</v>
      </c>
      <c r="D319" s="274" t="s">
        <v>528</v>
      </c>
      <c r="E319" s="306">
        <v>2597</v>
      </c>
      <c r="F319" s="251" t="s">
        <v>100</v>
      </c>
      <c r="G319" s="229" t="s">
        <v>561</v>
      </c>
      <c r="H319" s="31"/>
      <c r="I319" s="230"/>
      <c r="J319" s="230"/>
      <c r="K319" s="230"/>
      <c r="L319" s="230"/>
      <c r="M319" s="251"/>
    </row>
    <row r="320" spans="1:14" x14ac:dyDescent="0.35">
      <c r="A320" s="261">
        <v>294</v>
      </c>
      <c r="B320" s="30" t="s">
        <v>371</v>
      </c>
      <c r="C320" s="31" t="s">
        <v>412</v>
      </c>
      <c r="D320" s="274" t="s">
        <v>528</v>
      </c>
      <c r="E320" s="306">
        <v>2597</v>
      </c>
      <c r="F320" s="251" t="s">
        <v>100</v>
      </c>
      <c r="G320" s="229" t="s">
        <v>561</v>
      </c>
      <c r="H320" s="31"/>
      <c r="I320" s="230"/>
      <c r="J320" s="230"/>
      <c r="K320" s="230"/>
      <c r="L320" s="230"/>
      <c r="M320" s="251"/>
    </row>
    <row r="321" spans="1:14" x14ac:dyDescent="0.35">
      <c r="A321" s="261">
        <v>295</v>
      </c>
      <c r="B321" s="30" t="s">
        <v>371</v>
      </c>
      <c r="C321" s="31" t="s">
        <v>413</v>
      </c>
      <c r="D321" s="274" t="s">
        <v>528</v>
      </c>
      <c r="E321" s="306">
        <v>2597</v>
      </c>
      <c r="F321" s="251" t="s">
        <v>100</v>
      </c>
      <c r="G321" s="229" t="s">
        <v>561</v>
      </c>
      <c r="H321" s="31"/>
      <c r="I321" s="230"/>
      <c r="J321" s="230"/>
      <c r="K321" s="230"/>
      <c r="L321" s="230"/>
      <c r="M321" s="251"/>
    </row>
    <row r="322" spans="1:14" x14ac:dyDescent="0.35">
      <c r="A322" s="261">
        <v>296</v>
      </c>
      <c r="B322" s="30" t="s">
        <v>371</v>
      </c>
      <c r="C322" s="31" t="s">
        <v>414</v>
      </c>
      <c r="D322" s="274" t="s">
        <v>528</v>
      </c>
      <c r="E322" s="306">
        <v>2597</v>
      </c>
      <c r="F322" s="251" t="s">
        <v>100</v>
      </c>
      <c r="G322" s="229" t="s">
        <v>561</v>
      </c>
      <c r="H322" s="31"/>
      <c r="I322" s="230"/>
      <c r="J322" s="230"/>
      <c r="K322" s="230"/>
      <c r="L322" s="230"/>
      <c r="M322" s="251"/>
    </row>
    <row r="323" spans="1:14" x14ac:dyDescent="0.35">
      <c r="A323" s="261">
        <v>297</v>
      </c>
      <c r="B323" s="30" t="s">
        <v>371</v>
      </c>
      <c r="C323" s="31" t="s">
        <v>415</v>
      </c>
      <c r="D323" s="274" t="s">
        <v>528</v>
      </c>
      <c r="E323" s="306">
        <v>2597</v>
      </c>
      <c r="F323" s="251" t="s">
        <v>100</v>
      </c>
      <c r="G323" s="229" t="s">
        <v>561</v>
      </c>
      <c r="H323" s="31"/>
      <c r="I323" s="230"/>
      <c r="J323" s="230"/>
      <c r="K323" s="230"/>
      <c r="L323" s="230"/>
      <c r="M323" s="251"/>
    </row>
    <row r="324" spans="1:14" x14ac:dyDescent="0.35">
      <c r="A324" s="261">
        <v>298</v>
      </c>
      <c r="B324" s="30" t="s">
        <v>371</v>
      </c>
      <c r="C324" s="31" t="s">
        <v>416</v>
      </c>
      <c r="D324" s="274" t="s">
        <v>528</v>
      </c>
      <c r="E324" s="306">
        <v>2597</v>
      </c>
      <c r="F324" s="251" t="s">
        <v>100</v>
      </c>
      <c r="G324" s="229" t="s">
        <v>561</v>
      </c>
      <c r="H324" s="31"/>
      <c r="I324" s="230"/>
      <c r="J324" s="230"/>
      <c r="K324" s="230"/>
      <c r="L324" s="230"/>
      <c r="M324" s="251"/>
    </row>
    <row r="325" spans="1:14" x14ac:dyDescent="0.35">
      <c r="A325" s="261">
        <v>299</v>
      </c>
      <c r="B325" s="30" t="s">
        <v>371</v>
      </c>
      <c r="C325" s="31" t="s">
        <v>417</v>
      </c>
      <c r="D325" s="274" t="s">
        <v>528</v>
      </c>
      <c r="E325" s="306">
        <v>2602</v>
      </c>
      <c r="F325" s="251" t="s">
        <v>100</v>
      </c>
      <c r="G325" s="229" t="s">
        <v>561</v>
      </c>
      <c r="H325" s="31"/>
      <c r="I325" s="230"/>
      <c r="J325" s="230"/>
      <c r="K325" s="230"/>
      <c r="L325" s="230"/>
      <c r="M325" s="251"/>
    </row>
    <row r="326" spans="1:14" x14ac:dyDescent="0.35">
      <c r="A326" s="261">
        <v>300</v>
      </c>
      <c r="B326" s="30" t="s">
        <v>418</v>
      </c>
      <c r="C326" s="31" t="s">
        <v>419</v>
      </c>
      <c r="D326" s="274" t="s">
        <v>522</v>
      </c>
      <c r="E326" s="306">
        <v>4050</v>
      </c>
      <c r="F326" s="251" t="s">
        <v>64</v>
      </c>
      <c r="G326" s="229" t="s">
        <v>561</v>
      </c>
      <c r="H326" s="31"/>
      <c r="I326" s="230"/>
      <c r="J326" s="230"/>
      <c r="K326" s="230"/>
      <c r="L326" s="230"/>
      <c r="M326" s="251"/>
    </row>
    <row r="327" spans="1:14" x14ac:dyDescent="0.35">
      <c r="A327" s="214"/>
      <c r="B327" s="30" t="s">
        <v>420</v>
      </c>
      <c r="C327" s="31"/>
      <c r="D327" s="274"/>
      <c r="E327" s="306"/>
      <c r="F327" s="251"/>
      <c r="G327" s="230"/>
      <c r="H327" s="31"/>
      <c r="I327" s="230"/>
      <c r="J327" s="230"/>
      <c r="K327" s="230"/>
      <c r="L327" s="230"/>
      <c r="M327" s="251"/>
    </row>
    <row r="328" spans="1:14" x14ac:dyDescent="0.35">
      <c r="A328" s="214">
        <v>301</v>
      </c>
      <c r="B328" s="30" t="s">
        <v>418</v>
      </c>
      <c r="C328" s="31" t="s">
        <v>421</v>
      </c>
      <c r="D328" s="274" t="s">
        <v>522</v>
      </c>
      <c r="E328" s="306">
        <v>4050</v>
      </c>
      <c r="F328" s="251" t="s">
        <v>64</v>
      </c>
      <c r="G328" s="229" t="s">
        <v>561</v>
      </c>
      <c r="H328" s="31"/>
      <c r="I328" s="230"/>
      <c r="J328" s="230"/>
      <c r="K328" s="230"/>
      <c r="L328" s="230"/>
      <c r="M328" s="251"/>
    </row>
    <row r="329" spans="1:14" x14ac:dyDescent="0.35">
      <c r="A329" s="214"/>
      <c r="B329" s="30" t="s">
        <v>420</v>
      </c>
      <c r="C329" s="31"/>
      <c r="D329" s="274"/>
      <c r="E329" s="306"/>
      <c r="F329" s="251"/>
      <c r="G329" s="230"/>
      <c r="H329" s="31"/>
      <c r="I329" s="230"/>
      <c r="J329" s="230"/>
      <c r="K329" s="230"/>
      <c r="L329" s="230"/>
      <c r="M329" s="251"/>
    </row>
    <row r="330" spans="1:14" x14ac:dyDescent="0.35">
      <c r="A330" s="214">
        <v>302</v>
      </c>
      <c r="B330" s="30" t="s">
        <v>656</v>
      </c>
      <c r="C330" s="31" t="s">
        <v>657</v>
      </c>
      <c r="D330" s="274" t="s">
        <v>612</v>
      </c>
      <c r="E330" s="306">
        <v>1000</v>
      </c>
      <c r="F330" s="251" t="s">
        <v>1267</v>
      </c>
      <c r="G330" s="229" t="s">
        <v>561</v>
      </c>
      <c r="H330" s="31"/>
      <c r="I330" s="230"/>
      <c r="J330" s="230"/>
      <c r="K330" s="230"/>
      <c r="L330" s="230"/>
      <c r="M330" s="251"/>
    </row>
    <row r="331" spans="1:14" x14ac:dyDescent="0.35">
      <c r="A331" s="214">
        <v>303</v>
      </c>
      <c r="B331" s="30" t="s">
        <v>656</v>
      </c>
      <c r="C331" s="31" t="s">
        <v>658</v>
      </c>
      <c r="D331" s="274" t="s">
        <v>612</v>
      </c>
      <c r="E331" s="306">
        <v>1000</v>
      </c>
      <c r="F331" s="251" t="s">
        <v>1267</v>
      </c>
      <c r="G331" s="229" t="s">
        <v>561</v>
      </c>
      <c r="H331" s="31"/>
      <c r="I331" s="230"/>
      <c r="J331" s="230"/>
      <c r="K331" s="230"/>
      <c r="L331" s="230"/>
      <c r="M331" s="251"/>
    </row>
    <row r="332" spans="1:14" x14ac:dyDescent="0.35">
      <c r="A332" s="214">
        <v>304</v>
      </c>
      <c r="B332" s="30" t="s">
        <v>656</v>
      </c>
      <c r="C332" s="31" t="s">
        <v>659</v>
      </c>
      <c r="D332" s="274" t="s">
        <v>612</v>
      </c>
      <c r="E332" s="306">
        <v>1000</v>
      </c>
      <c r="F332" s="251" t="s">
        <v>1267</v>
      </c>
      <c r="G332" s="229" t="s">
        <v>561</v>
      </c>
      <c r="H332" s="31"/>
      <c r="I332" s="230"/>
      <c r="J332" s="230"/>
      <c r="K332" s="230"/>
      <c r="L332" s="230"/>
      <c r="M332" s="251"/>
    </row>
    <row r="333" spans="1:14" x14ac:dyDescent="0.35">
      <c r="A333" s="214">
        <v>305</v>
      </c>
      <c r="B333" s="30" t="s">
        <v>656</v>
      </c>
      <c r="C333" s="31" t="s">
        <v>660</v>
      </c>
      <c r="D333" s="274" t="s">
        <v>612</v>
      </c>
      <c r="E333" s="306">
        <v>1000</v>
      </c>
      <c r="F333" s="251" t="s">
        <v>1267</v>
      </c>
      <c r="G333" s="229" t="s">
        <v>561</v>
      </c>
      <c r="H333" s="31"/>
      <c r="I333" s="230"/>
      <c r="J333" s="230"/>
      <c r="K333" s="230"/>
      <c r="L333" s="230"/>
      <c r="M333" s="251"/>
    </row>
    <row r="334" spans="1:14" x14ac:dyDescent="0.35">
      <c r="A334" s="214">
        <v>306</v>
      </c>
      <c r="B334" s="30" t="s">
        <v>656</v>
      </c>
      <c r="C334" s="31" t="s">
        <v>661</v>
      </c>
      <c r="D334" s="274" t="s">
        <v>612</v>
      </c>
      <c r="E334" s="306">
        <v>1000</v>
      </c>
      <c r="F334" s="251" t="s">
        <v>1267</v>
      </c>
      <c r="G334" s="229" t="s">
        <v>561</v>
      </c>
      <c r="H334" s="31"/>
      <c r="I334" s="230"/>
      <c r="J334" s="230"/>
      <c r="K334" s="230"/>
      <c r="L334" s="230"/>
      <c r="M334" s="251"/>
    </row>
    <row r="335" spans="1:14" x14ac:dyDescent="0.35">
      <c r="A335" s="214">
        <v>307</v>
      </c>
      <c r="B335" s="30" t="s">
        <v>656</v>
      </c>
      <c r="C335" s="31" t="s">
        <v>662</v>
      </c>
      <c r="D335" s="274" t="s">
        <v>612</v>
      </c>
      <c r="E335" s="306">
        <v>1000</v>
      </c>
      <c r="F335" s="251" t="s">
        <v>1267</v>
      </c>
      <c r="G335" s="229" t="s">
        <v>561</v>
      </c>
      <c r="H335" s="31"/>
      <c r="I335" s="230"/>
      <c r="J335" s="230"/>
      <c r="K335" s="230"/>
      <c r="L335" s="230"/>
      <c r="M335" s="251"/>
    </row>
    <row r="336" spans="1:14" x14ac:dyDescent="0.35">
      <c r="A336" s="214">
        <v>308</v>
      </c>
      <c r="B336" s="38" t="s">
        <v>371</v>
      </c>
      <c r="C336" s="37" t="s">
        <v>626</v>
      </c>
      <c r="D336" s="280" t="s">
        <v>612</v>
      </c>
      <c r="E336" s="308">
        <v>1200</v>
      </c>
      <c r="F336" s="57" t="s">
        <v>613</v>
      </c>
      <c r="G336" s="263" t="s">
        <v>561</v>
      </c>
      <c r="H336" s="37"/>
      <c r="I336" s="262"/>
      <c r="J336" s="262"/>
      <c r="K336" s="262"/>
      <c r="L336" s="262"/>
      <c r="M336" s="57"/>
      <c r="N336" s="572">
        <f>SUM(E313:E336)</f>
        <v>49066</v>
      </c>
    </row>
    <row r="337" spans="1:14" x14ac:dyDescent="0.35">
      <c r="A337" s="214">
        <v>309</v>
      </c>
      <c r="B337" s="30" t="s">
        <v>371</v>
      </c>
      <c r="C337" s="31" t="s">
        <v>627</v>
      </c>
      <c r="D337" s="274" t="s">
        <v>612</v>
      </c>
      <c r="E337" s="306">
        <v>1200</v>
      </c>
      <c r="F337" s="251" t="s">
        <v>614</v>
      </c>
      <c r="G337" s="229" t="s">
        <v>561</v>
      </c>
      <c r="H337" s="31"/>
      <c r="I337" s="230"/>
      <c r="J337" s="230"/>
      <c r="K337" s="230"/>
      <c r="L337" s="230"/>
      <c r="M337" s="251"/>
    </row>
    <row r="338" spans="1:14" x14ac:dyDescent="0.35">
      <c r="A338" s="214">
        <v>310</v>
      </c>
      <c r="B338" s="30" t="s">
        <v>371</v>
      </c>
      <c r="C338" s="31" t="s">
        <v>628</v>
      </c>
      <c r="D338" s="274" t="s">
        <v>612</v>
      </c>
      <c r="E338" s="306">
        <v>1200</v>
      </c>
      <c r="F338" s="251" t="s">
        <v>614</v>
      </c>
      <c r="G338" s="229" t="s">
        <v>561</v>
      </c>
      <c r="H338" s="31"/>
      <c r="I338" s="230"/>
      <c r="J338" s="230"/>
      <c r="K338" s="230"/>
      <c r="L338" s="230"/>
      <c r="M338" s="251"/>
    </row>
    <row r="339" spans="1:14" x14ac:dyDescent="0.35">
      <c r="A339" s="214">
        <v>311</v>
      </c>
      <c r="B339" s="30" t="s">
        <v>371</v>
      </c>
      <c r="C339" s="31" t="s">
        <v>629</v>
      </c>
      <c r="D339" s="274" t="s">
        <v>612</v>
      </c>
      <c r="E339" s="306">
        <v>1200</v>
      </c>
      <c r="F339" s="251" t="s">
        <v>615</v>
      </c>
      <c r="G339" s="229" t="s">
        <v>561</v>
      </c>
      <c r="H339" s="31"/>
      <c r="I339" s="230"/>
      <c r="J339" s="230"/>
      <c r="K339" s="230"/>
      <c r="L339" s="230"/>
      <c r="M339" s="251"/>
    </row>
    <row r="340" spans="1:14" x14ac:dyDescent="0.35">
      <c r="A340" s="214">
        <v>312</v>
      </c>
      <c r="B340" s="30" t="s">
        <v>371</v>
      </c>
      <c r="C340" s="31" t="s">
        <v>630</v>
      </c>
      <c r="D340" s="274" t="s">
        <v>612</v>
      </c>
      <c r="E340" s="306">
        <v>1200</v>
      </c>
      <c r="F340" s="251" t="s">
        <v>615</v>
      </c>
      <c r="G340" s="229" t="s">
        <v>561</v>
      </c>
      <c r="H340" s="31"/>
      <c r="I340" s="230"/>
      <c r="J340" s="230"/>
      <c r="K340" s="230"/>
      <c r="L340" s="230"/>
      <c r="M340" s="251"/>
    </row>
    <row r="341" spans="1:14" x14ac:dyDescent="0.35">
      <c r="A341" s="214">
        <v>313</v>
      </c>
      <c r="B341" s="30" t="s">
        <v>371</v>
      </c>
      <c r="C341" s="31" t="s">
        <v>631</v>
      </c>
      <c r="D341" s="274" t="s">
        <v>612</v>
      </c>
      <c r="E341" s="306">
        <v>1200</v>
      </c>
      <c r="F341" s="251" t="s">
        <v>615</v>
      </c>
      <c r="G341" s="229" t="s">
        <v>561</v>
      </c>
      <c r="H341" s="31"/>
      <c r="I341" s="230"/>
      <c r="J341" s="230"/>
      <c r="K341" s="230"/>
      <c r="L341" s="230"/>
      <c r="M341" s="251"/>
    </row>
    <row r="342" spans="1:14" x14ac:dyDescent="0.35">
      <c r="A342" s="214">
        <v>314</v>
      </c>
      <c r="B342" s="30" t="s">
        <v>371</v>
      </c>
      <c r="C342" s="31" t="s">
        <v>632</v>
      </c>
      <c r="D342" s="274" t="s">
        <v>612</v>
      </c>
      <c r="E342" s="306">
        <v>1200</v>
      </c>
      <c r="F342" s="251" t="s">
        <v>616</v>
      </c>
      <c r="G342" s="229" t="s">
        <v>561</v>
      </c>
      <c r="H342" s="31"/>
      <c r="I342" s="230"/>
      <c r="J342" s="230"/>
      <c r="K342" s="230"/>
      <c r="L342" s="230"/>
      <c r="M342" s="251"/>
      <c r="N342" s="258"/>
    </row>
    <row r="343" spans="1:14" x14ac:dyDescent="0.35">
      <c r="A343" s="214">
        <v>315</v>
      </c>
      <c r="B343" s="30" t="s">
        <v>371</v>
      </c>
      <c r="C343" s="31" t="s">
        <v>633</v>
      </c>
      <c r="D343" s="274" t="s">
        <v>612</v>
      </c>
      <c r="E343" s="306">
        <v>1200</v>
      </c>
      <c r="F343" s="251" t="s">
        <v>616</v>
      </c>
      <c r="G343" s="229" t="s">
        <v>561</v>
      </c>
      <c r="H343" s="31"/>
      <c r="I343" s="230"/>
      <c r="J343" s="230"/>
      <c r="K343" s="230"/>
      <c r="L343" s="230"/>
      <c r="M343" s="251"/>
    </row>
    <row r="344" spans="1:14" x14ac:dyDescent="0.35">
      <c r="A344" s="214">
        <v>316</v>
      </c>
      <c r="B344" s="30" t="s">
        <v>371</v>
      </c>
      <c r="C344" s="31" t="s">
        <v>634</v>
      </c>
      <c r="D344" s="274" t="s">
        <v>612</v>
      </c>
      <c r="E344" s="306">
        <v>1200</v>
      </c>
      <c r="F344" s="251" t="s">
        <v>617</v>
      </c>
      <c r="G344" s="229" t="s">
        <v>561</v>
      </c>
      <c r="H344" s="31"/>
      <c r="I344" s="230"/>
      <c r="J344" s="230"/>
      <c r="K344" s="230"/>
      <c r="L344" s="230"/>
      <c r="M344" s="251"/>
    </row>
    <row r="345" spans="1:14" x14ac:dyDescent="0.35">
      <c r="A345" s="214">
        <v>317</v>
      </c>
      <c r="B345" s="30" t="s">
        <v>371</v>
      </c>
      <c r="C345" s="31" t="s">
        <v>635</v>
      </c>
      <c r="D345" s="274" t="s">
        <v>612</v>
      </c>
      <c r="E345" s="306">
        <v>1200</v>
      </c>
      <c r="F345" s="251" t="s">
        <v>617</v>
      </c>
      <c r="G345" s="229" t="s">
        <v>561</v>
      </c>
      <c r="H345" s="31"/>
      <c r="I345" s="230"/>
      <c r="J345" s="230"/>
      <c r="K345" s="230"/>
      <c r="L345" s="230"/>
      <c r="M345" s="251"/>
    </row>
    <row r="346" spans="1:14" x14ac:dyDescent="0.35">
      <c r="A346" s="214">
        <v>318</v>
      </c>
      <c r="B346" s="30" t="s">
        <v>371</v>
      </c>
      <c r="C346" s="31" t="s">
        <v>636</v>
      </c>
      <c r="D346" s="274" t="s">
        <v>612</v>
      </c>
      <c r="E346" s="306">
        <v>1200</v>
      </c>
      <c r="F346" s="251" t="s">
        <v>618</v>
      </c>
      <c r="G346" s="229" t="s">
        <v>561</v>
      </c>
      <c r="H346" s="31"/>
      <c r="I346" s="230"/>
      <c r="J346" s="230"/>
      <c r="K346" s="230"/>
      <c r="L346" s="230"/>
      <c r="M346" s="251"/>
    </row>
    <row r="347" spans="1:14" x14ac:dyDescent="0.35">
      <c r="A347" s="214">
        <v>319</v>
      </c>
      <c r="B347" s="30" t="s">
        <v>371</v>
      </c>
      <c r="C347" s="31" t="s">
        <v>637</v>
      </c>
      <c r="D347" s="274" t="s">
        <v>612</v>
      </c>
      <c r="E347" s="306">
        <v>1200</v>
      </c>
      <c r="F347" s="251" t="s">
        <v>618</v>
      </c>
      <c r="G347" s="229" t="s">
        <v>561</v>
      </c>
      <c r="H347" s="31"/>
      <c r="I347" s="230"/>
      <c r="J347" s="230"/>
      <c r="K347" s="230"/>
      <c r="L347" s="230"/>
      <c r="M347" s="251"/>
    </row>
    <row r="348" spans="1:14" x14ac:dyDescent="0.35">
      <c r="A348" s="214">
        <v>320</v>
      </c>
      <c r="B348" s="38" t="s">
        <v>371</v>
      </c>
      <c r="C348" s="299" t="s">
        <v>638</v>
      </c>
      <c r="D348" s="280" t="s">
        <v>612</v>
      </c>
      <c r="E348" s="308">
        <v>1200</v>
      </c>
      <c r="F348" s="57" t="s">
        <v>619</v>
      </c>
      <c r="G348" s="263" t="s">
        <v>561</v>
      </c>
      <c r="H348" s="299"/>
      <c r="I348" s="262"/>
      <c r="J348" s="262"/>
      <c r="K348" s="262"/>
      <c r="L348" s="262"/>
      <c r="M348" s="57"/>
    </row>
    <row r="349" spans="1:14" x14ac:dyDescent="0.35">
      <c r="A349" s="214">
        <v>321</v>
      </c>
      <c r="B349" s="30" t="s">
        <v>371</v>
      </c>
      <c r="C349" s="298" t="s">
        <v>639</v>
      </c>
      <c r="D349" s="274" t="s">
        <v>612</v>
      </c>
      <c r="E349" s="306">
        <v>1200</v>
      </c>
      <c r="F349" s="251" t="s">
        <v>619</v>
      </c>
      <c r="G349" s="229" t="s">
        <v>561</v>
      </c>
      <c r="H349" s="298"/>
      <c r="I349" s="230"/>
      <c r="J349" s="230"/>
      <c r="K349" s="230"/>
      <c r="L349" s="230"/>
      <c r="M349" s="251"/>
    </row>
    <row r="350" spans="1:14" x14ac:dyDescent="0.35">
      <c r="A350" s="214">
        <v>322</v>
      </c>
      <c r="B350" s="30" t="s">
        <v>371</v>
      </c>
      <c r="C350" s="298" t="s">
        <v>640</v>
      </c>
      <c r="D350" s="274" t="s">
        <v>612</v>
      </c>
      <c r="E350" s="306">
        <v>1200</v>
      </c>
      <c r="F350" s="251" t="s">
        <v>620</v>
      </c>
      <c r="G350" s="229" t="s">
        <v>561</v>
      </c>
      <c r="H350" s="298"/>
      <c r="I350" s="230"/>
      <c r="J350" s="230"/>
      <c r="K350" s="230"/>
      <c r="L350" s="230"/>
      <c r="M350" s="251"/>
    </row>
    <row r="351" spans="1:14" x14ac:dyDescent="0.35">
      <c r="A351" s="214">
        <v>323</v>
      </c>
      <c r="B351" s="30" t="s">
        <v>371</v>
      </c>
      <c r="C351" s="298" t="s">
        <v>641</v>
      </c>
      <c r="D351" s="274" t="s">
        <v>612</v>
      </c>
      <c r="E351" s="306">
        <v>1200</v>
      </c>
      <c r="F351" s="251" t="s">
        <v>620</v>
      </c>
      <c r="G351" s="229" t="s">
        <v>561</v>
      </c>
      <c r="H351" s="298"/>
      <c r="I351" s="230"/>
      <c r="J351" s="230"/>
      <c r="K351" s="230"/>
      <c r="L351" s="230"/>
      <c r="M351" s="251"/>
    </row>
    <row r="352" spans="1:14" x14ac:dyDescent="0.35">
      <c r="A352" s="214">
        <v>324</v>
      </c>
      <c r="B352" s="30" t="s">
        <v>371</v>
      </c>
      <c r="C352" s="298" t="s">
        <v>642</v>
      </c>
      <c r="D352" s="274" t="s">
        <v>612</v>
      </c>
      <c r="E352" s="306">
        <v>1200</v>
      </c>
      <c r="F352" s="251" t="s">
        <v>620</v>
      </c>
      <c r="G352" s="229" t="s">
        <v>561</v>
      </c>
      <c r="H352" s="298"/>
      <c r="I352" s="230"/>
      <c r="J352" s="230"/>
      <c r="K352" s="230"/>
      <c r="L352" s="230"/>
      <c r="M352" s="251"/>
    </row>
    <row r="353" spans="1:14" x14ac:dyDescent="0.35">
      <c r="A353" s="214">
        <v>325</v>
      </c>
      <c r="B353" s="30" t="s">
        <v>371</v>
      </c>
      <c r="C353" s="298" t="s">
        <v>643</v>
      </c>
      <c r="D353" s="274" t="s">
        <v>612</v>
      </c>
      <c r="E353" s="306">
        <v>1200</v>
      </c>
      <c r="F353" s="251" t="s">
        <v>620</v>
      </c>
      <c r="G353" s="229" t="s">
        <v>561</v>
      </c>
      <c r="H353" s="298"/>
      <c r="I353" s="230"/>
      <c r="J353" s="230"/>
      <c r="K353" s="230"/>
      <c r="L353" s="230"/>
      <c r="M353" s="251"/>
    </row>
    <row r="354" spans="1:14" x14ac:dyDescent="0.35">
      <c r="A354" s="214">
        <v>326</v>
      </c>
      <c r="B354" s="30" t="s">
        <v>371</v>
      </c>
      <c r="C354" s="298" t="s">
        <v>644</v>
      </c>
      <c r="D354" s="274" t="s">
        <v>612</v>
      </c>
      <c r="E354" s="306">
        <v>1200</v>
      </c>
      <c r="F354" s="251" t="s">
        <v>621</v>
      </c>
      <c r="G354" s="229" t="s">
        <v>561</v>
      </c>
      <c r="H354" s="298"/>
      <c r="I354" s="230"/>
      <c r="J354" s="230"/>
      <c r="K354" s="230"/>
      <c r="L354" s="230"/>
      <c r="M354" s="251"/>
    </row>
    <row r="355" spans="1:14" x14ac:dyDescent="0.35">
      <c r="A355" s="214">
        <v>327</v>
      </c>
      <c r="B355" s="30" t="s">
        <v>371</v>
      </c>
      <c r="C355" s="298" t="s">
        <v>645</v>
      </c>
      <c r="D355" s="274" t="s">
        <v>612</v>
      </c>
      <c r="E355" s="306">
        <v>1200</v>
      </c>
      <c r="F355" s="251" t="s">
        <v>621</v>
      </c>
      <c r="G355" s="229" t="s">
        <v>561</v>
      </c>
      <c r="H355" s="298"/>
      <c r="I355" s="230"/>
      <c r="J355" s="230"/>
      <c r="K355" s="230"/>
      <c r="L355" s="230"/>
      <c r="M355" s="251"/>
    </row>
    <row r="356" spans="1:14" x14ac:dyDescent="0.35">
      <c r="A356" s="214">
        <v>328</v>
      </c>
      <c r="B356" s="38" t="s">
        <v>371</v>
      </c>
      <c r="C356" s="299" t="s">
        <v>646</v>
      </c>
      <c r="D356" s="280" t="s">
        <v>612</v>
      </c>
      <c r="E356" s="308">
        <v>1200</v>
      </c>
      <c r="F356" s="57" t="s">
        <v>622</v>
      </c>
      <c r="G356" s="263" t="s">
        <v>561</v>
      </c>
      <c r="H356" s="299"/>
      <c r="I356" s="262"/>
      <c r="J356" s="262"/>
      <c r="K356" s="262"/>
      <c r="L356" s="262"/>
      <c r="M356" s="57"/>
    </row>
    <row r="357" spans="1:14" x14ac:dyDescent="0.35">
      <c r="A357" s="214">
        <v>329</v>
      </c>
      <c r="B357" s="30" t="s">
        <v>371</v>
      </c>
      <c r="C357" s="298" t="s">
        <v>647</v>
      </c>
      <c r="D357" s="274" t="s">
        <v>612</v>
      </c>
      <c r="E357" s="306">
        <v>1200</v>
      </c>
      <c r="F357" s="251" t="s">
        <v>622</v>
      </c>
      <c r="G357" s="229" t="s">
        <v>561</v>
      </c>
      <c r="H357" s="298"/>
      <c r="I357" s="230"/>
      <c r="J357" s="230"/>
      <c r="K357" s="230"/>
      <c r="L357" s="230"/>
      <c r="M357" s="251"/>
    </row>
    <row r="358" spans="1:14" x14ac:dyDescent="0.35">
      <c r="A358" s="214">
        <v>330</v>
      </c>
      <c r="B358" s="30" t="s">
        <v>371</v>
      </c>
      <c r="C358" s="298" t="s">
        <v>648</v>
      </c>
      <c r="D358" s="274" t="s">
        <v>612</v>
      </c>
      <c r="E358" s="306">
        <v>1200</v>
      </c>
      <c r="F358" s="251" t="s">
        <v>623</v>
      </c>
      <c r="G358" s="229" t="s">
        <v>561</v>
      </c>
      <c r="H358" s="298"/>
      <c r="I358" s="230"/>
      <c r="J358" s="230"/>
      <c r="K358" s="230"/>
      <c r="L358" s="230"/>
      <c r="M358" s="251"/>
    </row>
    <row r="359" spans="1:14" x14ac:dyDescent="0.35">
      <c r="A359" s="214">
        <v>331</v>
      </c>
      <c r="B359" s="30" t="s">
        <v>371</v>
      </c>
      <c r="C359" s="298" t="s">
        <v>649</v>
      </c>
      <c r="D359" s="274" t="s">
        <v>612</v>
      </c>
      <c r="E359" s="306">
        <v>1200</v>
      </c>
      <c r="F359" s="251" t="s">
        <v>623</v>
      </c>
      <c r="G359" s="229" t="s">
        <v>561</v>
      </c>
      <c r="H359" s="298"/>
      <c r="I359" s="230"/>
      <c r="J359" s="230"/>
      <c r="K359" s="230"/>
      <c r="L359" s="230"/>
      <c r="M359" s="251"/>
    </row>
    <row r="360" spans="1:14" x14ac:dyDescent="0.35">
      <c r="A360" s="214">
        <v>332</v>
      </c>
      <c r="B360" s="30" t="s">
        <v>371</v>
      </c>
      <c r="C360" s="298" t="s">
        <v>650</v>
      </c>
      <c r="D360" s="274" t="s">
        <v>612</v>
      </c>
      <c r="E360" s="306">
        <v>1200</v>
      </c>
      <c r="F360" s="251" t="s">
        <v>623</v>
      </c>
      <c r="G360" s="229" t="s">
        <v>561</v>
      </c>
      <c r="H360" s="298"/>
      <c r="I360" s="230"/>
      <c r="J360" s="230"/>
      <c r="K360" s="230"/>
      <c r="L360" s="230"/>
      <c r="M360" s="251"/>
      <c r="N360" s="572">
        <f>SUM(E337:E360)</f>
        <v>28800</v>
      </c>
    </row>
    <row r="361" spans="1:14" x14ac:dyDescent="0.35">
      <c r="A361" s="214">
        <v>333</v>
      </c>
      <c r="B361" s="30" t="s">
        <v>371</v>
      </c>
      <c r="C361" s="298" t="s">
        <v>651</v>
      </c>
      <c r="D361" s="274" t="s">
        <v>612</v>
      </c>
      <c r="E361" s="306">
        <v>1200</v>
      </c>
      <c r="F361" s="251" t="s">
        <v>624</v>
      </c>
      <c r="G361" s="229" t="s">
        <v>561</v>
      </c>
      <c r="H361" s="298"/>
      <c r="I361" s="230"/>
      <c r="J361" s="230"/>
      <c r="K361" s="230"/>
      <c r="L361" s="230"/>
      <c r="M361" s="251"/>
    </row>
    <row r="362" spans="1:14" x14ac:dyDescent="0.35">
      <c r="A362" s="214">
        <v>334</v>
      </c>
      <c r="B362" s="30" t="s">
        <v>371</v>
      </c>
      <c r="C362" s="298" t="s">
        <v>652</v>
      </c>
      <c r="D362" s="274" t="s">
        <v>612</v>
      </c>
      <c r="E362" s="306">
        <v>1200</v>
      </c>
      <c r="F362" s="251" t="s">
        <v>625</v>
      </c>
      <c r="G362" s="229" t="s">
        <v>561</v>
      </c>
      <c r="H362" s="298"/>
      <c r="I362" s="230"/>
      <c r="J362" s="230"/>
      <c r="K362" s="230"/>
      <c r="L362" s="230"/>
      <c r="M362" s="251"/>
    </row>
    <row r="363" spans="1:14" x14ac:dyDescent="0.35">
      <c r="A363" s="214">
        <v>335</v>
      </c>
      <c r="B363" s="30" t="s">
        <v>371</v>
      </c>
      <c r="C363" s="298" t="s">
        <v>653</v>
      </c>
      <c r="D363" s="274" t="s">
        <v>612</v>
      </c>
      <c r="E363" s="306">
        <v>1200</v>
      </c>
      <c r="F363" s="251" t="s">
        <v>625</v>
      </c>
      <c r="G363" s="229" t="s">
        <v>561</v>
      </c>
      <c r="H363" s="298"/>
      <c r="I363" s="230"/>
      <c r="J363" s="230"/>
      <c r="K363" s="230"/>
      <c r="L363" s="230"/>
      <c r="M363" s="251"/>
    </row>
    <row r="364" spans="1:14" x14ac:dyDescent="0.35">
      <c r="A364" s="214">
        <v>336</v>
      </c>
      <c r="B364" s="30" t="s">
        <v>371</v>
      </c>
      <c r="C364" s="298" t="s">
        <v>654</v>
      </c>
      <c r="D364" s="274" t="s">
        <v>612</v>
      </c>
      <c r="E364" s="306">
        <v>1200</v>
      </c>
      <c r="F364" s="251" t="s">
        <v>625</v>
      </c>
      <c r="G364" s="229" t="s">
        <v>561</v>
      </c>
      <c r="H364" s="298"/>
      <c r="I364" s="230"/>
      <c r="J364" s="230"/>
      <c r="K364" s="230"/>
      <c r="L364" s="230"/>
      <c r="M364" s="251"/>
    </row>
    <row r="365" spans="1:14" x14ac:dyDescent="0.35">
      <c r="A365" s="214">
        <v>337</v>
      </c>
      <c r="B365" s="30" t="s">
        <v>371</v>
      </c>
      <c r="C365" s="298" t="s">
        <v>655</v>
      </c>
      <c r="D365" s="274" t="s">
        <v>612</v>
      </c>
      <c r="E365" s="306">
        <v>1200</v>
      </c>
      <c r="F365" s="251" t="s">
        <v>625</v>
      </c>
      <c r="G365" s="229" t="s">
        <v>561</v>
      </c>
      <c r="H365" s="298"/>
      <c r="I365" s="230"/>
      <c r="J365" s="230"/>
      <c r="K365" s="230"/>
      <c r="L365" s="230"/>
      <c r="M365" s="251"/>
    </row>
    <row r="366" spans="1:14" x14ac:dyDescent="0.35">
      <c r="A366" s="214">
        <v>338</v>
      </c>
      <c r="B366" s="30" t="s">
        <v>742</v>
      </c>
      <c r="C366" s="298" t="s">
        <v>701</v>
      </c>
      <c r="D366" s="246" t="s">
        <v>741</v>
      </c>
      <c r="E366" s="491">
        <v>1200</v>
      </c>
      <c r="F366" s="251" t="s">
        <v>13</v>
      </c>
      <c r="G366" s="229" t="s">
        <v>561</v>
      </c>
      <c r="H366" s="298"/>
      <c r="I366" s="230"/>
      <c r="J366" s="230"/>
      <c r="K366" s="230"/>
      <c r="L366" s="230"/>
      <c r="M366" s="251"/>
    </row>
    <row r="367" spans="1:14" x14ac:dyDescent="0.35">
      <c r="A367" s="214">
        <v>339</v>
      </c>
      <c r="B367" s="30" t="s">
        <v>742</v>
      </c>
      <c r="C367" s="298" t="s">
        <v>702</v>
      </c>
      <c r="D367" s="246" t="s">
        <v>741</v>
      </c>
      <c r="E367" s="491">
        <v>1200</v>
      </c>
      <c r="F367" s="251" t="s">
        <v>13</v>
      </c>
      <c r="G367" s="229" t="s">
        <v>561</v>
      </c>
      <c r="H367" s="298"/>
      <c r="I367" s="230"/>
      <c r="J367" s="230"/>
      <c r="K367" s="230"/>
      <c r="L367" s="230"/>
      <c r="M367" s="251"/>
    </row>
    <row r="368" spans="1:14" x14ac:dyDescent="0.35">
      <c r="A368" s="214">
        <v>340</v>
      </c>
      <c r="B368" s="30" t="s">
        <v>742</v>
      </c>
      <c r="C368" s="298" t="s">
        <v>703</v>
      </c>
      <c r="D368" s="246" t="s">
        <v>741</v>
      </c>
      <c r="E368" s="491">
        <v>1200</v>
      </c>
      <c r="F368" s="251" t="s">
        <v>13</v>
      </c>
      <c r="G368" s="229" t="s">
        <v>561</v>
      </c>
      <c r="H368" s="298"/>
      <c r="I368" s="230"/>
      <c r="J368" s="230"/>
      <c r="K368" s="230"/>
      <c r="L368" s="230"/>
      <c r="M368" s="251"/>
    </row>
    <row r="369" spans="1:14" x14ac:dyDescent="0.35">
      <c r="A369" s="214">
        <v>341</v>
      </c>
      <c r="B369" s="30" t="s">
        <v>742</v>
      </c>
      <c r="C369" s="298" t="s">
        <v>704</v>
      </c>
      <c r="D369" s="246" t="s">
        <v>741</v>
      </c>
      <c r="E369" s="491">
        <v>1200</v>
      </c>
      <c r="F369" s="251" t="s">
        <v>13</v>
      </c>
      <c r="G369" s="229" t="s">
        <v>561</v>
      </c>
      <c r="H369" s="298"/>
      <c r="I369" s="230"/>
      <c r="J369" s="230"/>
      <c r="K369" s="230"/>
      <c r="L369" s="230"/>
      <c r="M369" s="251"/>
    </row>
    <row r="370" spans="1:14" x14ac:dyDescent="0.35">
      <c r="A370" s="214">
        <v>342</v>
      </c>
      <c r="B370" s="30" t="s">
        <v>742</v>
      </c>
      <c r="C370" s="298" t="s">
        <v>705</v>
      </c>
      <c r="D370" s="246" t="s">
        <v>741</v>
      </c>
      <c r="E370" s="491">
        <v>1200</v>
      </c>
      <c r="F370" s="251" t="s">
        <v>9</v>
      </c>
      <c r="G370" s="229" t="s">
        <v>561</v>
      </c>
      <c r="H370" s="298"/>
      <c r="I370" s="230"/>
      <c r="J370" s="230"/>
      <c r="K370" s="230"/>
      <c r="L370" s="230"/>
      <c r="M370" s="251"/>
    </row>
    <row r="371" spans="1:14" x14ac:dyDescent="0.35">
      <c r="A371" s="214">
        <v>343</v>
      </c>
      <c r="B371" s="30" t="s">
        <v>742</v>
      </c>
      <c r="C371" s="298" t="s">
        <v>706</v>
      </c>
      <c r="D371" s="246" t="s">
        <v>741</v>
      </c>
      <c r="E371" s="491">
        <v>1200</v>
      </c>
      <c r="F371" s="251" t="s">
        <v>9</v>
      </c>
      <c r="G371" s="229" t="s">
        <v>561</v>
      </c>
      <c r="H371" s="298"/>
      <c r="I371" s="230"/>
      <c r="J371" s="230"/>
      <c r="K371" s="230"/>
      <c r="L371" s="230"/>
      <c r="M371" s="251"/>
    </row>
    <row r="372" spans="1:14" x14ac:dyDescent="0.35">
      <c r="A372" s="214">
        <v>344</v>
      </c>
      <c r="B372" s="30" t="s">
        <v>742</v>
      </c>
      <c r="C372" s="298" t="s">
        <v>707</v>
      </c>
      <c r="D372" s="246" t="s">
        <v>741</v>
      </c>
      <c r="E372" s="491">
        <v>1200</v>
      </c>
      <c r="F372" s="251" t="s">
        <v>9</v>
      </c>
      <c r="G372" s="229" t="s">
        <v>561</v>
      </c>
      <c r="H372" s="298"/>
      <c r="I372" s="230"/>
      <c r="J372" s="230"/>
      <c r="K372" s="230"/>
      <c r="L372" s="230"/>
      <c r="M372" s="251"/>
    </row>
    <row r="373" spans="1:14" x14ac:dyDescent="0.35">
      <c r="A373" s="214">
        <v>345</v>
      </c>
      <c r="B373" s="30" t="s">
        <v>742</v>
      </c>
      <c r="C373" s="298" t="s">
        <v>708</v>
      </c>
      <c r="D373" s="246" t="s">
        <v>741</v>
      </c>
      <c r="E373" s="491">
        <v>1200</v>
      </c>
      <c r="F373" s="251" t="s">
        <v>148</v>
      </c>
      <c r="G373" s="229" t="s">
        <v>561</v>
      </c>
      <c r="H373" s="298"/>
      <c r="I373" s="230"/>
      <c r="J373" s="230"/>
      <c r="K373" s="230"/>
      <c r="L373" s="230"/>
      <c r="M373" s="251"/>
      <c r="N373" s="258"/>
    </row>
    <row r="374" spans="1:14" x14ac:dyDescent="0.35">
      <c r="A374" s="214">
        <v>346</v>
      </c>
      <c r="B374" s="30" t="s">
        <v>742</v>
      </c>
      <c r="C374" s="298" t="s">
        <v>709</v>
      </c>
      <c r="D374" s="246" t="s">
        <v>741</v>
      </c>
      <c r="E374" s="491">
        <v>1200</v>
      </c>
      <c r="F374" s="251" t="s">
        <v>148</v>
      </c>
      <c r="G374" s="229" t="s">
        <v>561</v>
      </c>
      <c r="H374" s="298"/>
      <c r="I374" s="230"/>
      <c r="J374" s="230"/>
      <c r="K374" s="230"/>
      <c r="L374" s="230"/>
      <c r="M374" s="251"/>
    </row>
    <row r="375" spans="1:14" x14ac:dyDescent="0.35">
      <c r="A375" s="214">
        <v>347</v>
      </c>
      <c r="B375" s="30" t="s">
        <v>742</v>
      </c>
      <c r="C375" s="298" t="s">
        <v>710</v>
      </c>
      <c r="D375" s="246" t="s">
        <v>741</v>
      </c>
      <c r="E375" s="491">
        <v>1200</v>
      </c>
      <c r="F375" s="251" t="s">
        <v>148</v>
      </c>
      <c r="G375" s="229" t="s">
        <v>561</v>
      </c>
      <c r="H375" s="298"/>
      <c r="I375" s="230"/>
      <c r="J375" s="230"/>
      <c r="K375" s="230"/>
      <c r="L375" s="230"/>
      <c r="M375" s="251"/>
    </row>
    <row r="376" spans="1:14" x14ac:dyDescent="0.35">
      <c r="A376" s="214">
        <v>348</v>
      </c>
      <c r="B376" s="38" t="s">
        <v>742</v>
      </c>
      <c r="C376" s="299" t="s">
        <v>711</v>
      </c>
      <c r="D376" s="458" t="s">
        <v>741</v>
      </c>
      <c r="E376" s="492">
        <v>1200</v>
      </c>
      <c r="F376" s="57" t="s">
        <v>148</v>
      </c>
      <c r="G376" s="263" t="s">
        <v>561</v>
      </c>
      <c r="H376" s="299"/>
      <c r="I376" s="262"/>
      <c r="J376" s="262"/>
      <c r="K376" s="262"/>
      <c r="L376" s="262"/>
      <c r="M376" s="57"/>
    </row>
    <row r="377" spans="1:14" x14ac:dyDescent="0.35">
      <c r="A377" s="214">
        <v>349</v>
      </c>
      <c r="B377" s="30" t="s">
        <v>742</v>
      </c>
      <c r="C377" s="298" t="s">
        <v>712</v>
      </c>
      <c r="D377" s="246" t="s">
        <v>741</v>
      </c>
      <c r="E377" s="491">
        <v>1200</v>
      </c>
      <c r="F377" s="251" t="s">
        <v>11</v>
      </c>
      <c r="G377" s="229" t="s">
        <v>561</v>
      </c>
      <c r="H377" s="298"/>
      <c r="I377" s="230"/>
      <c r="J377" s="230"/>
      <c r="K377" s="230"/>
      <c r="L377" s="230"/>
      <c r="M377" s="251"/>
    </row>
    <row r="378" spans="1:14" x14ac:dyDescent="0.35">
      <c r="A378" s="214">
        <v>350</v>
      </c>
      <c r="B378" s="30" t="s">
        <v>742</v>
      </c>
      <c r="C378" s="298" t="s">
        <v>713</v>
      </c>
      <c r="D378" s="246" t="s">
        <v>741</v>
      </c>
      <c r="E378" s="491">
        <v>1200</v>
      </c>
      <c r="F378" s="251" t="s">
        <v>11</v>
      </c>
      <c r="G378" s="229" t="s">
        <v>561</v>
      </c>
      <c r="H378" s="298"/>
      <c r="I378" s="230"/>
      <c r="J378" s="230"/>
      <c r="K378" s="230"/>
      <c r="L378" s="230"/>
      <c r="M378" s="251"/>
    </row>
    <row r="379" spans="1:14" x14ac:dyDescent="0.35">
      <c r="A379" s="214">
        <v>351</v>
      </c>
      <c r="B379" s="30" t="s">
        <v>742</v>
      </c>
      <c r="C379" s="298" t="s">
        <v>714</v>
      </c>
      <c r="D379" s="246" t="s">
        <v>741</v>
      </c>
      <c r="E379" s="491">
        <v>1200</v>
      </c>
      <c r="F379" s="251" t="s">
        <v>11</v>
      </c>
      <c r="G379" s="229" t="s">
        <v>561</v>
      </c>
      <c r="H379" s="298"/>
      <c r="I379" s="230"/>
      <c r="J379" s="230"/>
      <c r="K379" s="230"/>
      <c r="L379" s="230"/>
      <c r="M379" s="251"/>
    </row>
    <row r="380" spans="1:14" x14ac:dyDescent="0.35">
      <c r="A380" s="214">
        <v>352</v>
      </c>
      <c r="B380" s="30" t="s">
        <v>742</v>
      </c>
      <c r="C380" s="298" t="s">
        <v>715</v>
      </c>
      <c r="D380" s="246" t="s">
        <v>741</v>
      </c>
      <c r="E380" s="491">
        <v>1200</v>
      </c>
      <c r="F380" s="251" t="s">
        <v>91</v>
      </c>
      <c r="G380" s="229" t="s">
        <v>561</v>
      </c>
      <c r="H380" s="298"/>
      <c r="I380" s="230"/>
      <c r="J380" s="230"/>
      <c r="K380" s="230"/>
      <c r="L380" s="230"/>
      <c r="M380" s="251"/>
    </row>
    <row r="381" spans="1:14" x14ac:dyDescent="0.35">
      <c r="A381" s="214">
        <v>353</v>
      </c>
      <c r="B381" s="30" t="s">
        <v>742</v>
      </c>
      <c r="C381" s="298" t="s">
        <v>716</v>
      </c>
      <c r="D381" s="246" t="s">
        <v>741</v>
      </c>
      <c r="E381" s="491">
        <v>1200</v>
      </c>
      <c r="F381" s="251" t="s">
        <v>91</v>
      </c>
      <c r="G381" s="229" t="s">
        <v>561</v>
      </c>
      <c r="H381" s="298"/>
      <c r="I381" s="230"/>
      <c r="J381" s="230"/>
      <c r="K381" s="230"/>
      <c r="L381" s="230"/>
      <c r="M381" s="251"/>
    </row>
    <row r="382" spans="1:14" x14ac:dyDescent="0.35">
      <c r="A382" s="214">
        <v>354</v>
      </c>
      <c r="B382" s="30" t="s">
        <v>742</v>
      </c>
      <c r="C382" s="298" t="s">
        <v>717</v>
      </c>
      <c r="D382" s="246" t="s">
        <v>741</v>
      </c>
      <c r="E382" s="491">
        <v>1200</v>
      </c>
      <c r="F382" s="251" t="s">
        <v>91</v>
      </c>
      <c r="G382" s="229" t="s">
        <v>561</v>
      </c>
      <c r="H382" s="298"/>
      <c r="I382" s="230"/>
      <c r="J382" s="230"/>
      <c r="K382" s="230"/>
      <c r="L382" s="230"/>
      <c r="M382" s="251"/>
    </row>
    <row r="383" spans="1:14" x14ac:dyDescent="0.35">
      <c r="A383" s="214">
        <v>355</v>
      </c>
      <c r="B383" s="30" t="s">
        <v>742</v>
      </c>
      <c r="C383" s="298" t="s">
        <v>718</v>
      </c>
      <c r="D383" s="246" t="s">
        <v>741</v>
      </c>
      <c r="E383" s="491">
        <v>1200</v>
      </c>
      <c r="F383" s="251" t="s">
        <v>91</v>
      </c>
      <c r="G383" s="229" t="s">
        <v>561</v>
      </c>
      <c r="H383" s="298"/>
      <c r="I383" s="230"/>
      <c r="J383" s="230"/>
      <c r="K383" s="230"/>
      <c r="L383" s="230"/>
      <c r="M383" s="251"/>
    </row>
    <row r="384" spans="1:14" x14ac:dyDescent="0.35">
      <c r="A384" s="214">
        <v>356</v>
      </c>
      <c r="B384" s="30" t="s">
        <v>742</v>
      </c>
      <c r="C384" s="298" t="s">
        <v>719</v>
      </c>
      <c r="D384" s="246" t="s">
        <v>741</v>
      </c>
      <c r="E384" s="491">
        <v>1200</v>
      </c>
      <c r="F384" s="251" t="s">
        <v>21</v>
      </c>
      <c r="G384" s="229" t="s">
        <v>561</v>
      </c>
      <c r="H384" s="298"/>
      <c r="I384" s="230"/>
      <c r="J384" s="230"/>
      <c r="K384" s="230"/>
      <c r="L384" s="230"/>
      <c r="M384" s="251"/>
      <c r="N384" s="572">
        <f>SUM(E361:E384)</f>
        <v>28800</v>
      </c>
    </row>
    <row r="385" spans="1:13" x14ac:dyDescent="0.35">
      <c r="A385" s="214">
        <v>357</v>
      </c>
      <c r="B385" s="30" t="s">
        <v>742</v>
      </c>
      <c r="C385" s="298" t="s">
        <v>720</v>
      </c>
      <c r="D385" s="246" t="s">
        <v>741</v>
      </c>
      <c r="E385" s="491">
        <v>1200</v>
      </c>
      <c r="F385" s="251" t="s">
        <v>21</v>
      </c>
      <c r="G385" s="229" t="s">
        <v>561</v>
      </c>
      <c r="H385" s="298"/>
      <c r="I385" s="230"/>
      <c r="J385" s="230"/>
      <c r="K385" s="230"/>
      <c r="L385" s="230"/>
      <c r="M385" s="251"/>
    </row>
    <row r="386" spans="1:13" x14ac:dyDescent="0.35">
      <c r="A386" s="214">
        <v>358</v>
      </c>
      <c r="B386" s="30" t="s">
        <v>742</v>
      </c>
      <c r="C386" s="298" t="s">
        <v>721</v>
      </c>
      <c r="D386" s="246" t="s">
        <v>741</v>
      </c>
      <c r="E386" s="491">
        <v>1200</v>
      </c>
      <c r="F386" s="251" t="s">
        <v>21</v>
      </c>
      <c r="G386" s="229" t="s">
        <v>561</v>
      </c>
      <c r="H386" s="298"/>
      <c r="I386" s="230"/>
      <c r="J386" s="230"/>
      <c r="K386" s="230"/>
      <c r="L386" s="230"/>
      <c r="M386" s="251"/>
    </row>
    <row r="387" spans="1:13" x14ac:dyDescent="0.35">
      <c r="A387" s="214">
        <v>359</v>
      </c>
      <c r="B387" s="30" t="s">
        <v>742</v>
      </c>
      <c r="C387" s="298" t="s">
        <v>722</v>
      </c>
      <c r="D387" s="246" t="s">
        <v>741</v>
      </c>
      <c r="E387" s="491">
        <v>1200</v>
      </c>
      <c r="F387" s="251" t="s">
        <v>21</v>
      </c>
      <c r="G387" s="229" t="s">
        <v>561</v>
      </c>
      <c r="H387" s="298"/>
      <c r="I387" s="230"/>
      <c r="J387" s="230"/>
      <c r="K387" s="230"/>
      <c r="L387" s="230"/>
      <c r="M387" s="251"/>
    </row>
    <row r="388" spans="1:13" x14ac:dyDescent="0.35">
      <c r="A388" s="214">
        <v>360</v>
      </c>
      <c r="B388" s="30" t="s">
        <v>742</v>
      </c>
      <c r="C388" s="298" t="s">
        <v>723</v>
      </c>
      <c r="D388" s="246" t="s">
        <v>741</v>
      </c>
      <c r="E388" s="491">
        <v>1200</v>
      </c>
      <c r="F388" s="251" t="s">
        <v>21</v>
      </c>
      <c r="G388" s="229" t="s">
        <v>561</v>
      </c>
      <c r="H388" s="298"/>
      <c r="I388" s="230"/>
      <c r="J388" s="230"/>
      <c r="K388" s="230"/>
      <c r="L388" s="230"/>
      <c r="M388" s="251"/>
    </row>
    <row r="389" spans="1:13" x14ac:dyDescent="0.35">
      <c r="A389" s="214">
        <v>361</v>
      </c>
      <c r="B389" s="30" t="s">
        <v>742</v>
      </c>
      <c r="C389" s="298" t="s">
        <v>724</v>
      </c>
      <c r="D389" s="246" t="s">
        <v>741</v>
      </c>
      <c r="E389" s="491">
        <v>1200</v>
      </c>
      <c r="F389" s="251" t="s">
        <v>21</v>
      </c>
      <c r="G389" s="229" t="s">
        <v>561</v>
      </c>
      <c r="H389" s="298"/>
      <c r="I389" s="230"/>
      <c r="J389" s="230"/>
      <c r="K389" s="230"/>
      <c r="L389" s="230"/>
      <c r="M389" s="251"/>
    </row>
    <row r="390" spans="1:13" x14ac:dyDescent="0.35">
      <c r="A390" s="214">
        <v>362</v>
      </c>
      <c r="B390" s="30" t="s">
        <v>742</v>
      </c>
      <c r="C390" s="298" t="s">
        <v>725</v>
      </c>
      <c r="D390" s="246" t="s">
        <v>741</v>
      </c>
      <c r="E390" s="491">
        <v>1200</v>
      </c>
      <c r="F390" s="251" t="s">
        <v>97</v>
      </c>
      <c r="G390" s="229" t="s">
        <v>561</v>
      </c>
      <c r="H390" s="298"/>
      <c r="I390" s="230"/>
      <c r="J390" s="230"/>
      <c r="K390" s="230"/>
      <c r="L390" s="230"/>
      <c r="M390" s="251"/>
    </row>
    <row r="391" spans="1:13" x14ac:dyDescent="0.35">
      <c r="A391" s="214">
        <v>363</v>
      </c>
      <c r="B391" s="30" t="s">
        <v>742</v>
      </c>
      <c r="C391" s="298" t="s">
        <v>726</v>
      </c>
      <c r="D391" s="246" t="s">
        <v>741</v>
      </c>
      <c r="E391" s="491">
        <v>1200</v>
      </c>
      <c r="F391" s="251" t="s">
        <v>97</v>
      </c>
      <c r="G391" s="229" t="s">
        <v>561</v>
      </c>
      <c r="H391" s="298"/>
      <c r="I391" s="230"/>
      <c r="J391" s="230"/>
      <c r="K391" s="230"/>
      <c r="L391" s="230"/>
      <c r="M391" s="251"/>
    </row>
    <row r="392" spans="1:13" s="233" customFormat="1" x14ac:dyDescent="0.35">
      <c r="A392" s="214">
        <v>364</v>
      </c>
      <c r="B392" s="30" t="s">
        <v>742</v>
      </c>
      <c r="C392" s="298" t="s">
        <v>727</v>
      </c>
      <c r="D392" s="246" t="s">
        <v>741</v>
      </c>
      <c r="E392" s="491">
        <v>1200</v>
      </c>
      <c r="F392" s="251" t="s">
        <v>25</v>
      </c>
      <c r="G392" s="229" t="s">
        <v>561</v>
      </c>
      <c r="H392" s="298"/>
      <c r="I392" s="230"/>
      <c r="J392" s="230"/>
      <c r="K392" s="230"/>
      <c r="L392" s="230"/>
      <c r="M392" s="251"/>
    </row>
    <row r="393" spans="1:13" s="233" customFormat="1" x14ac:dyDescent="0.35">
      <c r="A393" s="214">
        <v>365</v>
      </c>
      <c r="B393" s="30" t="s">
        <v>742</v>
      </c>
      <c r="C393" s="298" t="s">
        <v>728</v>
      </c>
      <c r="D393" s="246" t="s">
        <v>741</v>
      </c>
      <c r="E393" s="491">
        <v>1200</v>
      </c>
      <c r="F393" s="251" t="s">
        <v>25</v>
      </c>
      <c r="G393" s="229" t="s">
        <v>561</v>
      </c>
      <c r="H393" s="298"/>
      <c r="I393" s="230"/>
      <c r="J393" s="230"/>
      <c r="K393" s="230"/>
      <c r="L393" s="230"/>
      <c r="M393" s="251"/>
    </row>
    <row r="394" spans="1:13" s="233" customFormat="1" x14ac:dyDescent="0.35">
      <c r="A394" s="214">
        <v>366</v>
      </c>
      <c r="B394" s="30" t="s">
        <v>742</v>
      </c>
      <c r="C394" s="298" t="s">
        <v>729</v>
      </c>
      <c r="D394" s="246" t="s">
        <v>741</v>
      </c>
      <c r="E394" s="491">
        <v>1200</v>
      </c>
      <c r="F394" s="251" t="s">
        <v>25</v>
      </c>
      <c r="G394" s="229" t="s">
        <v>561</v>
      </c>
      <c r="H394" s="298"/>
      <c r="I394" s="230"/>
      <c r="J394" s="230"/>
      <c r="K394" s="230"/>
      <c r="L394" s="230"/>
      <c r="M394" s="251"/>
    </row>
    <row r="395" spans="1:13" s="233" customFormat="1" x14ac:dyDescent="0.35">
      <c r="A395" s="214">
        <v>367</v>
      </c>
      <c r="B395" s="30" t="s">
        <v>742</v>
      </c>
      <c r="C395" s="298" t="s">
        <v>730</v>
      </c>
      <c r="D395" s="246" t="s">
        <v>741</v>
      </c>
      <c r="E395" s="491">
        <v>1200</v>
      </c>
      <c r="F395" s="251" t="s">
        <v>25</v>
      </c>
      <c r="G395" s="229" t="s">
        <v>561</v>
      </c>
      <c r="H395" s="298"/>
      <c r="I395" s="230"/>
      <c r="J395" s="230"/>
      <c r="K395" s="230"/>
      <c r="L395" s="230"/>
      <c r="M395" s="251"/>
    </row>
    <row r="396" spans="1:13" s="233" customFormat="1" x14ac:dyDescent="0.35">
      <c r="A396" s="214">
        <v>368</v>
      </c>
      <c r="B396" s="38" t="s">
        <v>742</v>
      </c>
      <c r="C396" s="299" t="s">
        <v>731</v>
      </c>
      <c r="D396" s="458" t="s">
        <v>741</v>
      </c>
      <c r="E396" s="492">
        <v>1200</v>
      </c>
      <c r="F396" s="57" t="s">
        <v>103</v>
      </c>
      <c r="G396" s="263" t="s">
        <v>561</v>
      </c>
      <c r="H396" s="299"/>
      <c r="I396" s="262"/>
      <c r="J396" s="262"/>
      <c r="K396" s="262"/>
      <c r="L396" s="262"/>
      <c r="M396" s="57"/>
    </row>
    <row r="397" spans="1:13" s="233" customFormat="1" x14ac:dyDescent="0.35">
      <c r="A397" s="214">
        <v>369</v>
      </c>
      <c r="B397" s="30" t="s">
        <v>742</v>
      </c>
      <c r="C397" s="298" t="s">
        <v>732</v>
      </c>
      <c r="D397" s="246" t="s">
        <v>741</v>
      </c>
      <c r="E397" s="491">
        <v>1200</v>
      </c>
      <c r="F397" s="251" t="s">
        <v>103</v>
      </c>
      <c r="G397" s="229" t="s">
        <v>561</v>
      </c>
      <c r="H397" s="298"/>
      <c r="I397" s="230"/>
      <c r="J397" s="230"/>
      <c r="K397" s="230"/>
      <c r="L397" s="230"/>
      <c r="M397" s="251"/>
    </row>
    <row r="398" spans="1:13" s="233" customFormat="1" x14ac:dyDescent="0.35">
      <c r="A398" s="214">
        <v>370</v>
      </c>
      <c r="B398" s="30" t="s">
        <v>742</v>
      </c>
      <c r="C398" s="298" t="s">
        <v>733</v>
      </c>
      <c r="D398" s="246" t="s">
        <v>741</v>
      </c>
      <c r="E398" s="491">
        <v>1200</v>
      </c>
      <c r="F398" s="251" t="s">
        <v>103</v>
      </c>
      <c r="G398" s="229" t="s">
        <v>561</v>
      </c>
      <c r="H398" s="298"/>
      <c r="I398" s="230"/>
      <c r="J398" s="230"/>
      <c r="K398" s="230"/>
      <c r="L398" s="230"/>
      <c r="M398" s="251"/>
    </row>
    <row r="399" spans="1:13" s="233" customFormat="1" x14ac:dyDescent="0.35">
      <c r="A399" s="214">
        <v>371</v>
      </c>
      <c r="B399" s="30" t="s">
        <v>742</v>
      </c>
      <c r="C399" s="298" t="s">
        <v>734</v>
      </c>
      <c r="D399" s="246" t="s">
        <v>741</v>
      </c>
      <c r="E399" s="491">
        <v>1200</v>
      </c>
      <c r="F399" s="251" t="s">
        <v>103</v>
      </c>
      <c r="G399" s="229" t="s">
        <v>561</v>
      </c>
      <c r="H399" s="298"/>
      <c r="I399" s="230"/>
      <c r="J399" s="230"/>
      <c r="K399" s="230"/>
      <c r="L399" s="230"/>
      <c r="M399" s="251"/>
    </row>
    <row r="400" spans="1:13" s="233" customFormat="1" x14ac:dyDescent="0.35">
      <c r="A400" s="214">
        <v>372</v>
      </c>
      <c r="B400" s="30" t="s">
        <v>742</v>
      </c>
      <c r="C400" s="298" t="s">
        <v>735</v>
      </c>
      <c r="D400" s="246" t="s">
        <v>741</v>
      </c>
      <c r="E400" s="491">
        <v>1200</v>
      </c>
      <c r="F400" s="251" t="s">
        <v>27</v>
      </c>
      <c r="G400" s="229" t="s">
        <v>561</v>
      </c>
      <c r="H400" s="298"/>
      <c r="I400" s="230"/>
      <c r="J400" s="230"/>
      <c r="K400" s="230"/>
      <c r="L400" s="230"/>
      <c r="M400" s="251"/>
    </row>
    <row r="401" spans="1:14" s="233" customFormat="1" x14ac:dyDescent="0.35">
      <c r="A401" s="214">
        <v>373</v>
      </c>
      <c r="B401" s="30" t="s">
        <v>742</v>
      </c>
      <c r="C401" s="298" t="s">
        <v>736</v>
      </c>
      <c r="D401" s="246" t="s">
        <v>741</v>
      </c>
      <c r="E401" s="491">
        <v>1200</v>
      </c>
      <c r="F401" s="251" t="s">
        <v>27</v>
      </c>
      <c r="G401" s="229" t="s">
        <v>561</v>
      </c>
      <c r="H401" s="298"/>
      <c r="I401" s="230"/>
      <c r="J401" s="230"/>
      <c r="K401" s="230"/>
      <c r="L401" s="230"/>
      <c r="M401" s="251"/>
    </row>
    <row r="402" spans="1:14" s="233" customFormat="1" x14ac:dyDescent="0.35">
      <c r="A402" s="214">
        <v>374</v>
      </c>
      <c r="B402" s="30" t="s">
        <v>742</v>
      </c>
      <c r="C402" s="298" t="s">
        <v>737</v>
      </c>
      <c r="D402" s="246" t="s">
        <v>741</v>
      </c>
      <c r="E402" s="491">
        <v>1200</v>
      </c>
      <c r="F402" s="251" t="s">
        <v>27</v>
      </c>
      <c r="G402" s="229" t="s">
        <v>561</v>
      </c>
      <c r="H402" s="298"/>
      <c r="I402" s="230"/>
      <c r="J402" s="230"/>
      <c r="K402" s="230"/>
      <c r="L402" s="230"/>
      <c r="M402" s="251"/>
    </row>
    <row r="403" spans="1:14" s="233" customFormat="1" x14ac:dyDescent="0.35">
      <c r="A403" s="214">
        <v>375</v>
      </c>
      <c r="B403" s="30" t="s">
        <v>742</v>
      </c>
      <c r="C403" s="298" t="s">
        <v>738</v>
      </c>
      <c r="D403" s="246" t="s">
        <v>741</v>
      </c>
      <c r="E403" s="491">
        <v>1200</v>
      </c>
      <c r="F403" s="251" t="s">
        <v>27</v>
      </c>
      <c r="G403" s="229" t="s">
        <v>561</v>
      </c>
      <c r="H403" s="298"/>
      <c r="I403" s="230"/>
      <c r="J403" s="230"/>
      <c r="K403" s="230"/>
      <c r="L403" s="230"/>
      <c r="M403" s="251"/>
    </row>
    <row r="404" spans="1:14" s="233" customFormat="1" x14ac:dyDescent="0.35">
      <c r="A404" s="214">
        <v>376</v>
      </c>
      <c r="B404" s="30" t="s">
        <v>742</v>
      </c>
      <c r="C404" s="298" t="s">
        <v>739</v>
      </c>
      <c r="D404" s="246" t="s">
        <v>741</v>
      </c>
      <c r="E404" s="491">
        <v>1200</v>
      </c>
      <c r="F404" s="251" t="s">
        <v>27</v>
      </c>
      <c r="G404" s="229" t="s">
        <v>561</v>
      </c>
      <c r="H404" s="298"/>
      <c r="I404" s="230"/>
      <c r="J404" s="230"/>
      <c r="K404" s="230"/>
      <c r="L404" s="230"/>
      <c r="M404" s="251"/>
      <c r="N404" s="273"/>
    </row>
    <row r="405" spans="1:14" s="233" customFormat="1" x14ac:dyDescent="0.35">
      <c r="A405" s="214">
        <v>377</v>
      </c>
      <c r="B405" s="30" t="s">
        <v>742</v>
      </c>
      <c r="C405" s="298" t="s">
        <v>740</v>
      </c>
      <c r="D405" s="246" t="s">
        <v>741</v>
      </c>
      <c r="E405" s="491">
        <v>1200</v>
      </c>
      <c r="F405" s="251" t="s">
        <v>27</v>
      </c>
      <c r="G405" s="229" t="s">
        <v>561</v>
      </c>
      <c r="H405" s="298"/>
      <c r="I405" s="230"/>
      <c r="J405" s="230"/>
      <c r="K405" s="230"/>
      <c r="L405" s="230"/>
      <c r="M405" s="251"/>
    </row>
    <row r="406" spans="1:14" s="233" customFormat="1" x14ac:dyDescent="0.35">
      <c r="A406" s="214">
        <v>378</v>
      </c>
      <c r="B406" s="230" t="s">
        <v>791</v>
      </c>
      <c r="C406" s="245" t="s">
        <v>792</v>
      </c>
      <c r="D406" s="459" t="s">
        <v>793</v>
      </c>
      <c r="E406" s="493">
        <v>1290</v>
      </c>
      <c r="F406" s="253" t="s">
        <v>98</v>
      </c>
      <c r="G406" s="229" t="s">
        <v>561</v>
      </c>
      <c r="H406" s="317"/>
      <c r="I406" s="292"/>
      <c r="J406" s="292"/>
      <c r="K406" s="292"/>
      <c r="L406" s="292"/>
      <c r="M406" s="293"/>
    </row>
    <row r="407" spans="1:14" s="233" customFormat="1" x14ac:dyDescent="0.35">
      <c r="A407" s="214">
        <v>379</v>
      </c>
      <c r="B407" s="230" t="s">
        <v>791</v>
      </c>
      <c r="C407" s="245" t="s">
        <v>794</v>
      </c>
      <c r="D407" s="459" t="s">
        <v>793</v>
      </c>
      <c r="E407" s="493">
        <v>1290</v>
      </c>
      <c r="F407" s="253" t="s">
        <v>98</v>
      </c>
      <c r="G407" s="229" t="s">
        <v>561</v>
      </c>
      <c r="H407" s="317"/>
      <c r="I407" s="292"/>
      <c r="J407" s="292"/>
      <c r="K407" s="292"/>
      <c r="L407" s="292"/>
      <c r="M407" s="293"/>
    </row>
    <row r="408" spans="1:14" s="233" customFormat="1" x14ac:dyDescent="0.35">
      <c r="A408" s="214">
        <v>380</v>
      </c>
      <c r="B408" s="230" t="s">
        <v>791</v>
      </c>
      <c r="C408" s="245" t="s">
        <v>795</v>
      </c>
      <c r="D408" s="459" t="s">
        <v>793</v>
      </c>
      <c r="E408" s="493">
        <v>1290</v>
      </c>
      <c r="F408" s="253" t="s">
        <v>98</v>
      </c>
      <c r="G408" s="229" t="s">
        <v>561</v>
      </c>
      <c r="H408" s="317"/>
      <c r="I408" s="292"/>
      <c r="J408" s="292"/>
      <c r="K408" s="292"/>
      <c r="L408" s="292"/>
      <c r="M408" s="293"/>
      <c r="N408" s="573">
        <f>SUM(E385:E408)</f>
        <v>29070</v>
      </c>
    </row>
    <row r="409" spans="1:14" s="233" customFormat="1" x14ac:dyDescent="0.35">
      <c r="A409" s="214">
        <v>381</v>
      </c>
      <c r="B409" s="230" t="s">
        <v>791</v>
      </c>
      <c r="C409" s="245" t="s">
        <v>796</v>
      </c>
      <c r="D409" s="459" t="s">
        <v>793</v>
      </c>
      <c r="E409" s="493">
        <v>1290</v>
      </c>
      <c r="F409" s="253" t="s">
        <v>98</v>
      </c>
      <c r="G409" s="229" t="s">
        <v>561</v>
      </c>
      <c r="H409" s="317"/>
      <c r="I409" s="292"/>
      <c r="J409" s="292"/>
      <c r="K409" s="292"/>
      <c r="L409" s="292"/>
      <c r="M409" s="293"/>
    </row>
    <row r="410" spans="1:14" s="233" customFormat="1" x14ac:dyDescent="0.35">
      <c r="A410" s="214">
        <v>382</v>
      </c>
      <c r="B410" s="230" t="s">
        <v>791</v>
      </c>
      <c r="C410" s="245" t="s">
        <v>797</v>
      </c>
      <c r="D410" s="459" t="s">
        <v>793</v>
      </c>
      <c r="E410" s="493">
        <v>1290</v>
      </c>
      <c r="F410" s="253" t="s">
        <v>157</v>
      </c>
      <c r="G410" s="229" t="s">
        <v>561</v>
      </c>
      <c r="H410" s="317"/>
      <c r="I410" s="292"/>
      <c r="J410" s="292"/>
      <c r="K410" s="292"/>
      <c r="L410" s="292"/>
      <c r="M410" s="293"/>
    </row>
    <row r="411" spans="1:14" s="233" customFormat="1" x14ac:dyDescent="0.35">
      <c r="A411" s="214">
        <v>383</v>
      </c>
      <c r="B411" s="230" t="s">
        <v>791</v>
      </c>
      <c r="C411" s="245" t="s">
        <v>798</v>
      </c>
      <c r="D411" s="459" t="s">
        <v>793</v>
      </c>
      <c r="E411" s="493">
        <v>1290</v>
      </c>
      <c r="F411" s="253" t="s">
        <v>157</v>
      </c>
      <c r="G411" s="229" t="s">
        <v>561</v>
      </c>
      <c r="H411" s="317"/>
      <c r="I411" s="292"/>
      <c r="J411" s="292"/>
      <c r="K411" s="292"/>
      <c r="L411" s="292"/>
      <c r="M411" s="293"/>
    </row>
    <row r="412" spans="1:14" s="233" customFormat="1" x14ac:dyDescent="0.35">
      <c r="A412" s="214">
        <v>384</v>
      </c>
      <c r="B412" s="230" t="s">
        <v>791</v>
      </c>
      <c r="C412" s="245" t="s">
        <v>799</v>
      </c>
      <c r="D412" s="459" t="s">
        <v>793</v>
      </c>
      <c r="E412" s="493">
        <v>1290</v>
      </c>
      <c r="F412" s="253" t="s">
        <v>157</v>
      </c>
      <c r="G412" s="229" t="s">
        <v>561</v>
      </c>
      <c r="H412" s="317"/>
      <c r="I412" s="292"/>
      <c r="J412" s="292"/>
      <c r="K412" s="292"/>
      <c r="L412" s="292"/>
      <c r="M412" s="293"/>
    </row>
    <row r="413" spans="1:14" s="233" customFormat="1" x14ac:dyDescent="0.35">
      <c r="A413" s="214">
        <v>385</v>
      </c>
      <c r="B413" s="230" t="s">
        <v>791</v>
      </c>
      <c r="C413" s="245" t="s">
        <v>800</v>
      </c>
      <c r="D413" s="459" t="s">
        <v>793</v>
      </c>
      <c r="E413" s="493">
        <v>1290</v>
      </c>
      <c r="F413" s="253" t="s">
        <v>90</v>
      </c>
      <c r="G413" s="229" t="s">
        <v>561</v>
      </c>
      <c r="H413" s="317"/>
      <c r="I413" s="292"/>
      <c r="J413" s="292"/>
      <c r="K413" s="292"/>
      <c r="L413" s="292"/>
      <c r="M413" s="293"/>
    </row>
    <row r="414" spans="1:14" s="233" customFormat="1" x14ac:dyDescent="0.35">
      <c r="A414" s="214">
        <v>386</v>
      </c>
      <c r="B414" s="230" t="s">
        <v>791</v>
      </c>
      <c r="C414" s="245" t="s">
        <v>801</v>
      </c>
      <c r="D414" s="459" t="s">
        <v>793</v>
      </c>
      <c r="E414" s="493">
        <v>1290</v>
      </c>
      <c r="F414" s="253" t="s">
        <v>90</v>
      </c>
      <c r="G414" s="229" t="s">
        <v>561</v>
      </c>
      <c r="H414" s="317"/>
      <c r="I414" s="292"/>
      <c r="J414" s="292"/>
      <c r="K414" s="292"/>
      <c r="L414" s="292"/>
      <c r="M414" s="293"/>
    </row>
    <row r="415" spans="1:14" s="233" customFormat="1" x14ac:dyDescent="0.35">
      <c r="A415" s="214">
        <v>387</v>
      </c>
      <c r="B415" s="230" t="s">
        <v>791</v>
      </c>
      <c r="C415" s="245" t="s">
        <v>802</v>
      </c>
      <c r="D415" s="459" t="s">
        <v>793</v>
      </c>
      <c r="E415" s="493">
        <v>1290</v>
      </c>
      <c r="F415" s="253" t="s">
        <v>90</v>
      </c>
      <c r="G415" s="229" t="s">
        <v>561</v>
      </c>
      <c r="H415" s="317"/>
      <c r="I415" s="292"/>
      <c r="J415" s="292"/>
      <c r="K415" s="292"/>
      <c r="L415" s="292"/>
      <c r="M415" s="293"/>
    </row>
    <row r="416" spans="1:14" s="233" customFormat="1" x14ac:dyDescent="0.35">
      <c r="A416" s="214">
        <v>388</v>
      </c>
      <c r="B416" s="262" t="s">
        <v>791</v>
      </c>
      <c r="C416" s="260" t="s">
        <v>803</v>
      </c>
      <c r="D416" s="460" t="s">
        <v>793</v>
      </c>
      <c r="E416" s="494">
        <v>1290</v>
      </c>
      <c r="F416" s="390" t="s">
        <v>823</v>
      </c>
      <c r="G416" s="263" t="s">
        <v>561</v>
      </c>
      <c r="H416" s="461"/>
      <c r="I416" s="318"/>
      <c r="J416" s="318"/>
      <c r="K416" s="318"/>
      <c r="L416" s="318"/>
      <c r="M416" s="462"/>
    </row>
    <row r="417" spans="1:14" s="233" customFormat="1" x14ac:dyDescent="0.35">
      <c r="A417" s="214">
        <v>389</v>
      </c>
      <c r="B417" s="230" t="s">
        <v>791</v>
      </c>
      <c r="C417" s="245" t="s">
        <v>804</v>
      </c>
      <c r="D417" s="459" t="s">
        <v>793</v>
      </c>
      <c r="E417" s="493">
        <v>1290</v>
      </c>
      <c r="F417" s="253" t="s">
        <v>823</v>
      </c>
      <c r="G417" s="229" t="s">
        <v>561</v>
      </c>
      <c r="H417" s="317"/>
      <c r="I417" s="292"/>
      <c r="J417" s="292"/>
      <c r="K417" s="292"/>
      <c r="L417" s="292"/>
      <c r="M417" s="293"/>
    </row>
    <row r="418" spans="1:14" s="233" customFormat="1" x14ac:dyDescent="0.35">
      <c r="A418" s="214">
        <v>390</v>
      </c>
      <c r="B418" s="230" t="s">
        <v>791</v>
      </c>
      <c r="C418" s="245" t="s">
        <v>805</v>
      </c>
      <c r="D418" s="459" t="s">
        <v>793</v>
      </c>
      <c r="E418" s="493">
        <v>1290</v>
      </c>
      <c r="F418" s="253" t="s">
        <v>823</v>
      </c>
      <c r="G418" s="229" t="s">
        <v>561</v>
      </c>
      <c r="H418" s="317"/>
      <c r="I418" s="292"/>
      <c r="J418" s="292"/>
      <c r="K418" s="292"/>
      <c r="L418" s="292"/>
      <c r="M418" s="293"/>
    </row>
    <row r="419" spans="1:14" s="233" customFormat="1" x14ac:dyDescent="0.35">
      <c r="A419" s="214">
        <v>391</v>
      </c>
      <c r="B419" s="230" t="s">
        <v>791</v>
      </c>
      <c r="C419" s="245" t="s">
        <v>806</v>
      </c>
      <c r="D419" s="459" t="s">
        <v>793</v>
      </c>
      <c r="E419" s="493">
        <v>1290</v>
      </c>
      <c r="F419" s="253" t="s">
        <v>103</v>
      </c>
      <c r="G419" s="229" t="s">
        <v>561</v>
      </c>
      <c r="H419" s="317"/>
      <c r="I419" s="292"/>
      <c r="J419" s="292"/>
      <c r="K419" s="292"/>
      <c r="L419" s="292"/>
      <c r="M419" s="293"/>
    </row>
    <row r="420" spans="1:14" s="233" customFormat="1" x14ac:dyDescent="0.35">
      <c r="A420" s="214">
        <v>392</v>
      </c>
      <c r="B420" s="230" t="s">
        <v>791</v>
      </c>
      <c r="C420" s="245" t="s">
        <v>807</v>
      </c>
      <c r="D420" s="459" t="s">
        <v>793</v>
      </c>
      <c r="E420" s="493">
        <v>1290</v>
      </c>
      <c r="F420" s="253" t="s">
        <v>103</v>
      </c>
      <c r="G420" s="229" t="s">
        <v>561</v>
      </c>
      <c r="H420" s="317"/>
      <c r="I420" s="292"/>
      <c r="J420" s="292"/>
      <c r="K420" s="292"/>
      <c r="L420" s="292"/>
      <c r="M420" s="293"/>
    </row>
    <row r="421" spans="1:14" s="233" customFormat="1" x14ac:dyDescent="0.35">
      <c r="A421" s="214">
        <v>393</v>
      </c>
      <c r="B421" s="230" t="s">
        <v>791</v>
      </c>
      <c r="C421" s="245" t="s">
        <v>808</v>
      </c>
      <c r="D421" s="459" t="s">
        <v>793</v>
      </c>
      <c r="E421" s="493">
        <v>1290</v>
      </c>
      <c r="F421" s="253" t="s">
        <v>103</v>
      </c>
      <c r="G421" s="229" t="s">
        <v>561</v>
      </c>
      <c r="H421" s="317"/>
      <c r="I421" s="292"/>
      <c r="J421" s="292"/>
      <c r="K421" s="292"/>
      <c r="L421" s="292"/>
      <c r="M421" s="293"/>
    </row>
    <row r="422" spans="1:14" s="233" customFormat="1" x14ac:dyDescent="0.35">
      <c r="A422" s="214">
        <v>394</v>
      </c>
      <c r="B422" s="230" t="s">
        <v>791</v>
      </c>
      <c r="C422" s="245" t="s">
        <v>809</v>
      </c>
      <c r="D422" s="459" t="s">
        <v>793</v>
      </c>
      <c r="E422" s="493">
        <v>1290</v>
      </c>
      <c r="F422" s="253" t="s">
        <v>103</v>
      </c>
      <c r="G422" s="229" t="s">
        <v>561</v>
      </c>
      <c r="H422" s="317"/>
      <c r="I422" s="292"/>
      <c r="J422" s="292"/>
      <c r="K422" s="292"/>
      <c r="L422" s="292"/>
      <c r="M422" s="293"/>
    </row>
    <row r="423" spans="1:14" s="233" customFormat="1" x14ac:dyDescent="0.35">
      <c r="A423" s="214">
        <v>395</v>
      </c>
      <c r="B423" s="230" t="s">
        <v>791</v>
      </c>
      <c r="C423" s="245" t="s">
        <v>810</v>
      </c>
      <c r="D423" s="459" t="s">
        <v>793</v>
      </c>
      <c r="E423" s="493">
        <v>1290</v>
      </c>
      <c r="F423" s="253" t="s">
        <v>86</v>
      </c>
      <c r="G423" s="229" t="s">
        <v>561</v>
      </c>
      <c r="H423" s="317"/>
      <c r="I423" s="292"/>
      <c r="J423" s="292"/>
      <c r="K423" s="292"/>
      <c r="L423" s="292"/>
      <c r="M423" s="293"/>
    </row>
    <row r="424" spans="1:14" s="233" customFormat="1" x14ac:dyDescent="0.35">
      <c r="A424" s="214">
        <v>396</v>
      </c>
      <c r="B424" s="230" t="s">
        <v>791</v>
      </c>
      <c r="C424" s="245" t="s">
        <v>811</v>
      </c>
      <c r="D424" s="459" t="s">
        <v>793</v>
      </c>
      <c r="E424" s="493">
        <v>1290</v>
      </c>
      <c r="F424" s="253" t="s">
        <v>86</v>
      </c>
      <c r="G424" s="229" t="s">
        <v>561</v>
      </c>
      <c r="H424" s="317"/>
      <c r="I424" s="292"/>
      <c r="J424" s="292"/>
      <c r="K424" s="292"/>
      <c r="L424" s="292"/>
      <c r="M424" s="293"/>
    </row>
    <row r="425" spans="1:14" s="233" customFormat="1" x14ac:dyDescent="0.35">
      <c r="A425" s="214">
        <v>397</v>
      </c>
      <c r="B425" s="230" t="s">
        <v>791</v>
      </c>
      <c r="C425" s="245" t="s">
        <v>812</v>
      </c>
      <c r="D425" s="459" t="s">
        <v>793</v>
      </c>
      <c r="E425" s="493">
        <v>1290</v>
      </c>
      <c r="F425" s="253" t="s">
        <v>824</v>
      </c>
      <c r="G425" s="229" t="s">
        <v>561</v>
      </c>
      <c r="H425" s="317"/>
      <c r="I425" s="292"/>
      <c r="J425" s="292"/>
      <c r="K425" s="292"/>
      <c r="L425" s="292"/>
      <c r="M425" s="293"/>
    </row>
    <row r="426" spans="1:14" s="233" customFormat="1" x14ac:dyDescent="0.35">
      <c r="A426" s="214">
        <v>398</v>
      </c>
      <c r="B426" s="230" t="s">
        <v>791</v>
      </c>
      <c r="C426" s="245" t="s">
        <v>813</v>
      </c>
      <c r="D426" s="459" t="s">
        <v>793</v>
      </c>
      <c r="E426" s="493">
        <v>1290</v>
      </c>
      <c r="F426" s="253" t="s">
        <v>824</v>
      </c>
      <c r="G426" s="229" t="s">
        <v>561</v>
      </c>
      <c r="H426" s="317"/>
      <c r="I426" s="292"/>
      <c r="J426" s="292"/>
      <c r="K426" s="292"/>
      <c r="L426" s="292"/>
      <c r="M426" s="293"/>
    </row>
    <row r="427" spans="1:14" s="233" customFormat="1" x14ac:dyDescent="0.35">
      <c r="A427" s="214">
        <v>399</v>
      </c>
      <c r="B427" s="230" t="s">
        <v>791</v>
      </c>
      <c r="C427" s="245" t="s">
        <v>814</v>
      </c>
      <c r="D427" s="459" t="s">
        <v>793</v>
      </c>
      <c r="E427" s="493">
        <v>1290</v>
      </c>
      <c r="F427" s="253" t="s">
        <v>824</v>
      </c>
      <c r="G427" s="229" t="s">
        <v>561</v>
      </c>
      <c r="H427" s="317"/>
      <c r="I427" s="292"/>
      <c r="J427" s="292"/>
      <c r="K427" s="292"/>
      <c r="L427" s="292"/>
      <c r="M427" s="293"/>
    </row>
    <row r="428" spans="1:14" s="233" customFormat="1" x14ac:dyDescent="0.35">
      <c r="A428" s="214">
        <v>400</v>
      </c>
      <c r="B428" s="230" t="s">
        <v>791</v>
      </c>
      <c r="C428" s="245" t="s">
        <v>815</v>
      </c>
      <c r="D428" s="459" t="s">
        <v>793</v>
      </c>
      <c r="E428" s="493">
        <v>1290</v>
      </c>
      <c r="F428" s="253" t="s">
        <v>29</v>
      </c>
      <c r="G428" s="229" t="s">
        <v>561</v>
      </c>
      <c r="H428" s="317"/>
      <c r="I428" s="292"/>
      <c r="J428" s="292"/>
      <c r="K428" s="292"/>
      <c r="L428" s="292"/>
      <c r="M428" s="293"/>
    </row>
    <row r="429" spans="1:14" s="233" customFormat="1" x14ac:dyDescent="0.35">
      <c r="A429" s="214">
        <v>401</v>
      </c>
      <c r="B429" s="230" t="s">
        <v>791</v>
      </c>
      <c r="C429" s="245" t="s">
        <v>816</v>
      </c>
      <c r="D429" s="459" t="s">
        <v>793</v>
      </c>
      <c r="E429" s="493">
        <v>1290</v>
      </c>
      <c r="F429" s="253" t="s">
        <v>29</v>
      </c>
      <c r="G429" s="229" t="s">
        <v>561</v>
      </c>
      <c r="H429" s="317"/>
      <c r="I429" s="292"/>
      <c r="J429" s="292"/>
      <c r="K429" s="292"/>
      <c r="L429" s="292"/>
      <c r="M429" s="293"/>
    </row>
    <row r="430" spans="1:14" s="233" customFormat="1" x14ac:dyDescent="0.35">
      <c r="A430" s="214">
        <v>402</v>
      </c>
      <c r="B430" s="230" t="s">
        <v>791</v>
      </c>
      <c r="C430" s="245" t="s">
        <v>817</v>
      </c>
      <c r="D430" s="459" t="s">
        <v>793</v>
      </c>
      <c r="E430" s="493">
        <v>1290</v>
      </c>
      <c r="F430" s="253" t="s">
        <v>29</v>
      </c>
      <c r="G430" s="229" t="s">
        <v>561</v>
      </c>
      <c r="H430" s="317"/>
      <c r="I430" s="292"/>
      <c r="J430" s="292"/>
      <c r="K430" s="292"/>
      <c r="L430" s="292"/>
      <c r="M430" s="293"/>
    </row>
    <row r="431" spans="1:14" s="233" customFormat="1" x14ac:dyDescent="0.35">
      <c r="A431" s="214">
        <v>403</v>
      </c>
      <c r="B431" s="230" t="s">
        <v>791</v>
      </c>
      <c r="C431" s="245" t="s">
        <v>818</v>
      </c>
      <c r="D431" s="459" t="s">
        <v>793</v>
      </c>
      <c r="E431" s="493">
        <v>1290</v>
      </c>
      <c r="F431" s="253" t="s">
        <v>29</v>
      </c>
      <c r="G431" s="229" t="s">
        <v>561</v>
      </c>
      <c r="H431" s="317"/>
      <c r="I431" s="292"/>
      <c r="J431" s="292"/>
      <c r="K431" s="292"/>
      <c r="L431" s="292"/>
      <c r="M431" s="293"/>
    </row>
    <row r="432" spans="1:14" s="233" customFormat="1" x14ac:dyDescent="0.35">
      <c r="A432" s="214">
        <v>404</v>
      </c>
      <c r="B432" s="230" t="s">
        <v>791</v>
      </c>
      <c r="C432" s="245" t="s">
        <v>819</v>
      </c>
      <c r="D432" s="459" t="s">
        <v>793</v>
      </c>
      <c r="E432" s="493">
        <v>1290</v>
      </c>
      <c r="F432" s="253" t="s">
        <v>299</v>
      </c>
      <c r="G432" s="229" t="s">
        <v>561</v>
      </c>
      <c r="H432" s="317"/>
      <c r="I432" s="292"/>
      <c r="J432" s="292"/>
      <c r="K432" s="292"/>
      <c r="L432" s="292"/>
      <c r="M432" s="293"/>
      <c r="N432" s="573">
        <f>SUM(E409:E432)</f>
        <v>30960</v>
      </c>
    </row>
    <row r="433" spans="1:14" s="233" customFormat="1" x14ac:dyDescent="0.35">
      <c r="A433" s="214">
        <v>405</v>
      </c>
      <c r="B433" s="230" t="s">
        <v>791</v>
      </c>
      <c r="C433" s="245" t="s">
        <v>820</v>
      </c>
      <c r="D433" s="459" t="s">
        <v>793</v>
      </c>
      <c r="E433" s="493">
        <v>1290</v>
      </c>
      <c r="F433" s="253" t="s">
        <v>299</v>
      </c>
      <c r="G433" s="229" t="s">
        <v>561</v>
      </c>
      <c r="H433" s="317"/>
      <c r="I433" s="292"/>
      <c r="J433" s="292"/>
      <c r="K433" s="292"/>
      <c r="L433" s="292"/>
      <c r="M433" s="293"/>
    </row>
    <row r="434" spans="1:14" s="233" customFormat="1" x14ac:dyDescent="0.35">
      <c r="A434" s="214">
        <v>406</v>
      </c>
      <c r="B434" s="230" t="s">
        <v>791</v>
      </c>
      <c r="C434" s="245" t="s">
        <v>821</v>
      </c>
      <c r="D434" s="459" t="s">
        <v>793</v>
      </c>
      <c r="E434" s="493">
        <v>1290</v>
      </c>
      <c r="F434" s="253" t="s">
        <v>299</v>
      </c>
      <c r="G434" s="229" t="s">
        <v>561</v>
      </c>
      <c r="H434" s="317"/>
      <c r="I434" s="292"/>
      <c r="J434" s="292"/>
      <c r="K434" s="292"/>
      <c r="L434" s="292"/>
      <c r="M434" s="293"/>
    </row>
    <row r="435" spans="1:14" s="233" customFormat="1" x14ac:dyDescent="0.35">
      <c r="A435" s="214">
        <v>407</v>
      </c>
      <c r="B435" s="230" t="s">
        <v>791</v>
      </c>
      <c r="C435" s="245" t="s">
        <v>822</v>
      </c>
      <c r="D435" s="459" t="s">
        <v>793</v>
      </c>
      <c r="E435" s="493">
        <v>1290</v>
      </c>
      <c r="F435" s="253" t="s">
        <v>299</v>
      </c>
      <c r="G435" s="229" t="s">
        <v>561</v>
      </c>
      <c r="H435" s="317"/>
      <c r="I435" s="292"/>
      <c r="J435" s="292"/>
      <c r="K435" s="292"/>
      <c r="L435" s="292"/>
      <c r="M435" s="293"/>
      <c r="N435" s="273"/>
    </row>
    <row r="436" spans="1:14" s="233" customFormat="1" x14ac:dyDescent="0.35">
      <c r="A436" s="214">
        <v>408</v>
      </c>
      <c r="B436" s="262" t="s">
        <v>825</v>
      </c>
      <c r="C436" s="260" t="s">
        <v>826</v>
      </c>
      <c r="D436" s="460" t="s">
        <v>827</v>
      </c>
      <c r="E436" s="494">
        <v>1400</v>
      </c>
      <c r="F436" s="390" t="s">
        <v>828</v>
      </c>
      <c r="G436" s="263" t="s">
        <v>561</v>
      </c>
      <c r="H436" s="461"/>
      <c r="I436" s="318"/>
      <c r="J436" s="318"/>
      <c r="K436" s="318"/>
      <c r="L436" s="318"/>
      <c r="M436" s="462"/>
    </row>
    <row r="437" spans="1:14" s="233" customFormat="1" x14ac:dyDescent="0.35">
      <c r="A437" s="214">
        <v>409</v>
      </c>
      <c r="B437" s="230" t="s">
        <v>825</v>
      </c>
      <c r="C437" s="245" t="s">
        <v>829</v>
      </c>
      <c r="D437" s="459" t="s">
        <v>827</v>
      </c>
      <c r="E437" s="493">
        <v>1400</v>
      </c>
      <c r="F437" s="253" t="s">
        <v>828</v>
      </c>
      <c r="G437" s="229" t="s">
        <v>561</v>
      </c>
      <c r="H437" s="317"/>
      <c r="I437" s="292"/>
      <c r="J437" s="292"/>
      <c r="K437" s="292"/>
      <c r="L437" s="292"/>
      <c r="M437" s="293"/>
    </row>
    <row r="438" spans="1:14" s="233" customFormat="1" x14ac:dyDescent="0.35">
      <c r="A438" s="214">
        <v>410</v>
      </c>
      <c r="B438" s="230" t="s">
        <v>825</v>
      </c>
      <c r="C438" s="245" t="s">
        <v>830</v>
      </c>
      <c r="D438" s="459" t="s">
        <v>827</v>
      </c>
      <c r="E438" s="493">
        <v>1400</v>
      </c>
      <c r="F438" s="253" t="s">
        <v>828</v>
      </c>
      <c r="G438" s="229" t="s">
        <v>561</v>
      </c>
      <c r="H438" s="317"/>
      <c r="I438" s="292"/>
      <c r="J438" s="292"/>
      <c r="K438" s="292"/>
      <c r="L438" s="292"/>
      <c r="M438" s="293"/>
    </row>
    <row r="439" spans="1:14" s="233" customFormat="1" x14ac:dyDescent="0.35">
      <c r="A439" s="214">
        <v>411</v>
      </c>
      <c r="B439" s="230" t="s">
        <v>825</v>
      </c>
      <c r="C439" s="245" t="s">
        <v>831</v>
      </c>
      <c r="D439" s="459" t="s">
        <v>827</v>
      </c>
      <c r="E439" s="493">
        <v>1400</v>
      </c>
      <c r="F439" s="253" t="s">
        <v>828</v>
      </c>
      <c r="G439" s="229" t="s">
        <v>561</v>
      </c>
      <c r="H439" s="317"/>
      <c r="I439" s="292"/>
      <c r="J439" s="292"/>
      <c r="K439" s="292"/>
      <c r="L439" s="292"/>
      <c r="M439" s="293"/>
    </row>
    <row r="440" spans="1:14" s="233" customFormat="1" x14ac:dyDescent="0.35">
      <c r="A440" s="214">
        <v>412</v>
      </c>
      <c r="B440" s="230" t="s">
        <v>825</v>
      </c>
      <c r="C440" s="245" t="s">
        <v>832</v>
      </c>
      <c r="D440" s="459" t="s">
        <v>827</v>
      </c>
      <c r="E440" s="493">
        <v>1400</v>
      </c>
      <c r="F440" s="253" t="s">
        <v>828</v>
      </c>
      <c r="G440" s="229" t="s">
        <v>561</v>
      </c>
      <c r="H440" s="317"/>
      <c r="I440" s="292"/>
      <c r="J440" s="292"/>
      <c r="K440" s="292"/>
      <c r="L440" s="292"/>
      <c r="M440" s="293"/>
    </row>
    <row r="441" spans="1:14" s="233" customFormat="1" x14ac:dyDescent="0.35">
      <c r="A441" s="214">
        <v>413</v>
      </c>
      <c r="B441" s="230" t="s">
        <v>825</v>
      </c>
      <c r="C441" s="245" t="s">
        <v>833</v>
      </c>
      <c r="D441" s="459" t="s">
        <v>827</v>
      </c>
      <c r="E441" s="493">
        <v>1400</v>
      </c>
      <c r="F441" s="253" t="s">
        <v>828</v>
      </c>
      <c r="G441" s="229" t="s">
        <v>561</v>
      </c>
      <c r="H441" s="317"/>
      <c r="I441" s="292"/>
      <c r="J441" s="292"/>
      <c r="K441" s="292"/>
      <c r="L441" s="292"/>
      <c r="M441" s="293"/>
    </row>
    <row r="442" spans="1:14" s="233" customFormat="1" x14ac:dyDescent="0.35">
      <c r="A442" s="214">
        <v>414</v>
      </c>
      <c r="B442" s="230" t="s">
        <v>825</v>
      </c>
      <c r="C442" s="245" t="s">
        <v>834</v>
      </c>
      <c r="D442" s="459" t="s">
        <v>827</v>
      </c>
      <c r="E442" s="493">
        <v>1400</v>
      </c>
      <c r="F442" s="253" t="s">
        <v>828</v>
      </c>
      <c r="G442" s="229" t="s">
        <v>561</v>
      </c>
      <c r="H442" s="317"/>
      <c r="I442" s="292"/>
      <c r="J442" s="292"/>
      <c r="K442" s="292"/>
      <c r="L442" s="292"/>
      <c r="M442" s="293"/>
    </row>
    <row r="443" spans="1:14" s="233" customFormat="1" x14ac:dyDescent="0.35">
      <c r="A443" s="214">
        <v>415</v>
      </c>
      <c r="B443" s="230" t="s">
        <v>825</v>
      </c>
      <c r="C443" s="245" t="s">
        <v>835</v>
      </c>
      <c r="D443" s="459" t="s">
        <v>827</v>
      </c>
      <c r="E443" s="493">
        <v>1400</v>
      </c>
      <c r="F443" s="253" t="s">
        <v>828</v>
      </c>
      <c r="G443" s="229" t="s">
        <v>561</v>
      </c>
      <c r="H443" s="317"/>
      <c r="I443" s="292"/>
      <c r="J443" s="292"/>
      <c r="K443" s="292"/>
      <c r="L443" s="292"/>
      <c r="M443" s="293"/>
    </row>
    <row r="444" spans="1:14" s="233" customFormat="1" x14ac:dyDescent="0.35">
      <c r="A444" s="214">
        <v>416</v>
      </c>
      <c r="B444" s="230" t="s">
        <v>825</v>
      </c>
      <c r="C444" s="245" t="s">
        <v>836</v>
      </c>
      <c r="D444" s="459" t="s">
        <v>827</v>
      </c>
      <c r="E444" s="493">
        <v>1400</v>
      </c>
      <c r="F444" s="253" t="s">
        <v>828</v>
      </c>
      <c r="G444" s="229" t="s">
        <v>561</v>
      </c>
      <c r="H444" s="317"/>
      <c r="I444" s="292"/>
      <c r="J444" s="292"/>
      <c r="K444" s="292"/>
      <c r="L444" s="292"/>
      <c r="M444" s="293"/>
    </row>
    <row r="445" spans="1:14" s="233" customFormat="1" x14ac:dyDescent="0.35">
      <c r="A445" s="214">
        <v>417</v>
      </c>
      <c r="B445" s="230" t="s">
        <v>825</v>
      </c>
      <c r="C445" s="245" t="s">
        <v>837</v>
      </c>
      <c r="D445" s="459" t="s">
        <v>827</v>
      </c>
      <c r="E445" s="493">
        <v>1400</v>
      </c>
      <c r="F445" s="253" t="s">
        <v>828</v>
      </c>
      <c r="G445" s="229" t="s">
        <v>561</v>
      </c>
      <c r="H445" s="317"/>
      <c r="I445" s="292"/>
      <c r="J445" s="292"/>
      <c r="K445" s="292"/>
      <c r="L445" s="292"/>
      <c r="M445" s="293"/>
    </row>
    <row r="446" spans="1:14" s="233" customFormat="1" x14ac:dyDescent="0.35">
      <c r="A446" s="214">
        <v>418</v>
      </c>
      <c r="B446" s="230" t="s">
        <v>825</v>
      </c>
      <c r="C446" s="245" t="s">
        <v>838</v>
      </c>
      <c r="D446" s="459" t="s">
        <v>827</v>
      </c>
      <c r="E446" s="493">
        <v>1400</v>
      </c>
      <c r="F446" s="253" t="s">
        <v>828</v>
      </c>
      <c r="G446" s="229" t="s">
        <v>561</v>
      </c>
      <c r="H446" s="317"/>
      <c r="I446" s="292"/>
      <c r="J446" s="292"/>
      <c r="K446" s="292"/>
      <c r="L446" s="292"/>
      <c r="M446" s="293"/>
    </row>
    <row r="447" spans="1:14" s="233" customFormat="1" x14ac:dyDescent="0.35">
      <c r="A447" s="214">
        <v>419</v>
      </c>
      <c r="B447" s="230" t="s">
        <v>825</v>
      </c>
      <c r="C447" s="245" t="s">
        <v>839</v>
      </c>
      <c r="D447" s="459" t="s">
        <v>827</v>
      </c>
      <c r="E447" s="493">
        <v>1400</v>
      </c>
      <c r="F447" s="253" t="s">
        <v>828</v>
      </c>
      <c r="G447" s="229" t="s">
        <v>561</v>
      </c>
      <c r="H447" s="317"/>
      <c r="I447" s="292"/>
      <c r="J447" s="292"/>
      <c r="K447" s="292"/>
      <c r="L447" s="292"/>
      <c r="M447" s="293"/>
    </row>
    <row r="448" spans="1:14" s="233" customFormat="1" x14ac:dyDescent="0.35">
      <c r="A448" s="214">
        <v>420</v>
      </c>
      <c r="B448" s="230" t="s">
        <v>825</v>
      </c>
      <c r="C448" s="245" t="s">
        <v>840</v>
      </c>
      <c r="D448" s="459" t="s">
        <v>827</v>
      </c>
      <c r="E448" s="493">
        <v>1400</v>
      </c>
      <c r="F448" s="253" t="s">
        <v>828</v>
      </c>
      <c r="G448" s="229" t="s">
        <v>561</v>
      </c>
      <c r="H448" s="317"/>
      <c r="I448" s="292"/>
      <c r="J448" s="292"/>
      <c r="K448" s="292"/>
      <c r="L448" s="292"/>
      <c r="M448" s="293"/>
    </row>
    <row r="449" spans="1:14" s="233" customFormat="1" x14ac:dyDescent="0.35">
      <c r="A449" s="214">
        <v>421</v>
      </c>
      <c r="B449" s="230" t="s">
        <v>825</v>
      </c>
      <c r="C449" s="245" t="s">
        <v>841</v>
      </c>
      <c r="D449" s="459" t="s">
        <v>827</v>
      </c>
      <c r="E449" s="493">
        <v>1400</v>
      </c>
      <c r="F449" s="253" t="s">
        <v>828</v>
      </c>
      <c r="G449" s="229" t="s">
        <v>561</v>
      </c>
      <c r="H449" s="317"/>
      <c r="I449" s="292"/>
      <c r="J449" s="292"/>
      <c r="K449" s="292"/>
      <c r="L449" s="292"/>
      <c r="M449" s="293"/>
    </row>
    <row r="450" spans="1:14" s="233" customFormat="1" x14ac:dyDescent="0.35">
      <c r="A450" s="214">
        <v>422</v>
      </c>
      <c r="B450" s="230" t="s">
        <v>825</v>
      </c>
      <c r="C450" s="245" t="s">
        <v>842</v>
      </c>
      <c r="D450" s="459" t="s">
        <v>827</v>
      </c>
      <c r="E450" s="493">
        <v>1400</v>
      </c>
      <c r="F450" s="253" t="s">
        <v>828</v>
      </c>
      <c r="G450" s="229" t="s">
        <v>561</v>
      </c>
      <c r="H450" s="317"/>
      <c r="I450" s="292"/>
      <c r="J450" s="292"/>
      <c r="K450" s="292"/>
      <c r="L450" s="292"/>
      <c r="M450" s="293"/>
    </row>
    <row r="451" spans="1:14" s="233" customFormat="1" x14ac:dyDescent="0.35">
      <c r="A451" s="214">
        <v>423</v>
      </c>
      <c r="B451" s="230" t="s">
        <v>825</v>
      </c>
      <c r="C451" s="245" t="s">
        <v>843</v>
      </c>
      <c r="D451" s="459" t="s">
        <v>827</v>
      </c>
      <c r="E451" s="493">
        <v>1400</v>
      </c>
      <c r="F451" s="253" t="s">
        <v>828</v>
      </c>
      <c r="G451" s="229" t="s">
        <v>561</v>
      </c>
      <c r="H451" s="317"/>
      <c r="I451" s="292"/>
      <c r="J451" s="292"/>
      <c r="K451" s="292"/>
      <c r="L451" s="292"/>
      <c r="M451" s="293"/>
    </row>
    <row r="452" spans="1:14" s="233" customFormat="1" x14ac:dyDescent="0.35">
      <c r="A452" s="214">
        <v>424</v>
      </c>
      <c r="B452" s="230" t="s">
        <v>825</v>
      </c>
      <c r="C452" s="245" t="s">
        <v>844</v>
      </c>
      <c r="D452" s="459" t="s">
        <v>827</v>
      </c>
      <c r="E452" s="493">
        <v>1400</v>
      </c>
      <c r="F452" s="253" t="s">
        <v>828</v>
      </c>
      <c r="G452" s="229" t="s">
        <v>561</v>
      </c>
      <c r="H452" s="317"/>
      <c r="I452" s="292"/>
      <c r="J452" s="292"/>
      <c r="K452" s="292"/>
      <c r="L452" s="292"/>
      <c r="M452" s="293"/>
    </row>
    <row r="453" spans="1:14" s="233" customFormat="1" x14ac:dyDescent="0.35">
      <c r="A453" s="214">
        <v>425</v>
      </c>
      <c r="B453" s="230" t="s">
        <v>825</v>
      </c>
      <c r="C453" s="245" t="s">
        <v>845</v>
      </c>
      <c r="D453" s="459" t="s">
        <v>827</v>
      </c>
      <c r="E453" s="493">
        <v>1400</v>
      </c>
      <c r="F453" s="253" t="s">
        <v>828</v>
      </c>
      <c r="G453" s="229" t="s">
        <v>561</v>
      </c>
      <c r="H453" s="317"/>
      <c r="I453" s="292"/>
      <c r="J453" s="292"/>
      <c r="K453" s="292"/>
      <c r="L453" s="292"/>
      <c r="M453" s="293"/>
    </row>
    <row r="454" spans="1:14" s="233" customFormat="1" x14ac:dyDescent="0.35">
      <c r="A454" s="214">
        <v>426</v>
      </c>
      <c r="B454" s="230" t="s">
        <v>825</v>
      </c>
      <c r="C454" s="245" t="s">
        <v>846</v>
      </c>
      <c r="D454" s="459" t="s">
        <v>827</v>
      </c>
      <c r="E454" s="493">
        <v>1400</v>
      </c>
      <c r="F454" s="253" t="s">
        <v>828</v>
      </c>
      <c r="G454" s="229" t="s">
        <v>561</v>
      </c>
      <c r="H454" s="317"/>
      <c r="I454" s="292"/>
      <c r="J454" s="292"/>
      <c r="K454" s="292"/>
      <c r="L454" s="292"/>
      <c r="M454" s="293"/>
    </row>
    <row r="455" spans="1:14" s="233" customFormat="1" x14ac:dyDescent="0.35">
      <c r="A455" s="214">
        <v>427</v>
      </c>
      <c r="B455" s="230" t="s">
        <v>825</v>
      </c>
      <c r="C455" s="245" t="s">
        <v>847</v>
      </c>
      <c r="D455" s="459" t="s">
        <v>827</v>
      </c>
      <c r="E455" s="493">
        <v>1400</v>
      </c>
      <c r="F455" s="253" t="s">
        <v>828</v>
      </c>
      <c r="G455" s="229" t="s">
        <v>561</v>
      </c>
      <c r="H455" s="317"/>
      <c r="I455" s="292"/>
      <c r="J455" s="292"/>
      <c r="K455" s="292"/>
      <c r="L455" s="292"/>
      <c r="M455" s="293"/>
    </row>
    <row r="456" spans="1:14" s="233" customFormat="1" x14ac:dyDescent="0.35">
      <c r="A456" s="214">
        <v>428</v>
      </c>
      <c r="B456" s="262" t="s">
        <v>825</v>
      </c>
      <c r="C456" s="260" t="s">
        <v>848</v>
      </c>
      <c r="D456" s="460" t="s">
        <v>827</v>
      </c>
      <c r="E456" s="494">
        <v>1400</v>
      </c>
      <c r="F456" s="390" t="s">
        <v>828</v>
      </c>
      <c r="G456" s="229" t="s">
        <v>561</v>
      </c>
      <c r="H456" s="461"/>
      <c r="I456" s="318"/>
      <c r="J456" s="318"/>
      <c r="K456" s="318"/>
      <c r="L456" s="318"/>
      <c r="M456" s="462"/>
      <c r="N456" s="573">
        <f>SUM(E433:E456)</f>
        <v>33270</v>
      </c>
    </row>
    <row r="457" spans="1:14" s="233" customFormat="1" x14ac:dyDescent="0.35">
      <c r="A457" s="214">
        <v>429</v>
      </c>
      <c r="B457" s="230" t="s">
        <v>825</v>
      </c>
      <c r="C457" s="245" t="s">
        <v>849</v>
      </c>
      <c r="D457" s="459" t="s">
        <v>827</v>
      </c>
      <c r="E457" s="493">
        <v>1400</v>
      </c>
      <c r="F457" s="253" t="s">
        <v>828</v>
      </c>
      <c r="G457" s="229" t="s">
        <v>561</v>
      </c>
      <c r="H457" s="317"/>
      <c r="I457" s="292"/>
      <c r="J457" s="292"/>
      <c r="K457" s="292"/>
      <c r="L457" s="292"/>
      <c r="M457" s="293"/>
    </row>
    <row r="458" spans="1:14" s="233" customFormat="1" x14ac:dyDescent="0.35">
      <c r="A458" s="214">
        <v>430</v>
      </c>
      <c r="B458" s="230" t="s">
        <v>825</v>
      </c>
      <c r="C458" s="245" t="s">
        <v>850</v>
      </c>
      <c r="D458" s="459" t="s">
        <v>827</v>
      </c>
      <c r="E458" s="493">
        <v>1400</v>
      </c>
      <c r="F458" s="253" t="s">
        <v>828</v>
      </c>
      <c r="G458" s="229" t="s">
        <v>561</v>
      </c>
      <c r="H458" s="317"/>
      <c r="I458" s="292"/>
      <c r="J458" s="292"/>
      <c r="K458" s="292"/>
      <c r="L458" s="292"/>
      <c r="M458" s="293"/>
    </row>
    <row r="459" spans="1:14" s="233" customFormat="1" x14ac:dyDescent="0.35">
      <c r="A459" s="214">
        <v>431</v>
      </c>
      <c r="B459" s="230" t="s">
        <v>825</v>
      </c>
      <c r="C459" s="245" t="s">
        <v>851</v>
      </c>
      <c r="D459" s="459" t="s">
        <v>827</v>
      </c>
      <c r="E459" s="493">
        <v>1400</v>
      </c>
      <c r="F459" s="253" t="s">
        <v>828</v>
      </c>
      <c r="G459" s="229" t="s">
        <v>561</v>
      </c>
      <c r="H459" s="317"/>
      <c r="I459" s="292"/>
      <c r="J459" s="292"/>
      <c r="K459" s="292"/>
      <c r="L459" s="292"/>
      <c r="M459" s="293"/>
    </row>
    <row r="460" spans="1:14" s="233" customFormat="1" x14ac:dyDescent="0.35">
      <c r="A460" s="214">
        <v>432</v>
      </c>
      <c r="B460" s="230" t="s">
        <v>825</v>
      </c>
      <c r="C460" s="245" t="s">
        <v>852</v>
      </c>
      <c r="D460" s="459" t="s">
        <v>827</v>
      </c>
      <c r="E460" s="493">
        <v>1400</v>
      </c>
      <c r="F460" s="253" t="s">
        <v>828</v>
      </c>
      <c r="G460" s="229" t="s">
        <v>561</v>
      </c>
      <c r="H460" s="317"/>
      <c r="I460" s="292"/>
      <c r="J460" s="292"/>
      <c r="K460" s="292"/>
      <c r="L460" s="292"/>
      <c r="M460" s="293"/>
    </row>
    <row r="461" spans="1:14" s="233" customFormat="1" x14ac:dyDescent="0.35">
      <c r="A461" s="214">
        <v>433</v>
      </c>
      <c r="B461" s="230" t="s">
        <v>825</v>
      </c>
      <c r="C461" s="245" t="s">
        <v>853</v>
      </c>
      <c r="D461" s="459" t="s">
        <v>827</v>
      </c>
      <c r="E461" s="493">
        <v>1400</v>
      </c>
      <c r="F461" s="253" t="s">
        <v>828</v>
      </c>
      <c r="G461" s="229" t="s">
        <v>561</v>
      </c>
      <c r="H461" s="317"/>
      <c r="I461" s="292"/>
      <c r="J461" s="292"/>
      <c r="K461" s="292"/>
      <c r="L461" s="292"/>
      <c r="M461" s="293"/>
    </row>
    <row r="462" spans="1:14" s="233" customFormat="1" x14ac:dyDescent="0.35">
      <c r="A462" s="214">
        <v>434</v>
      </c>
      <c r="B462" s="230" t="s">
        <v>825</v>
      </c>
      <c r="C462" s="245" t="s">
        <v>854</v>
      </c>
      <c r="D462" s="459" t="s">
        <v>827</v>
      </c>
      <c r="E462" s="493">
        <v>1400</v>
      </c>
      <c r="F462" s="253" t="s">
        <v>828</v>
      </c>
      <c r="G462" s="229" t="s">
        <v>561</v>
      </c>
      <c r="H462" s="317"/>
      <c r="I462" s="292"/>
      <c r="J462" s="292"/>
      <c r="K462" s="292"/>
      <c r="L462" s="292"/>
      <c r="M462" s="293"/>
    </row>
    <row r="463" spans="1:14" s="233" customFormat="1" x14ac:dyDescent="0.35">
      <c r="A463" s="214">
        <v>435</v>
      </c>
      <c r="B463" s="230" t="s">
        <v>825</v>
      </c>
      <c r="C463" s="245" t="s">
        <v>855</v>
      </c>
      <c r="D463" s="459" t="s">
        <v>827</v>
      </c>
      <c r="E463" s="493">
        <v>1400</v>
      </c>
      <c r="F463" s="253" t="s">
        <v>828</v>
      </c>
      <c r="G463" s="229" t="s">
        <v>561</v>
      </c>
      <c r="H463" s="317"/>
      <c r="I463" s="292"/>
      <c r="J463" s="292"/>
      <c r="K463" s="292"/>
      <c r="L463" s="292"/>
      <c r="M463" s="293"/>
    </row>
    <row r="464" spans="1:14" s="233" customFormat="1" x14ac:dyDescent="0.35">
      <c r="A464" s="214">
        <v>436</v>
      </c>
      <c r="B464" s="230" t="s">
        <v>825</v>
      </c>
      <c r="C464" s="245" t="s">
        <v>856</v>
      </c>
      <c r="D464" s="459" t="s">
        <v>827</v>
      </c>
      <c r="E464" s="493">
        <v>1400</v>
      </c>
      <c r="F464" s="253" t="s">
        <v>828</v>
      </c>
      <c r="G464" s="229" t="s">
        <v>561</v>
      </c>
      <c r="H464" s="317"/>
      <c r="I464" s="292"/>
      <c r="J464" s="292"/>
      <c r="K464" s="292"/>
      <c r="L464" s="292"/>
      <c r="M464" s="293"/>
    </row>
    <row r="465" spans="1:14" s="233" customFormat="1" x14ac:dyDescent="0.35">
      <c r="A465" s="214">
        <v>437</v>
      </c>
      <c r="B465" s="230" t="s">
        <v>825</v>
      </c>
      <c r="C465" s="245" t="s">
        <v>857</v>
      </c>
      <c r="D465" s="459" t="s">
        <v>827</v>
      </c>
      <c r="E465" s="493">
        <v>1400</v>
      </c>
      <c r="F465" s="253" t="s">
        <v>828</v>
      </c>
      <c r="G465" s="229" t="s">
        <v>561</v>
      </c>
      <c r="H465" s="317"/>
      <c r="I465" s="292"/>
      <c r="J465" s="292"/>
      <c r="K465" s="292"/>
      <c r="L465" s="292"/>
      <c r="M465" s="293"/>
    </row>
    <row r="466" spans="1:14" s="233" customFormat="1" ht="42" x14ac:dyDescent="0.35">
      <c r="A466" s="214">
        <v>438</v>
      </c>
      <c r="B466" s="503" t="s">
        <v>791</v>
      </c>
      <c r="C466" s="245" t="s">
        <v>912</v>
      </c>
      <c r="D466" s="459" t="s">
        <v>942</v>
      </c>
      <c r="E466" s="493">
        <v>1380</v>
      </c>
      <c r="F466" s="253" t="s">
        <v>277</v>
      </c>
      <c r="G466" s="229" t="s">
        <v>561</v>
      </c>
      <c r="H466" s="317"/>
      <c r="I466" s="292"/>
      <c r="J466" s="292"/>
      <c r="K466" s="292"/>
      <c r="L466" s="292"/>
      <c r="M466" s="293"/>
      <c r="N466" s="273"/>
    </row>
    <row r="467" spans="1:14" s="233" customFormat="1" ht="42" x14ac:dyDescent="0.35">
      <c r="A467" s="214">
        <v>439</v>
      </c>
      <c r="B467" s="503" t="s">
        <v>791</v>
      </c>
      <c r="C467" s="245" t="s">
        <v>913</v>
      </c>
      <c r="D467" s="459" t="s">
        <v>942</v>
      </c>
      <c r="E467" s="493">
        <v>1380</v>
      </c>
      <c r="F467" s="253" t="s">
        <v>277</v>
      </c>
      <c r="G467" s="229" t="s">
        <v>561</v>
      </c>
      <c r="H467" s="317"/>
      <c r="I467" s="292"/>
      <c r="J467" s="292"/>
      <c r="K467" s="292"/>
      <c r="L467" s="292"/>
      <c r="M467" s="293"/>
    </row>
    <row r="468" spans="1:14" s="233" customFormat="1" ht="42" x14ac:dyDescent="0.35">
      <c r="A468" s="214">
        <v>440</v>
      </c>
      <c r="B468" s="503" t="s">
        <v>791</v>
      </c>
      <c r="C468" s="245" t="s">
        <v>914</v>
      </c>
      <c r="D468" s="459" t="s">
        <v>942</v>
      </c>
      <c r="E468" s="493">
        <v>1380</v>
      </c>
      <c r="F468" s="253" t="s">
        <v>277</v>
      </c>
      <c r="G468" s="229" t="s">
        <v>561</v>
      </c>
      <c r="H468" s="317"/>
      <c r="I468" s="292"/>
      <c r="J468" s="292"/>
      <c r="K468" s="292"/>
      <c r="L468" s="292"/>
      <c r="M468" s="293"/>
    </row>
    <row r="469" spans="1:14" s="233" customFormat="1" ht="42" x14ac:dyDescent="0.35">
      <c r="A469" s="214">
        <v>441</v>
      </c>
      <c r="B469" s="503" t="s">
        <v>791</v>
      </c>
      <c r="C469" s="245" t="s">
        <v>915</v>
      </c>
      <c r="D469" s="459" t="s">
        <v>942</v>
      </c>
      <c r="E469" s="493">
        <v>1380</v>
      </c>
      <c r="F469" s="253" t="s">
        <v>277</v>
      </c>
      <c r="G469" s="229" t="s">
        <v>561</v>
      </c>
      <c r="H469" s="317"/>
      <c r="I469" s="292"/>
      <c r="J469" s="292"/>
      <c r="K469" s="292"/>
      <c r="L469" s="292"/>
      <c r="M469" s="293"/>
    </row>
    <row r="470" spans="1:14" s="233" customFormat="1" ht="42" x14ac:dyDescent="0.35">
      <c r="A470" s="214">
        <v>442</v>
      </c>
      <c r="B470" s="503" t="s">
        <v>791</v>
      </c>
      <c r="C470" s="245" t="s">
        <v>916</v>
      </c>
      <c r="D470" s="459" t="s">
        <v>942</v>
      </c>
      <c r="E470" s="493">
        <v>1380</v>
      </c>
      <c r="F470" s="253" t="s">
        <v>31</v>
      </c>
      <c r="G470" s="229" t="s">
        <v>561</v>
      </c>
      <c r="H470" s="317"/>
      <c r="I470" s="292"/>
      <c r="J470" s="292"/>
      <c r="K470" s="292"/>
      <c r="L470" s="292"/>
      <c r="M470" s="293"/>
    </row>
    <row r="471" spans="1:14" s="233" customFormat="1" ht="42" x14ac:dyDescent="0.35">
      <c r="A471" s="214">
        <v>443</v>
      </c>
      <c r="B471" s="503" t="s">
        <v>791</v>
      </c>
      <c r="C471" s="245" t="s">
        <v>917</v>
      </c>
      <c r="D471" s="459" t="s">
        <v>942</v>
      </c>
      <c r="E471" s="493">
        <v>1380</v>
      </c>
      <c r="F471" s="253" t="s">
        <v>31</v>
      </c>
      <c r="G471" s="229" t="s">
        <v>561</v>
      </c>
      <c r="H471" s="317"/>
      <c r="I471" s="292"/>
      <c r="J471" s="292"/>
      <c r="K471" s="292"/>
      <c r="L471" s="292"/>
      <c r="M471" s="293"/>
    </row>
    <row r="472" spans="1:14" s="233" customFormat="1" ht="42" x14ac:dyDescent="0.35">
      <c r="A472" s="214">
        <v>444</v>
      </c>
      <c r="B472" s="503" t="s">
        <v>791</v>
      </c>
      <c r="C472" s="245" t="s">
        <v>918</v>
      </c>
      <c r="D472" s="459" t="s">
        <v>942</v>
      </c>
      <c r="E472" s="493">
        <v>1380</v>
      </c>
      <c r="F472" s="253" t="s">
        <v>31</v>
      </c>
      <c r="G472" s="229" t="s">
        <v>561</v>
      </c>
      <c r="H472" s="317"/>
      <c r="I472" s="292"/>
      <c r="J472" s="292"/>
      <c r="K472" s="292"/>
      <c r="L472" s="292"/>
      <c r="M472" s="293"/>
      <c r="N472" s="573">
        <f>SUM(E457:E472)</f>
        <v>22260</v>
      </c>
    </row>
    <row r="473" spans="1:14" s="233" customFormat="1" ht="42" x14ac:dyDescent="0.35">
      <c r="A473" s="214">
        <v>445</v>
      </c>
      <c r="B473" s="503" t="s">
        <v>791</v>
      </c>
      <c r="C473" s="245" t="s">
        <v>919</v>
      </c>
      <c r="D473" s="459" t="s">
        <v>942</v>
      </c>
      <c r="E473" s="493">
        <v>1380</v>
      </c>
      <c r="F473" s="253" t="s">
        <v>91</v>
      </c>
      <c r="G473" s="229" t="s">
        <v>561</v>
      </c>
      <c r="H473" s="317"/>
      <c r="I473" s="292"/>
      <c r="J473" s="292"/>
      <c r="K473" s="292"/>
      <c r="L473" s="292"/>
      <c r="M473" s="293"/>
    </row>
    <row r="474" spans="1:14" s="233" customFormat="1" ht="42" x14ac:dyDescent="0.35">
      <c r="A474" s="214">
        <v>446</v>
      </c>
      <c r="B474" s="503" t="s">
        <v>791</v>
      </c>
      <c r="C474" s="245" t="s">
        <v>920</v>
      </c>
      <c r="D474" s="459" t="s">
        <v>942</v>
      </c>
      <c r="E474" s="493">
        <v>1380</v>
      </c>
      <c r="F474" s="253" t="s">
        <v>91</v>
      </c>
      <c r="G474" s="229" t="s">
        <v>561</v>
      </c>
      <c r="H474" s="317"/>
      <c r="I474" s="292"/>
      <c r="J474" s="292"/>
      <c r="K474" s="292"/>
      <c r="L474" s="292"/>
      <c r="M474" s="293"/>
    </row>
    <row r="475" spans="1:14" s="233" customFormat="1" ht="42" x14ac:dyDescent="0.35">
      <c r="A475" s="214">
        <v>447</v>
      </c>
      <c r="B475" s="503" t="s">
        <v>791</v>
      </c>
      <c r="C475" s="245" t="s">
        <v>921</v>
      </c>
      <c r="D475" s="459" t="s">
        <v>942</v>
      </c>
      <c r="E475" s="493">
        <v>1380</v>
      </c>
      <c r="F475" s="253" t="s">
        <v>91</v>
      </c>
      <c r="G475" s="229" t="s">
        <v>561</v>
      </c>
      <c r="H475" s="317"/>
      <c r="I475" s="292"/>
      <c r="J475" s="292"/>
      <c r="K475" s="292"/>
      <c r="L475" s="292"/>
      <c r="M475" s="293"/>
    </row>
    <row r="476" spans="1:14" s="233" customFormat="1" ht="42" x14ac:dyDescent="0.35">
      <c r="A476" s="214">
        <v>448</v>
      </c>
      <c r="B476" s="503" t="s">
        <v>791</v>
      </c>
      <c r="C476" s="245" t="s">
        <v>922</v>
      </c>
      <c r="D476" s="459" t="s">
        <v>942</v>
      </c>
      <c r="E476" s="493">
        <v>1380</v>
      </c>
      <c r="F476" s="253" t="s">
        <v>91</v>
      </c>
      <c r="G476" s="229" t="s">
        <v>561</v>
      </c>
      <c r="H476" s="317"/>
      <c r="I476" s="292"/>
      <c r="J476" s="292"/>
      <c r="K476" s="292"/>
      <c r="L476" s="292"/>
      <c r="M476" s="293"/>
    </row>
    <row r="477" spans="1:14" s="233" customFormat="1" ht="42" x14ac:dyDescent="0.35">
      <c r="A477" s="214">
        <v>449</v>
      </c>
      <c r="B477" s="503" t="s">
        <v>791</v>
      </c>
      <c r="C477" s="245" t="s">
        <v>923</v>
      </c>
      <c r="D477" s="459" t="s">
        <v>942</v>
      </c>
      <c r="E477" s="493">
        <v>1380</v>
      </c>
      <c r="F477" s="253" t="s">
        <v>11</v>
      </c>
      <c r="G477" s="229" t="s">
        <v>561</v>
      </c>
      <c r="H477" s="317"/>
      <c r="I477" s="292"/>
      <c r="J477" s="292"/>
      <c r="K477" s="292"/>
      <c r="L477" s="292"/>
      <c r="M477" s="293"/>
    </row>
    <row r="478" spans="1:14" s="233" customFormat="1" ht="42" x14ac:dyDescent="0.35">
      <c r="A478" s="214">
        <v>450</v>
      </c>
      <c r="B478" s="503" t="s">
        <v>791</v>
      </c>
      <c r="C478" s="245" t="s">
        <v>924</v>
      </c>
      <c r="D478" s="459" t="s">
        <v>942</v>
      </c>
      <c r="E478" s="493">
        <v>1380</v>
      </c>
      <c r="F478" s="253" t="s">
        <v>11</v>
      </c>
      <c r="G478" s="229" t="s">
        <v>561</v>
      </c>
      <c r="H478" s="317"/>
      <c r="I478" s="292"/>
      <c r="J478" s="292"/>
      <c r="K478" s="292"/>
      <c r="L478" s="292"/>
      <c r="M478" s="293"/>
    </row>
    <row r="479" spans="1:14" s="233" customFormat="1" ht="42" x14ac:dyDescent="0.35">
      <c r="A479" s="214">
        <v>451</v>
      </c>
      <c r="B479" s="503" t="s">
        <v>791</v>
      </c>
      <c r="C479" s="245" t="s">
        <v>925</v>
      </c>
      <c r="D479" s="459" t="s">
        <v>942</v>
      </c>
      <c r="E479" s="493">
        <v>1380</v>
      </c>
      <c r="F479" s="253" t="s">
        <v>11</v>
      </c>
      <c r="G479" s="229" t="s">
        <v>561</v>
      </c>
      <c r="H479" s="317"/>
      <c r="I479" s="292"/>
      <c r="J479" s="292"/>
      <c r="K479" s="292"/>
      <c r="L479" s="292"/>
      <c r="M479" s="293"/>
    </row>
    <row r="480" spans="1:14" s="233" customFormat="1" ht="42" x14ac:dyDescent="0.35">
      <c r="A480" s="214">
        <v>452</v>
      </c>
      <c r="B480" s="503" t="s">
        <v>791</v>
      </c>
      <c r="C480" s="245" t="s">
        <v>926</v>
      </c>
      <c r="D480" s="459" t="s">
        <v>942</v>
      </c>
      <c r="E480" s="493">
        <v>1380</v>
      </c>
      <c r="F480" s="253" t="s">
        <v>103</v>
      </c>
      <c r="G480" s="229" t="s">
        <v>561</v>
      </c>
      <c r="H480" s="317"/>
      <c r="I480" s="292"/>
      <c r="J480" s="292"/>
      <c r="K480" s="292"/>
      <c r="L480" s="292"/>
      <c r="M480" s="293"/>
    </row>
    <row r="481" spans="1:15" s="233" customFormat="1" ht="42" x14ac:dyDescent="0.35">
      <c r="A481" s="214">
        <v>453</v>
      </c>
      <c r="B481" s="503" t="s">
        <v>791</v>
      </c>
      <c r="C481" s="245" t="s">
        <v>927</v>
      </c>
      <c r="D481" s="459" t="s">
        <v>942</v>
      </c>
      <c r="E481" s="493">
        <v>1380</v>
      </c>
      <c r="F481" s="253" t="s">
        <v>103</v>
      </c>
      <c r="G481" s="229" t="s">
        <v>561</v>
      </c>
      <c r="H481" s="317"/>
      <c r="I481" s="292"/>
      <c r="J481" s="292"/>
      <c r="K481" s="292"/>
      <c r="L481" s="292"/>
      <c r="M481" s="293"/>
      <c r="N481" s="466"/>
      <c r="O481" s="273"/>
    </row>
    <row r="482" spans="1:15" ht="42" x14ac:dyDescent="0.35">
      <c r="A482" s="214">
        <v>454</v>
      </c>
      <c r="B482" s="503" t="s">
        <v>791</v>
      </c>
      <c r="C482" s="245" t="s">
        <v>928</v>
      </c>
      <c r="D482" s="459" t="s">
        <v>942</v>
      </c>
      <c r="E482" s="493">
        <v>1380</v>
      </c>
      <c r="F482" s="253" t="s">
        <v>103</v>
      </c>
      <c r="G482" s="229" t="s">
        <v>561</v>
      </c>
      <c r="H482" s="317"/>
      <c r="I482" s="292"/>
      <c r="J482" s="292"/>
      <c r="K482" s="292"/>
      <c r="L482" s="292"/>
      <c r="M482" s="293"/>
    </row>
    <row r="483" spans="1:15" ht="42" x14ac:dyDescent="0.35">
      <c r="A483" s="214">
        <v>455</v>
      </c>
      <c r="B483" s="503" t="s">
        <v>791</v>
      </c>
      <c r="C483" s="245" t="s">
        <v>929</v>
      </c>
      <c r="D483" s="459" t="s">
        <v>942</v>
      </c>
      <c r="E483" s="493">
        <v>1380</v>
      </c>
      <c r="F483" s="253" t="s">
        <v>103</v>
      </c>
      <c r="G483" s="229" t="s">
        <v>561</v>
      </c>
      <c r="H483" s="317"/>
      <c r="I483" s="292"/>
      <c r="J483" s="292"/>
      <c r="K483" s="292"/>
      <c r="L483" s="292"/>
      <c r="M483" s="293"/>
    </row>
    <row r="484" spans="1:15" ht="42" x14ac:dyDescent="0.35">
      <c r="A484" s="214">
        <v>456</v>
      </c>
      <c r="B484" s="503" t="s">
        <v>791</v>
      </c>
      <c r="C484" s="245" t="s">
        <v>930</v>
      </c>
      <c r="D484" s="459" t="s">
        <v>942</v>
      </c>
      <c r="E484" s="493">
        <v>1380</v>
      </c>
      <c r="F484" s="253" t="s">
        <v>103</v>
      </c>
      <c r="G484" s="229" t="s">
        <v>561</v>
      </c>
      <c r="H484" s="317"/>
      <c r="I484" s="292"/>
      <c r="J484" s="292"/>
      <c r="K484" s="292"/>
      <c r="L484" s="292"/>
      <c r="M484" s="293"/>
      <c r="N484" s="572">
        <f>SUM(E473:E484)</f>
        <v>16560</v>
      </c>
    </row>
    <row r="485" spans="1:15" ht="42" x14ac:dyDescent="0.35">
      <c r="A485" s="214">
        <v>457</v>
      </c>
      <c r="B485" s="503" t="s">
        <v>791</v>
      </c>
      <c r="C485" s="245" t="s">
        <v>931</v>
      </c>
      <c r="D485" s="459" t="s">
        <v>942</v>
      </c>
      <c r="E485" s="493">
        <v>1380</v>
      </c>
      <c r="F485" s="253" t="s">
        <v>103</v>
      </c>
      <c r="G485" s="229" t="s">
        <v>561</v>
      </c>
      <c r="H485" s="317"/>
      <c r="I485" s="292"/>
      <c r="J485" s="292"/>
      <c r="K485" s="292"/>
      <c r="L485" s="292"/>
      <c r="M485" s="293"/>
    </row>
    <row r="486" spans="1:15" ht="42" x14ac:dyDescent="0.35">
      <c r="A486" s="214">
        <v>458</v>
      </c>
      <c r="B486" s="503" t="s">
        <v>791</v>
      </c>
      <c r="C486" s="245" t="s">
        <v>932</v>
      </c>
      <c r="D486" s="459" t="s">
        <v>942</v>
      </c>
      <c r="E486" s="493">
        <v>1380</v>
      </c>
      <c r="F486" s="253" t="s">
        <v>94</v>
      </c>
      <c r="G486" s="229" t="s">
        <v>561</v>
      </c>
      <c r="H486" s="317"/>
      <c r="I486" s="292"/>
      <c r="J486" s="292"/>
      <c r="K486" s="292"/>
      <c r="L486" s="292"/>
      <c r="M486" s="293"/>
    </row>
    <row r="487" spans="1:15" ht="42" x14ac:dyDescent="0.35">
      <c r="A487" s="214">
        <v>459</v>
      </c>
      <c r="B487" s="503" t="s">
        <v>791</v>
      </c>
      <c r="C487" s="245" t="s">
        <v>933</v>
      </c>
      <c r="D487" s="459" t="s">
        <v>942</v>
      </c>
      <c r="E487" s="493">
        <v>1380</v>
      </c>
      <c r="F487" s="253" t="s">
        <v>94</v>
      </c>
      <c r="G487" s="229" t="s">
        <v>561</v>
      </c>
      <c r="H487" s="317"/>
      <c r="I487" s="292"/>
      <c r="J487" s="292"/>
      <c r="K487" s="292"/>
      <c r="L487" s="292"/>
      <c r="M487" s="293"/>
    </row>
    <row r="488" spans="1:15" ht="42" x14ac:dyDescent="0.35">
      <c r="A488" s="214">
        <v>460</v>
      </c>
      <c r="B488" s="503" t="s">
        <v>791</v>
      </c>
      <c r="C488" s="245" t="s">
        <v>934</v>
      </c>
      <c r="D488" s="459" t="s">
        <v>942</v>
      </c>
      <c r="E488" s="493">
        <v>1380</v>
      </c>
      <c r="F488" s="253" t="s">
        <v>213</v>
      </c>
      <c r="G488" s="229" t="s">
        <v>561</v>
      </c>
      <c r="H488" s="317"/>
      <c r="I488" s="292"/>
      <c r="J488" s="292"/>
      <c r="K488" s="292"/>
      <c r="L488" s="292"/>
      <c r="M488" s="293"/>
    </row>
    <row r="489" spans="1:15" ht="42" x14ac:dyDescent="0.35">
      <c r="A489" s="214">
        <v>461</v>
      </c>
      <c r="B489" s="503" t="s">
        <v>791</v>
      </c>
      <c r="C489" s="245" t="s">
        <v>935</v>
      </c>
      <c r="D489" s="459" t="s">
        <v>942</v>
      </c>
      <c r="E489" s="493">
        <v>1380</v>
      </c>
      <c r="F489" s="253" t="s">
        <v>213</v>
      </c>
      <c r="G489" s="229" t="s">
        <v>561</v>
      </c>
      <c r="H489" s="317"/>
      <c r="I489" s="292"/>
      <c r="J489" s="292"/>
      <c r="K489" s="292"/>
      <c r="L489" s="292"/>
      <c r="M489" s="293"/>
    </row>
    <row r="490" spans="1:15" ht="42" x14ac:dyDescent="0.35">
      <c r="A490" s="214">
        <v>462</v>
      </c>
      <c r="B490" s="503" t="s">
        <v>791</v>
      </c>
      <c r="C490" s="245" t="s">
        <v>936</v>
      </c>
      <c r="D490" s="459" t="s">
        <v>942</v>
      </c>
      <c r="E490" s="493">
        <v>1380</v>
      </c>
      <c r="F490" s="253" t="s">
        <v>213</v>
      </c>
      <c r="G490" s="229" t="s">
        <v>561</v>
      </c>
      <c r="H490" s="317"/>
      <c r="I490" s="292"/>
      <c r="J490" s="292"/>
      <c r="K490" s="292"/>
      <c r="L490" s="292"/>
      <c r="M490" s="293"/>
    </row>
    <row r="491" spans="1:15" ht="42" x14ac:dyDescent="0.35">
      <c r="A491" s="214">
        <v>463</v>
      </c>
      <c r="B491" s="503" t="s">
        <v>791</v>
      </c>
      <c r="C491" s="245" t="s">
        <v>937</v>
      </c>
      <c r="D491" s="459" t="s">
        <v>942</v>
      </c>
      <c r="E491" s="493">
        <v>1380</v>
      </c>
      <c r="F491" s="253" t="s">
        <v>19</v>
      </c>
      <c r="G491" s="229" t="s">
        <v>561</v>
      </c>
      <c r="H491" s="317"/>
      <c r="I491" s="292"/>
      <c r="J491" s="292"/>
      <c r="K491" s="292"/>
      <c r="L491" s="292"/>
      <c r="M491" s="293"/>
    </row>
    <row r="492" spans="1:15" ht="42" x14ac:dyDescent="0.35">
      <c r="A492" s="214">
        <v>464</v>
      </c>
      <c r="B492" s="503" t="s">
        <v>791</v>
      </c>
      <c r="C492" s="245" t="s">
        <v>938</v>
      </c>
      <c r="D492" s="459" t="s">
        <v>942</v>
      </c>
      <c r="E492" s="493">
        <v>1380</v>
      </c>
      <c r="F492" s="253" t="s">
        <v>19</v>
      </c>
      <c r="G492" s="229" t="s">
        <v>561</v>
      </c>
      <c r="H492" s="317"/>
      <c r="I492" s="292"/>
      <c r="J492" s="292"/>
      <c r="K492" s="292"/>
      <c r="L492" s="292"/>
      <c r="M492" s="293"/>
    </row>
    <row r="493" spans="1:15" ht="42" x14ac:dyDescent="0.35">
      <c r="A493" s="214">
        <v>465</v>
      </c>
      <c r="B493" s="503" t="s">
        <v>791</v>
      </c>
      <c r="C493" s="245" t="s">
        <v>939</v>
      </c>
      <c r="D493" s="459" t="s">
        <v>942</v>
      </c>
      <c r="E493" s="493">
        <v>1380</v>
      </c>
      <c r="F493" s="253" t="s">
        <v>299</v>
      </c>
      <c r="G493" s="229" t="s">
        <v>561</v>
      </c>
      <c r="H493" s="317"/>
      <c r="I493" s="292"/>
      <c r="J493" s="292"/>
      <c r="K493" s="292"/>
      <c r="L493" s="292"/>
      <c r="M493" s="293"/>
    </row>
    <row r="494" spans="1:15" ht="42" x14ac:dyDescent="0.35">
      <c r="A494" s="214">
        <v>466</v>
      </c>
      <c r="B494" s="503" t="s">
        <v>791</v>
      </c>
      <c r="C494" s="245" t="s">
        <v>940</v>
      </c>
      <c r="D494" s="459" t="s">
        <v>942</v>
      </c>
      <c r="E494" s="493">
        <v>1380</v>
      </c>
      <c r="F494" s="253" t="s">
        <v>299</v>
      </c>
      <c r="G494" s="229" t="s">
        <v>561</v>
      </c>
      <c r="H494" s="317"/>
      <c r="I494" s="292"/>
      <c r="J494" s="292"/>
      <c r="K494" s="292"/>
      <c r="L494" s="292"/>
      <c r="M494" s="293"/>
    </row>
    <row r="495" spans="1:15" ht="42" x14ac:dyDescent="0.35">
      <c r="A495" s="214">
        <v>467</v>
      </c>
      <c r="B495" s="511" t="s">
        <v>791</v>
      </c>
      <c r="C495" s="282" t="s">
        <v>941</v>
      </c>
      <c r="D495" s="463" t="s">
        <v>942</v>
      </c>
      <c r="E495" s="495">
        <v>1380</v>
      </c>
      <c r="F495" s="267" t="s">
        <v>299</v>
      </c>
      <c r="G495" s="229" t="s">
        <v>561</v>
      </c>
      <c r="H495" s="464"/>
      <c r="I495" s="285"/>
      <c r="J495" s="285"/>
      <c r="K495" s="285"/>
      <c r="L495" s="285"/>
      <c r="M495" s="465"/>
    </row>
    <row r="496" spans="1:15" x14ac:dyDescent="0.35">
      <c r="A496" s="441"/>
      <c r="B496" s="442"/>
      <c r="C496" s="443"/>
      <c r="D496" s="467" t="s">
        <v>505</v>
      </c>
      <c r="E496" s="496">
        <f>SUM(E27:E495)</f>
        <v>593560</v>
      </c>
      <c r="F496" s="444"/>
      <c r="G496" s="445"/>
      <c r="H496" s="445"/>
      <c r="I496" s="445"/>
      <c r="J496" s="445"/>
      <c r="K496" s="445"/>
      <c r="L496" s="445"/>
      <c r="M496" s="446"/>
    </row>
    <row r="497" spans="1:14" x14ac:dyDescent="0.35">
      <c r="A497" s="468"/>
      <c r="B497" s="242" t="s">
        <v>1136</v>
      </c>
      <c r="C497" s="469"/>
      <c r="D497" s="470"/>
      <c r="E497" s="497"/>
      <c r="F497" s="471"/>
      <c r="G497" s="472"/>
      <c r="H497" s="472"/>
      <c r="I497" s="472"/>
      <c r="J497" s="472"/>
      <c r="K497" s="472"/>
      <c r="L497" s="472"/>
      <c r="M497" s="472"/>
      <c r="N497" s="258">
        <f>SUM(E485:E495)</f>
        <v>15180</v>
      </c>
    </row>
    <row r="498" spans="1:14" x14ac:dyDescent="0.35">
      <c r="A498" s="261">
        <v>1</v>
      </c>
      <c r="B498" s="38" t="s">
        <v>422</v>
      </c>
      <c r="C498" s="299" t="s">
        <v>423</v>
      </c>
      <c r="D498" s="280" t="s">
        <v>532</v>
      </c>
      <c r="E498" s="308">
        <v>12000</v>
      </c>
      <c r="F498" s="57" t="s">
        <v>90</v>
      </c>
      <c r="G498" s="263" t="s">
        <v>561</v>
      </c>
      <c r="H498" s="299"/>
      <c r="I498" s="262"/>
      <c r="J498" s="262"/>
      <c r="K498" s="262"/>
      <c r="L498" s="262"/>
      <c r="M498" s="57"/>
    </row>
    <row r="499" spans="1:14" x14ac:dyDescent="0.35">
      <c r="A499" s="214"/>
      <c r="B499" s="30"/>
      <c r="C499" s="298"/>
      <c r="D499" s="274"/>
      <c r="E499" s="306"/>
      <c r="F499" s="251" t="s">
        <v>1189</v>
      </c>
      <c r="G499" s="229"/>
      <c r="H499" s="298"/>
      <c r="I499" s="230"/>
      <c r="J499" s="230"/>
      <c r="K499" s="230"/>
      <c r="L499" s="230"/>
      <c r="M499" s="251"/>
    </row>
    <row r="500" spans="1:14" x14ac:dyDescent="0.35">
      <c r="A500" s="214">
        <v>2</v>
      </c>
      <c r="B500" s="30" t="s">
        <v>422</v>
      </c>
      <c r="C500" s="298" t="s">
        <v>424</v>
      </c>
      <c r="D500" s="274" t="s">
        <v>532</v>
      </c>
      <c r="E500" s="306">
        <v>12000</v>
      </c>
      <c r="F500" s="251" t="s">
        <v>94</v>
      </c>
      <c r="G500" s="229" t="s">
        <v>561</v>
      </c>
      <c r="H500" s="298"/>
      <c r="I500" s="230"/>
      <c r="J500" s="230"/>
      <c r="K500" s="230"/>
      <c r="L500" s="230"/>
      <c r="M500" s="251"/>
    </row>
    <row r="501" spans="1:14" x14ac:dyDescent="0.35">
      <c r="A501" s="214"/>
      <c r="B501" s="39"/>
      <c r="C501" s="451"/>
      <c r="D501" s="277"/>
      <c r="E501" s="307"/>
      <c r="F501" s="251" t="s">
        <v>680</v>
      </c>
      <c r="G501" s="229"/>
      <c r="H501" s="451"/>
      <c r="I501" s="230"/>
      <c r="J501" s="230"/>
      <c r="K501" s="230"/>
      <c r="L501" s="230"/>
      <c r="M501" s="251"/>
    </row>
    <row r="502" spans="1:14" x14ac:dyDescent="0.35">
      <c r="A502" s="214">
        <v>3</v>
      </c>
      <c r="B502" s="39" t="s">
        <v>422</v>
      </c>
      <c r="C502" s="451" t="s">
        <v>425</v>
      </c>
      <c r="D502" s="277" t="s">
        <v>532</v>
      </c>
      <c r="E502" s="307">
        <v>12000</v>
      </c>
      <c r="F502" s="251" t="s">
        <v>91</v>
      </c>
      <c r="G502" s="229" t="s">
        <v>561</v>
      </c>
      <c r="H502" s="451"/>
      <c r="I502" s="230"/>
      <c r="J502" s="230"/>
      <c r="K502" s="230"/>
      <c r="L502" s="230"/>
      <c r="M502" s="251"/>
    </row>
    <row r="503" spans="1:14" x14ac:dyDescent="0.35">
      <c r="A503" s="214"/>
      <c r="B503" s="30"/>
      <c r="C503" s="298"/>
      <c r="D503" s="274"/>
      <c r="E503" s="306"/>
      <c r="F503" s="251" t="s">
        <v>681</v>
      </c>
      <c r="G503" s="229"/>
      <c r="H503" s="298"/>
      <c r="I503" s="230"/>
      <c r="J503" s="230"/>
      <c r="K503" s="230"/>
      <c r="L503" s="230"/>
      <c r="M503" s="251"/>
    </row>
    <row r="504" spans="1:14" x14ac:dyDescent="0.35">
      <c r="A504" s="261">
        <v>4</v>
      </c>
      <c r="B504" s="38" t="s">
        <v>426</v>
      </c>
      <c r="C504" s="474" t="s">
        <v>427</v>
      </c>
      <c r="D504" s="280" t="s">
        <v>533</v>
      </c>
      <c r="E504" s="308">
        <v>14500</v>
      </c>
      <c r="F504" s="57" t="s">
        <v>19</v>
      </c>
      <c r="G504" s="263" t="s">
        <v>561</v>
      </c>
      <c r="H504" s="419"/>
      <c r="I504" s="262"/>
      <c r="J504" s="262"/>
      <c r="K504" s="262"/>
      <c r="L504" s="262"/>
      <c r="M504" s="57"/>
    </row>
    <row r="505" spans="1:14" x14ac:dyDescent="0.35">
      <c r="A505" s="214"/>
      <c r="B505" s="38"/>
      <c r="C505" s="474"/>
      <c r="D505" s="280"/>
      <c r="E505" s="308"/>
      <c r="F505" s="251" t="s">
        <v>679</v>
      </c>
      <c r="G505" s="229"/>
      <c r="H505" s="451"/>
      <c r="I505" s="230"/>
      <c r="J505" s="230"/>
      <c r="K505" s="230"/>
      <c r="L505" s="230"/>
      <c r="M505" s="251"/>
    </row>
    <row r="506" spans="1:14" x14ac:dyDescent="0.35">
      <c r="A506" s="214">
        <v>5</v>
      </c>
      <c r="B506" s="30" t="s">
        <v>426</v>
      </c>
      <c r="C506" s="473" t="s">
        <v>428</v>
      </c>
      <c r="D506" s="274" t="s">
        <v>534</v>
      </c>
      <c r="E506" s="306">
        <v>14500</v>
      </c>
      <c r="F506" s="251" t="s">
        <v>13</v>
      </c>
      <c r="G506" s="229" t="s">
        <v>561</v>
      </c>
      <c r="H506" s="298"/>
      <c r="I506" s="230"/>
      <c r="J506" s="230"/>
      <c r="K506" s="230"/>
      <c r="L506" s="230"/>
      <c r="M506" s="251"/>
    </row>
    <row r="507" spans="1:14" x14ac:dyDescent="0.35">
      <c r="A507" s="214"/>
      <c r="B507" s="30"/>
      <c r="C507" s="473"/>
      <c r="D507" s="274"/>
      <c r="E507" s="306"/>
      <c r="F507" s="251" t="s">
        <v>679</v>
      </c>
      <c r="G507" s="229"/>
      <c r="H507" s="298"/>
      <c r="I507" s="230"/>
      <c r="J507" s="230"/>
      <c r="K507" s="230"/>
      <c r="L507" s="230"/>
      <c r="M507" s="251"/>
    </row>
    <row r="508" spans="1:14" x14ac:dyDescent="0.35">
      <c r="A508" s="261">
        <v>6</v>
      </c>
      <c r="B508" s="30" t="s">
        <v>426</v>
      </c>
      <c r="C508" s="473" t="s">
        <v>429</v>
      </c>
      <c r="D508" s="274" t="s">
        <v>534</v>
      </c>
      <c r="E508" s="306">
        <v>14500</v>
      </c>
      <c r="F508" s="251" t="s">
        <v>96</v>
      </c>
      <c r="G508" s="229" t="s">
        <v>561</v>
      </c>
      <c r="H508" s="473"/>
      <c r="I508" s="230"/>
      <c r="J508" s="230"/>
      <c r="K508" s="230"/>
      <c r="L508" s="230"/>
      <c r="M508" s="251"/>
      <c r="N508" s="572">
        <f>SUM(E498:E508)</f>
        <v>79500</v>
      </c>
    </row>
    <row r="509" spans="1:14" x14ac:dyDescent="0.35">
      <c r="A509" s="214"/>
      <c r="B509" s="30"/>
      <c r="C509" s="473"/>
      <c r="D509" s="274"/>
      <c r="E509" s="306"/>
      <c r="F509" s="251" t="s">
        <v>679</v>
      </c>
      <c r="G509" s="229"/>
      <c r="H509" s="473"/>
      <c r="I509" s="230"/>
      <c r="J509" s="230"/>
      <c r="K509" s="230"/>
      <c r="L509" s="230"/>
      <c r="M509" s="251"/>
    </row>
    <row r="510" spans="1:14" x14ac:dyDescent="0.35">
      <c r="A510" s="214">
        <v>7</v>
      </c>
      <c r="B510" s="30" t="s">
        <v>426</v>
      </c>
      <c r="C510" s="473" t="s">
        <v>430</v>
      </c>
      <c r="D510" s="274" t="s">
        <v>534</v>
      </c>
      <c r="E510" s="306">
        <v>14500</v>
      </c>
      <c r="F510" s="251" t="s">
        <v>9</v>
      </c>
      <c r="G510" s="229" t="s">
        <v>561</v>
      </c>
      <c r="H510" s="473"/>
      <c r="I510" s="230"/>
      <c r="J510" s="230"/>
      <c r="K510" s="230"/>
      <c r="L510" s="230"/>
      <c r="M510" s="251"/>
    </row>
    <row r="511" spans="1:14" x14ac:dyDescent="0.35">
      <c r="A511" s="214"/>
      <c r="B511" s="30"/>
      <c r="C511" s="473"/>
      <c r="D511" s="274"/>
      <c r="E511" s="306"/>
      <c r="F511" s="251" t="s">
        <v>679</v>
      </c>
      <c r="G511" s="229"/>
      <c r="H511" s="473"/>
      <c r="I511" s="230"/>
      <c r="J511" s="230"/>
      <c r="K511" s="230"/>
      <c r="L511" s="230"/>
      <c r="M511" s="251"/>
    </row>
    <row r="512" spans="1:14" x14ac:dyDescent="0.35">
      <c r="A512" s="261">
        <v>8</v>
      </c>
      <c r="B512" s="30" t="s">
        <v>426</v>
      </c>
      <c r="C512" s="473" t="s">
        <v>431</v>
      </c>
      <c r="D512" s="274" t="s">
        <v>534</v>
      </c>
      <c r="E512" s="306">
        <v>14500</v>
      </c>
      <c r="F512" s="251" t="s">
        <v>11</v>
      </c>
      <c r="G512" s="229" t="s">
        <v>561</v>
      </c>
      <c r="H512" s="473"/>
      <c r="I512" s="230"/>
      <c r="J512" s="230"/>
      <c r="K512" s="230"/>
      <c r="L512" s="230"/>
      <c r="M512" s="251"/>
    </row>
    <row r="513" spans="1:14" x14ac:dyDescent="0.35">
      <c r="A513" s="214"/>
      <c r="B513" s="30"/>
      <c r="C513" s="298"/>
      <c r="D513" s="274"/>
      <c r="E513" s="306"/>
      <c r="F513" s="251" t="s">
        <v>679</v>
      </c>
      <c r="G513" s="229"/>
      <c r="H513" s="298"/>
      <c r="I513" s="230"/>
      <c r="J513" s="230"/>
      <c r="K513" s="230"/>
      <c r="L513" s="230"/>
      <c r="M513" s="251"/>
    </row>
    <row r="514" spans="1:14" x14ac:dyDescent="0.35">
      <c r="A514" s="214">
        <v>9</v>
      </c>
      <c r="B514" s="30" t="s">
        <v>426</v>
      </c>
      <c r="C514" s="298" t="s">
        <v>432</v>
      </c>
      <c r="D514" s="274" t="s">
        <v>534</v>
      </c>
      <c r="E514" s="306">
        <v>14500</v>
      </c>
      <c r="F514" s="251" t="s">
        <v>31</v>
      </c>
      <c r="G514" s="229" t="s">
        <v>561</v>
      </c>
      <c r="H514" s="298"/>
      <c r="I514" s="230"/>
      <c r="J514" s="230"/>
      <c r="K514" s="230"/>
      <c r="L514" s="230"/>
      <c r="M514" s="251"/>
    </row>
    <row r="515" spans="1:14" x14ac:dyDescent="0.35">
      <c r="A515" s="214"/>
      <c r="B515" s="30"/>
      <c r="C515" s="298"/>
      <c r="D515" s="274"/>
      <c r="E515" s="306"/>
      <c r="F515" s="251" t="s">
        <v>679</v>
      </c>
      <c r="G515" s="229"/>
      <c r="H515" s="298"/>
      <c r="I515" s="230"/>
      <c r="J515" s="230"/>
      <c r="K515" s="230"/>
      <c r="L515" s="230"/>
      <c r="M515" s="251"/>
      <c r="N515" s="258"/>
    </row>
    <row r="516" spans="1:14" x14ac:dyDescent="0.35">
      <c r="A516" s="214">
        <v>10</v>
      </c>
      <c r="B516" s="230" t="s">
        <v>433</v>
      </c>
      <c r="C516" s="245" t="s">
        <v>434</v>
      </c>
      <c r="D516" s="274" t="s">
        <v>535</v>
      </c>
      <c r="E516" s="498">
        <v>14500</v>
      </c>
      <c r="F516" s="253" t="s">
        <v>1021</v>
      </c>
      <c r="G516" s="229" t="s">
        <v>561</v>
      </c>
      <c r="H516" s="245"/>
      <c r="I516" s="230"/>
      <c r="J516" s="230"/>
      <c r="K516" s="230"/>
      <c r="L516" s="230"/>
      <c r="M516" s="253"/>
    </row>
    <row r="517" spans="1:14" x14ac:dyDescent="0.35">
      <c r="A517" s="214">
        <v>11</v>
      </c>
      <c r="B517" s="230" t="s">
        <v>433</v>
      </c>
      <c r="C517" s="245" t="s">
        <v>435</v>
      </c>
      <c r="D517" s="274" t="s">
        <v>535</v>
      </c>
      <c r="E517" s="498">
        <v>14500</v>
      </c>
      <c r="F517" s="253" t="s">
        <v>21</v>
      </c>
      <c r="G517" s="229" t="s">
        <v>561</v>
      </c>
      <c r="H517" s="245"/>
      <c r="I517" s="230"/>
      <c r="J517" s="230"/>
      <c r="K517" s="230"/>
      <c r="L517" s="230"/>
      <c r="M517" s="253"/>
    </row>
    <row r="518" spans="1:14" x14ac:dyDescent="0.35">
      <c r="A518" s="214"/>
      <c r="B518" s="230"/>
      <c r="C518" s="245"/>
      <c r="D518" s="274"/>
      <c r="E518" s="498"/>
      <c r="F518" s="253" t="s">
        <v>1020</v>
      </c>
      <c r="G518" s="229"/>
      <c r="H518" s="245"/>
      <c r="I518" s="230"/>
      <c r="J518" s="230"/>
      <c r="K518" s="230"/>
      <c r="L518" s="230"/>
      <c r="M518" s="253"/>
    </row>
    <row r="519" spans="1:14" x14ac:dyDescent="0.35">
      <c r="A519" s="261">
        <v>12</v>
      </c>
      <c r="B519" s="262" t="s">
        <v>433</v>
      </c>
      <c r="C519" s="260" t="s">
        <v>436</v>
      </c>
      <c r="D519" s="280" t="s">
        <v>535</v>
      </c>
      <c r="E519" s="303">
        <v>14500</v>
      </c>
      <c r="F519" s="390" t="s">
        <v>775</v>
      </c>
      <c r="G519" s="263" t="s">
        <v>561</v>
      </c>
      <c r="H519" s="260"/>
      <c r="I519" s="262"/>
      <c r="J519" s="262"/>
      <c r="K519" s="262"/>
      <c r="L519" s="262"/>
      <c r="M519" s="390"/>
    </row>
    <row r="520" spans="1:14" x14ac:dyDescent="0.35">
      <c r="A520" s="214">
        <v>13</v>
      </c>
      <c r="B520" s="230" t="s">
        <v>433</v>
      </c>
      <c r="C520" s="245" t="s">
        <v>437</v>
      </c>
      <c r="D520" s="274" t="s">
        <v>535</v>
      </c>
      <c r="E520" s="498">
        <v>14500</v>
      </c>
      <c r="F520" s="253" t="s">
        <v>27</v>
      </c>
      <c r="G520" s="229" t="s">
        <v>561</v>
      </c>
      <c r="H520" s="245"/>
      <c r="I520" s="230"/>
      <c r="J520" s="230"/>
      <c r="K520" s="230"/>
      <c r="L520" s="230"/>
      <c r="M520" s="253"/>
    </row>
    <row r="521" spans="1:14" x14ac:dyDescent="0.35">
      <c r="A521" s="214"/>
      <c r="B521" s="230"/>
      <c r="C521" s="245"/>
      <c r="D521" s="274"/>
      <c r="E521" s="498"/>
      <c r="F521" s="253" t="s">
        <v>1190</v>
      </c>
      <c r="G521" s="229"/>
      <c r="H521" s="245"/>
      <c r="I521" s="230"/>
      <c r="J521" s="230"/>
      <c r="K521" s="230"/>
      <c r="L521" s="230"/>
      <c r="M521" s="253"/>
    </row>
    <row r="522" spans="1:14" s="475" customFormat="1" x14ac:dyDescent="0.35">
      <c r="A522" s="261">
        <v>14</v>
      </c>
      <c r="B522" s="262" t="s">
        <v>433</v>
      </c>
      <c r="C522" s="299" t="s">
        <v>438</v>
      </c>
      <c r="D522" s="291" t="s">
        <v>528</v>
      </c>
      <c r="E522" s="303">
        <v>18050</v>
      </c>
      <c r="F522" s="390" t="s">
        <v>98</v>
      </c>
      <c r="G522" s="263" t="s">
        <v>561</v>
      </c>
      <c r="H522" s="260"/>
      <c r="I522" s="262"/>
      <c r="J522" s="262"/>
      <c r="K522" s="262"/>
      <c r="L522" s="262"/>
      <c r="M522" s="390"/>
    </row>
    <row r="523" spans="1:14" x14ac:dyDescent="0.35">
      <c r="A523" s="214"/>
      <c r="B523" s="230"/>
      <c r="C523" s="298"/>
      <c r="D523" s="215"/>
      <c r="E523" s="498"/>
      <c r="F523" s="253" t="s">
        <v>680</v>
      </c>
      <c r="G523" s="229"/>
      <c r="H523" s="245"/>
      <c r="I523" s="230"/>
      <c r="J523" s="230"/>
      <c r="K523" s="230"/>
      <c r="L523" s="230"/>
      <c r="M523" s="253"/>
    </row>
    <row r="524" spans="1:14" s="232" customFormat="1" x14ac:dyDescent="0.35">
      <c r="A524" s="214">
        <v>15</v>
      </c>
      <c r="B524" s="230" t="s">
        <v>433</v>
      </c>
      <c r="C524" s="298" t="s">
        <v>439</v>
      </c>
      <c r="D524" s="215" t="s">
        <v>528</v>
      </c>
      <c r="E524" s="498">
        <v>18050</v>
      </c>
      <c r="F524" s="253" t="s">
        <v>763</v>
      </c>
      <c r="G524" s="229" t="s">
        <v>561</v>
      </c>
      <c r="H524" s="245"/>
      <c r="I524" s="230"/>
      <c r="J524" s="230"/>
      <c r="K524" s="230"/>
      <c r="L524" s="230"/>
      <c r="M524" s="253"/>
    </row>
    <row r="525" spans="1:14" s="232" customFormat="1" x14ac:dyDescent="0.35">
      <c r="A525" s="214">
        <v>16</v>
      </c>
      <c r="B525" s="230" t="s">
        <v>433</v>
      </c>
      <c r="C525" s="298" t="s">
        <v>440</v>
      </c>
      <c r="D525" s="215" t="s">
        <v>528</v>
      </c>
      <c r="E525" s="498">
        <v>18050</v>
      </c>
      <c r="F525" s="253" t="s">
        <v>100</v>
      </c>
      <c r="G525" s="229" t="s">
        <v>561</v>
      </c>
      <c r="H525" s="245"/>
      <c r="I525" s="230"/>
      <c r="J525" s="230"/>
      <c r="K525" s="230"/>
      <c r="L525" s="230"/>
      <c r="M525" s="253"/>
    </row>
    <row r="526" spans="1:14" s="232" customFormat="1" x14ac:dyDescent="0.35">
      <c r="A526" s="214"/>
      <c r="B526" s="230"/>
      <c r="C526" s="298"/>
      <c r="D526" s="215"/>
      <c r="E526" s="498"/>
      <c r="F526" s="253" t="s">
        <v>680</v>
      </c>
      <c r="G526" s="229"/>
      <c r="H526" s="245"/>
      <c r="I526" s="230"/>
      <c r="J526" s="230"/>
      <c r="K526" s="230"/>
      <c r="L526" s="230"/>
      <c r="M526" s="253"/>
    </row>
    <row r="527" spans="1:14" s="232" customFormat="1" x14ac:dyDescent="0.35">
      <c r="A527" s="214">
        <v>17</v>
      </c>
      <c r="B527" s="230" t="s">
        <v>441</v>
      </c>
      <c r="C527" s="245" t="s">
        <v>687</v>
      </c>
      <c r="D527" s="215" t="s">
        <v>513</v>
      </c>
      <c r="E527" s="498">
        <v>19500</v>
      </c>
      <c r="F527" s="253" t="s">
        <v>64</v>
      </c>
      <c r="G527" s="229"/>
      <c r="H527" s="245"/>
      <c r="I527" s="229" t="s">
        <v>561</v>
      </c>
      <c r="J527" s="230"/>
      <c r="K527" s="230"/>
      <c r="L527" s="230"/>
      <c r="M527" s="253"/>
    </row>
    <row r="528" spans="1:14" s="232" customFormat="1" x14ac:dyDescent="0.35">
      <c r="A528" s="214">
        <v>18</v>
      </c>
      <c r="B528" s="230" t="s">
        <v>781</v>
      </c>
      <c r="C528" s="245" t="s">
        <v>782</v>
      </c>
      <c r="D528" s="215" t="s">
        <v>513</v>
      </c>
      <c r="E528" s="498">
        <v>11500</v>
      </c>
      <c r="F528" s="253" t="s">
        <v>64</v>
      </c>
      <c r="G528" s="219"/>
      <c r="H528" s="317"/>
      <c r="I528" s="219" t="s">
        <v>561</v>
      </c>
      <c r="J528" s="292"/>
      <c r="K528" s="292"/>
      <c r="L528" s="292"/>
      <c r="M528" s="293"/>
    </row>
    <row r="529" spans="1:14" s="232" customFormat="1" x14ac:dyDescent="0.35">
      <c r="A529" s="214">
        <v>19</v>
      </c>
      <c r="B529" s="230" t="s">
        <v>577</v>
      </c>
      <c r="C529" s="214" t="s">
        <v>578</v>
      </c>
      <c r="D529" s="215" t="s">
        <v>579</v>
      </c>
      <c r="E529" s="498">
        <v>16400</v>
      </c>
      <c r="F529" s="253" t="s">
        <v>15</v>
      </c>
      <c r="G529" s="229" t="s">
        <v>561</v>
      </c>
      <c r="H529" s="230"/>
      <c r="I529" s="230"/>
      <c r="J529" s="230"/>
      <c r="K529" s="230"/>
      <c r="L529" s="230"/>
      <c r="M529" s="253"/>
    </row>
    <row r="530" spans="1:14" s="232" customFormat="1" x14ac:dyDescent="0.35">
      <c r="A530" s="214"/>
      <c r="B530" s="230"/>
      <c r="C530" s="214"/>
      <c r="D530" s="215"/>
      <c r="E530" s="498"/>
      <c r="F530" s="253" t="s">
        <v>683</v>
      </c>
      <c r="G530" s="229"/>
      <c r="H530" s="230"/>
      <c r="I530" s="230"/>
      <c r="J530" s="230"/>
      <c r="K530" s="230"/>
      <c r="L530" s="230"/>
      <c r="M530" s="253"/>
      <c r="N530" s="574">
        <f>SUM(E509:E530)</f>
        <v>203050</v>
      </c>
    </row>
    <row r="531" spans="1:14" s="232" customFormat="1" x14ac:dyDescent="0.35">
      <c r="A531" s="544">
        <v>20</v>
      </c>
      <c r="B531" s="503" t="s">
        <v>577</v>
      </c>
      <c r="C531" s="544" t="s">
        <v>580</v>
      </c>
      <c r="D531" s="512" t="s">
        <v>579</v>
      </c>
      <c r="E531" s="513">
        <v>16400</v>
      </c>
      <c r="F531" s="503" t="s">
        <v>581</v>
      </c>
      <c r="G531" s="229" t="s">
        <v>561</v>
      </c>
      <c r="H531" s="230"/>
      <c r="I531" s="230"/>
      <c r="J531" s="230"/>
      <c r="K531" s="230"/>
      <c r="L531" s="230"/>
      <c r="M531" s="253"/>
    </row>
    <row r="532" spans="1:14" s="232" customFormat="1" ht="42" x14ac:dyDescent="0.35">
      <c r="A532" s="544"/>
      <c r="B532" s="503"/>
      <c r="C532" s="503"/>
      <c r="D532" s="512"/>
      <c r="E532" s="513"/>
      <c r="F532" s="503" t="s">
        <v>1022</v>
      </c>
      <c r="G532" s="229"/>
      <c r="H532" s="230"/>
      <c r="I532" s="230"/>
      <c r="J532" s="230"/>
      <c r="K532" s="230"/>
      <c r="L532" s="230"/>
      <c r="M532" s="253"/>
    </row>
    <row r="533" spans="1:14" s="232" customFormat="1" ht="42" x14ac:dyDescent="0.35">
      <c r="A533" s="544">
        <v>21</v>
      </c>
      <c r="B533" s="503" t="s">
        <v>577</v>
      </c>
      <c r="C533" s="544" t="s">
        <v>582</v>
      </c>
      <c r="D533" s="512" t="s">
        <v>579</v>
      </c>
      <c r="E533" s="513">
        <v>16400</v>
      </c>
      <c r="F533" s="503" t="s">
        <v>776</v>
      </c>
      <c r="G533" s="229" t="s">
        <v>561</v>
      </c>
      <c r="H533" s="230"/>
      <c r="I533" s="230"/>
      <c r="J533" s="230"/>
      <c r="K533" s="230"/>
      <c r="L533" s="230"/>
      <c r="M533" s="253"/>
    </row>
    <row r="534" spans="1:14" s="232" customFormat="1" x14ac:dyDescent="0.35">
      <c r="A534" s="544">
        <v>22</v>
      </c>
      <c r="B534" s="503" t="s">
        <v>577</v>
      </c>
      <c r="C534" s="544" t="s">
        <v>583</v>
      </c>
      <c r="D534" s="512" t="s">
        <v>579</v>
      </c>
      <c r="E534" s="513">
        <v>16400</v>
      </c>
      <c r="F534" s="503" t="s">
        <v>33</v>
      </c>
      <c r="G534" s="229" t="s">
        <v>561</v>
      </c>
      <c r="H534" s="230"/>
      <c r="I534" s="230"/>
      <c r="J534" s="230"/>
      <c r="K534" s="230"/>
      <c r="L534" s="230"/>
      <c r="M534" s="253"/>
    </row>
    <row r="535" spans="1:14" s="232" customFormat="1" x14ac:dyDescent="0.35">
      <c r="A535" s="544"/>
      <c r="B535" s="503"/>
      <c r="C535" s="544"/>
      <c r="D535" s="512"/>
      <c r="E535" s="513"/>
      <c r="F535" s="503" t="s">
        <v>680</v>
      </c>
      <c r="G535" s="229"/>
      <c r="H535" s="230"/>
      <c r="I535" s="230"/>
      <c r="J535" s="230"/>
      <c r="K535" s="230"/>
      <c r="L535" s="230"/>
      <c r="M535" s="253"/>
    </row>
    <row r="536" spans="1:14" s="232" customFormat="1" ht="42" x14ac:dyDescent="0.35">
      <c r="A536" s="544">
        <v>23</v>
      </c>
      <c r="B536" s="503" t="s">
        <v>577</v>
      </c>
      <c r="C536" s="544" t="s">
        <v>584</v>
      </c>
      <c r="D536" s="512" t="s">
        <v>579</v>
      </c>
      <c r="E536" s="513">
        <v>16400</v>
      </c>
      <c r="F536" s="503" t="s">
        <v>764</v>
      </c>
      <c r="G536" s="229" t="s">
        <v>561</v>
      </c>
      <c r="H536" s="230"/>
      <c r="I536" s="230"/>
      <c r="J536" s="230"/>
      <c r="K536" s="230"/>
      <c r="L536" s="230"/>
      <c r="M536" s="253"/>
    </row>
    <row r="537" spans="1:14" s="232" customFormat="1" x14ac:dyDescent="0.35">
      <c r="A537" s="544">
        <v>24</v>
      </c>
      <c r="B537" s="503" t="s">
        <v>577</v>
      </c>
      <c r="C537" s="544" t="s">
        <v>585</v>
      </c>
      <c r="D537" s="512" t="s">
        <v>579</v>
      </c>
      <c r="E537" s="513">
        <v>16400</v>
      </c>
      <c r="F537" s="503" t="s">
        <v>765</v>
      </c>
      <c r="G537" s="229" t="s">
        <v>561</v>
      </c>
      <c r="H537" s="230"/>
      <c r="I537" s="230"/>
      <c r="J537" s="230"/>
      <c r="K537" s="230"/>
      <c r="L537" s="230"/>
      <c r="M537" s="253"/>
    </row>
    <row r="538" spans="1:14" s="232" customFormat="1" ht="42" x14ac:dyDescent="0.35">
      <c r="A538" s="544">
        <v>25</v>
      </c>
      <c r="B538" s="503" t="s">
        <v>577</v>
      </c>
      <c r="C538" s="544" t="s">
        <v>586</v>
      </c>
      <c r="D538" s="512" t="s">
        <v>579</v>
      </c>
      <c r="E538" s="513">
        <v>16400</v>
      </c>
      <c r="F538" s="503" t="s">
        <v>766</v>
      </c>
      <c r="G538" s="229" t="s">
        <v>561</v>
      </c>
      <c r="H538" s="230"/>
      <c r="I538" s="230"/>
      <c r="J538" s="230"/>
      <c r="K538" s="230"/>
      <c r="L538" s="230"/>
      <c r="M538" s="253"/>
    </row>
    <row r="539" spans="1:14" s="232" customFormat="1" ht="42" x14ac:dyDescent="0.35">
      <c r="A539" s="544">
        <v>26</v>
      </c>
      <c r="B539" s="504" t="s">
        <v>577</v>
      </c>
      <c r="C539" s="545" t="s">
        <v>587</v>
      </c>
      <c r="D539" s="514" t="s">
        <v>579</v>
      </c>
      <c r="E539" s="515">
        <v>16400</v>
      </c>
      <c r="F539" s="504" t="s">
        <v>754</v>
      </c>
      <c r="G539" s="263" t="s">
        <v>561</v>
      </c>
      <c r="H539" s="262"/>
      <c r="I539" s="262"/>
      <c r="J539" s="262"/>
      <c r="K539" s="262"/>
      <c r="L539" s="262"/>
      <c r="M539" s="390"/>
    </row>
    <row r="540" spans="1:14" s="232" customFormat="1" ht="42" x14ac:dyDescent="0.35">
      <c r="A540" s="544">
        <v>27</v>
      </c>
      <c r="B540" s="503" t="s">
        <v>577</v>
      </c>
      <c r="C540" s="544" t="s">
        <v>588</v>
      </c>
      <c r="D540" s="512" t="s">
        <v>579</v>
      </c>
      <c r="E540" s="513">
        <v>16400</v>
      </c>
      <c r="F540" s="503" t="s">
        <v>755</v>
      </c>
      <c r="G540" s="229" t="s">
        <v>561</v>
      </c>
      <c r="H540" s="230"/>
      <c r="I540" s="230"/>
      <c r="J540" s="230"/>
      <c r="K540" s="230"/>
      <c r="L540" s="230"/>
      <c r="M540" s="253"/>
    </row>
    <row r="541" spans="1:14" s="233" customFormat="1" ht="42" x14ac:dyDescent="0.35">
      <c r="A541" s="544">
        <v>28</v>
      </c>
      <c r="B541" s="503" t="s">
        <v>577</v>
      </c>
      <c r="C541" s="544" t="s">
        <v>589</v>
      </c>
      <c r="D541" s="512" t="s">
        <v>579</v>
      </c>
      <c r="E541" s="513">
        <v>16400</v>
      </c>
      <c r="F541" s="503" t="s">
        <v>863</v>
      </c>
      <c r="G541" s="229" t="s">
        <v>561</v>
      </c>
      <c r="H541" s="230"/>
      <c r="I541" s="230"/>
      <c r="J541" s="230"/>
      <c r="K541" s="230"/>
      <c r="L541" s="230"/>
      <c r="M541" s="253"/>
    </row>
    <row r="542" spans="1:14" s="233" customFormat="1" ht="42" x14ac:dyDescent="0.35">
      <c r="A542" s="544">
        <v>29</v>
      </c>
      <c r="B542" s="504" t="s">
        <v>577</v>
      </c>
      <c r="C542" s="545" t="s">
        <v>590</v>
      </c>
      <c r="D542" s="514" t="s">
        <v>579</v>
      </c>
      <c r="E542" s="515">
        <v>16400</v>
      </c>
      <c r="F542" s="504" t="s">
        <v>777</v>
      </c>
      <c r="G542" s="263" t="s">
        <v>561</v>
      </c>
      <c r="H542" s="262"/>
      <c r="I542" s="262"/>
      <c r="J542" s="262"/>
      <c r="K542" s="262"/>
      <c r="L542" s="262"/>
      <c r="M542" s="390"/>
    </row>
    <row r="543" spans="1:14" s="233" customFormat="1" ht="42" x14ac:dyDescent="0.35">
      <c r="A543" s="544">
        <v>30</v>
      </c>
      <c r="B543" s="504" t="s">
        <v>577</v>
      </c>
      <c r="C543" s="545" t="s">
        <v>591</v>
      </c>
      <c r="D543" s="514" t="s">
        <v>579</v>
      </c>
      <c r="E543" s="515">
        <v>16400</v>
      </c>
      <c r="F543" s="504" t="s">
        <v>778</v>
      </c>
      <c r="G543" s="263" t="s">
        <v>561</v>
      </c>
      <c r="H543" s="262"/>
      <c r="I543" s="262"/>
      <c r="J543" s="262"/>
      <c r="K543" s="262"/>
      <c r="L543" s="262"/>
      <c r="M543" s="390"/>
      <c r="N543" s="573">
        <f>SUM(E531:E543)</f>
        <v>180400</v>
      </c>
    </row>
    <row r="544" spans="1:14" s="233" customFormat="1" ht="42" x14ac:dyDescent="0.35">
      <c r="A544" s="544">
        <v>31</v>
      </c>
      <c r="B544" s="503" t="s">
        <v>577</v>
      </c>
      <c r="C544" s="544" t="s">
        <v>592</v>
      </c>
      <c r="D544" s="512" t="s">
        <v>579</v>
      </c>
      <c r="E544" s="513">
        <v>16400</v>
      </c>
      <c r="F544" s="503" t="s">
        <v>758</v>
      </c>
      <c r="G544" s="229" t="s">
        <v>561</v>
      </c>
      <c r="H544" s="230"/>
      <c r="I544" s="230"/>
      <c r="J544" s="230"/>
      <c r="K544" s="230"/>
      <c r="L544" s="230"/>
      <c r="M544" s="253"/>
      <c r="N544" s="273"/>
    </row>
    <row r="545" spans="1:16" ht="42" x14ac:dyDescent="0.35">
      <c r="A545" s="544">
        <v>32</v>
      </c>
      <c r="B545" s="503" t="s">
        <v>577</v>
      </c>
      <c r="C545" s="544" t="s">
        <v>593</v>
      </c>
      <c r="D545" s="512" t="s">
        <v>579</v>
      </c>
      <c r="E545" s="513">
        <v>16400</v>
      </c>
      <c r="F545" s="503" t="s">
        <v>759</v>
      </c>
      <c r="G545" s="229" t="s">
        <v>561</v>
      </c>
      <c r="H545" s="230"/>
      <c r="I545" s="230"/>
      <c r="J545" s="230"/>
      <c r="K545" s="230"/>
      <c r="L545" s="230"/>
      <c r="M545" s="253"/>
      <c r="O545" s="258"/>
      <c r="P545" s="479">
        <f>+N544+N515+N497+N481+N466+N435+N404+N373+N342+N311+N280+N249+N218+N187+N156+N125+N94+N63+N32</f>
        <v>15180</v>
      </c>
    </row>
    <row r="546" spans="1:16" x14ac:dyDescent="0.35">
      <c r="A546" s="544">
        <v>33</v>
      </c>
      <c r="B546" s="503" t="s">
        <v>743</v>
      </c>
      <c r="C546" s="687" t="s">
        <v>744</v>
      </c>
      <c r="D546" s="512" t="s">
        <v>741</v>
      </c>
      <c r="E546" s="516">
        <v>15850</v>
      </c>
      <c r="F546" s="517" t="s">
        <v>685</v>
      </c>
      <c r="G546" s="229" t="s">
        <v>561</v>
      </c>
      <c r="H546" s="302"/>
      <c r="I546" s="262"/>
      <c r="J546" s="262"/>
      <c r="K546" s="262"/>
      <c r="L546" s="262"/>
      <c r="M546" s="253"/>
    </row>
    <row r="547" spans="1:16" x14ac:dyDescent="0.35">
      <c r="A547" s="544">
        <v>34</v>
      </c>
      <c r="B547" s="504" t="s">
        <v>743</v>
      </c>
      <c r="C547" s="688" t="s">
        <v>745</v>
      </c>
      <c r="D547" s="518" t="s">
        <v>741</v>
      </c>
      <c r="E547" s="519">
        <v>15850</v>
      </c>
      <c r="F547" s="504" t="s">
        <v>753</v>
      </c>
      <c r="G547" s="229" t="s">
        <v>561</v>
      </c>
      <c r="H547" s="302"/>
      <c r="I547" s="262"/>
      <c r="J547" s="262"/>
      <c r="K547" s="262"/>
      <c r="L547" s="262"/>
      <c r="M547" s="253"/>
    </row>
    <row r="548" spans="1:16" x14ac:dyDescent="0.35">
      <c r="A548" s="544">
        <v>35</v>
      </c>
      <c r="B548" s="505" t="s">
        <v>743</v>
      </c>
      <c r="C548" s="689" t="s">
        <v>746</v>
      </c>
      <c r="D548" s="520" t="s">
        <v>741</v>
      </c>
      <c r="E548" s="521">
        <v>15850</v>
      </c>
      <c r="F548" s="505" t="s">
        <v>148</v>
      </c>
      <c r="G548" s="229" t="s">
        <v>561</v>
      </c>
      <c r="H548" s="302"/>
      <c r="I548" s="262"/>
      <c r="J548" s="262"/>
      <c r="K548" s="262"/>
      <c r="L548" s="262"/>
      <c r="M548" s="253"/>
    </row>
    <row r="549" spans="1:16" x14ac:dyDescent="0.35">
      <c r="A549" s="544">
        <v>36</v>
      </c>
      <c r="B549" s="503" t="s">
        <v>743</v>
      </c>
      <c r="C549" s="544" t="s">
        <v>747</v>
      </c>
      <c r="D549" s="512" t="s">
        <v>741</v>
      </c>
      <c r="E549" s="522">
        <v>15850</v>
      </c>
      <c r="F549" s="503" t="s">
        <v>166</v>
      </c>
      <c r="G549" s="229" t="s">
        <v>561</v>
      </c>
      <c r="H549" s="302"/>
      <c r="I549" s="262"/>
      <c r="J549" s="262"/>
      <c r="K549" s="262"/>
      <c r="L549" s="262"/>
      <c r="M549" s="253"/>
    </row>
    <row r="550" spans="1:16" x14ac:dyDescent="0.35">
      <c r="A550" s="544">
        <v>37</v>
      </c>
      <c r="B550" s="503" t="s">
        <v>743</v>
      </c>
      <c r="C550" s="544" t="s">
        <v>748</v>
      </c>
      <c r="D550" s="512" t="s">
        <v>741</v>
      </c>
      <c r="E550" s="522">
        <v>15850</v>
      </c>
      <c r="F550" s="503" t="s">
        <v>299</v>
      </c>
      <c r="G550" s="229" t="s">
        <v>561</v>
      </c>
      <c r="H550" s="302"/>
      <c r="I550" s="262"/>
      <c r="J550" s="262"/>
      <c r="K550" s="262"/>
      <c r="L550" s="262"/>
      <c r="M550" s="253"/>
    </row>
    <row r="551" spans="1:16" x14ac:dyDescent="0.35">
      <c r="A551" s="544">
        <v>38</v>
      </c>
      <c r="B551" s="503" t="s">
        <v>743</v>
      </c>
      <c r="C551" s="544" t="s">
        <v>749</v>
      </c>
      <c r="D551" s="512" t="s">
        <v>741</v>
      </c>
      <c r="E551" s="522">
        <v>15850</v>
      </c>
      <c r="F551" s="503" t="s">
        <v>86</v>
      </c>
      <c r="G551" s="229" t="s">
        <v>561</v>
      </c>
      <c r="H551" s="302"/>
      <c r="I551" s="262"/>
      <c r="J551" s="262"/>
      <c r="K551" s="262"/>
      <c r="L551" s="262"/>
      <c r="M551" s="253"/>
    </row>
    <row r="552" spans="1:16" x14ac:dyDescent="0.35">
      <c r="A552" s="544">
        <v>39</v>
      </c>
      <c r="B552" s="503" t="s">
        <v>743</v>
      </c>
      <c r="C552" s="544" t="s">
        <v>750</v>
      </c>
      <c r="D552" s="512" t="s">
        <v>741</v>
      </c>
      <c r="E552" s="522">
        <v>15850</v>
      </c>
      <c r="F552" s="503" t="s">
        <v>97</v>
      </c>
      <c r="G552" s="229" t="s">
        <v>561</v>
      </c>
      <c r="H552" s="302"/>
      <c r="I552" s="262"/>
      <c r="J552" s="262"/>
      <c r="K552" s="262"/>
      <c r="L552" s="262"/>
      <c r="M552" s="253"/>
    </row>
    <row r="553" spans="1:16" x14ac:dyDescent="0.35">
      <c r="A553" s="544">
        <v>40</v>
      </c>
      <c r="B553" s="503" t="s">
        <v>743</v>
      </c>
      <c r="C553" s="544" t="s">
        <v>751</v>
      </c>
      <c r="D553" s="512" t="s">
        <v>741</v>
      </c>
      <c r="E553" s="522">
        <v>15850</v>
      </c>
      <c r="F553" s="503" t="s">
        <v>200</v>
      </c>
      <c r="G553" s="229" t="s">
        <v>561</v>
      </c>
      <c r="H553" s="302"/>
      <c r="I553" s="262"/>
      <c r="J553" s="262"/>
      <c r="K553" s="262"/>
      <c r="L553" s="262"/>
      <c r="M553" s="253"/>
    </row>
    <row r="554" spans="1:16" x14ac:dyDescent="0.35">
      <c r="A554" s="544">
        <v>41</v>
      </c>
      <c r="B554" s="503" t="s">
        <v>743</v>
      </c>
      <c r="C554" s="544" t="s">
        <v>752</v>
      </c>
      <c r="D554" s="512" t="s">
        <v>741</v>
      </c>
      <c r="E554" s="522">
        <v>15850</v>
      </c>
      <c r="F554" s="503" t="s">
        <v>686</v>
      </c>
      <c r="G554" s="229" t="s">
        <v>561</v>
      </c>
      <c r="H554" s="302"/>
      <c r="I554" s="262"/>
      <c r="J554" s="262"/>
      <c r="K554" s="262"/>
      <c r="L554" s="262"/>
      <c r="M554" s="253"/>
    </row>
    <row r="555" spans="1:16" x14ac:dyDescent="0.35">
      <c r="A555" s="544">
        <v>42</v>
      </c>
      <c r="B555" s="503" t="s">
        <v>858</v>
      </c>
      <c r="C555" s="687" t="s">
        <v>860</v>
      </c>
      <c r="D555" s="518" t="s">
        <v>827</v>
      </c>
      <c r="E555" s="519">
        <v>36000</v>
      </c>
      <c r="F555" s="503" t="s">
        <v>828</v>
      </c>
      <c r="G555" s="219" t="s">
        <v>561</v>
      </c>
      <c r="H555" s="477"/>
      <c r="I555" s="318"/>
      <c r="J555" s="318"/>
      <c r="K555" s="318"/>
      <c r="L555" s="318"/>
      <c r="M555" s="293"/>
    </row>
    <row r="556" spans="1:16" x14ac:dyDescent="0.35">
      <c r="A556" s="545"/>
      <c r="B556" s="504" t="s">
        <v>859</v>
      </c>
      <c r="C556" s="688"/>
      <c r="D556" s="518"/>
      <c r="E556" s="519"/>
      <c r="F556" s="503"/>
      <c r="G556" s="478"/>
      <c r="H556" s="477"/>
      <c r="I556" s="318"/>
      <c r="J556" s="318"/>
      <c r="K556" s="318"/>
      <c r="L556" s="318"/>
      <c r="M556" s="293"/>
    </row>
    <row r="557" spans="1:16" x14ac:dyDescent="0.35">
      <c r="A557" s="545">
        <v>43</v>
      </c>
      <c r="B557" s="504" t="s">
        <v>861</v>
      </c>
      <c r="C557" s="688" t="s">
        <v>1024</v>
      </c>
      <c r="D557" s="518" t="s">
        <v>827</v>
      </c>
      <c r="E557" s="519">
        <v>9500</v>
      </c>
      <c r="F557" s="503" t="s">
        <v>828</v>
      </c>
      <c r="G557" s="219" t="s">
        <v>561</v>
      </c>
      <c r="H557" s="477"/>
      <c r="I557" s="318"/>
      <c r="J557" s="318"/>
      <c r="K557" s="318"/>
      <c r="L557" s="318"/>
      <c r="M557" s="293"/>
    </row>
    <row r="558" spans="1:16" x14ac:dyDescent="0.35">
      <c r="A558" s="545"/>
      <c r="B558" s="523" t="s">
        <v>862</v>
      </c>
      <c r="C558" s="690"/>
      <c r="D558" s="524"/>
      <c r="E558" s="525"/>
      <c r="F558" s="511"/>
      <c r="G558" s="319"/>
      <c r="H558" s="477"/>
      <c r="I558" s="318"/>
      <c r="J558" s="318"/>
      <c r="K558" s="318"/>
      <c r="L558" s="318"/>
      <c r="M558" s="293"/>
    </row>
    <row r="559" spans="1:16" s="700" customFormat="1" ht="42" x14ac:dyDescent="0.35">
      <c r="A559" s="834">
        <v>44</v>
      </c>
      <c r="B559" s="835" t="s">
        <v>1336</v>
      </c>
      <c r="C559" s="834" t="s">
        <v>1318</v>
      </c>
      <c r="D559" s="836" t="s">
        <v>1337</v>
      </c>
      <c r="E559" s="837">
        <v>22500</v>
      </c>
      <c r="F559" s="838" t="s">
        <v>64</v>
      </c>
      <c r="G559" s="635" t="s">
        <v>561</v>
      </c>
      <c r="H559" s="839"/>
      <c r="I559" s="840"/>
      <c r="J559" s="840"/>
      <c r="K559" s="840"/>
      <c r="L559" s="840"/>
      <c r="M559" s="841"/>
    </row>
    <row r="560" spans="1:16" s="700" customFormat="1" ht="42" x14ac:dyDescent="0.35">
      <c r="A560" s="834">
        <v>45</v>
      </c>
      <c r="B560" s="835" t="s">
        <v>1338</v>
      </c>
      <c r="C560" s="834" t="s">
        <v>1319</v>
      </c>
      <c r="D560" s="836" t="s">
        <v>1337</v>
      </c>
      <c r="E560" s="837">
        <v>19500</v>
      </c>
      <c r="F560" s="838" t="s">
        <v>64</v>
      </c>
      <c r="G560" s="635" t="s">
        <v>561</v>
      </c>
      <c r="H560" s="839"/>
      <c r="I560" s="840"/>
      <c r="J560" s="840"/>
      <c r="K560" s="840"/>
      <c r="L560" s="840"/>
      <c r="M560" s="841"/>
    </row>
    <row r="561" spans="1:13" s="700" customFormat="1" ht="42" x14ac:dyDescent="0.35">
      <c r="A561" s="834">
        <v>46</v>
      </c>
      <c r="B561" s="835" t="s">
        <v>1339</v>
      </c>
      <c r="C561" s="834" t="s">
        <v>1320</v>
      </c>
      <c r="D561" s="836" t="s">
        <v>1337</v>
      </c>
      <c r="E561" s="837">
        <v>21900</v>
      </c>
      <c r="F561" s="838" t="s">
        <v>1358</v>
      </c>
      <c r="G561" s="635" t="s">
        <v>561</v>
      </c>
      <c r="H561" s="839"/>
      <c r="I561" s="840"/>
      <c r="J561" s="840"/>
      <c r="K561" s="840"/>
      <c r="L561" s="840"/>
      <c r="M561" s="841"/>
    </row>
    <row r="562" spans="1:13" s="700" customFormat="1" ht="42" x14ac:dyDescent="0.35">
      <c r="A562" s="834">
        <v>47</v>
      </c>
      <c r="B562" s="835" t="s">
        <v>1339</v>
      </c>
      <c r="C562" s="834" t="s">
        <v>1321</v>
      </c>
      <c r="D562" s="836" t="s">
        <v>1337</v>
      </c>
      <c r="E562" s="837">
        <v>21900</v>
      </c>
      <c r="F562" s="838" t="s">
        <v>1359</v>
      </c>
      <c r="G562" s="635" t="s">
        <v>561</v>
      </c>
      <c r="H562" s="839"/>
      <c r="I562" s="840"/>
      <c r="J562" s="840"/>
      <c r="K562" s="840"/>
      <c r="L562" s="840"/>
      <c r="M562" s="841"/>
    </row>
    <row r="563" spans="1:13" s="700" customFormat="1" ht="42" x14ac:dyDescent="0.35">
      <c r="A563" s="834">
        <v>48</v>
      </c>
      <c r="B563" s="835" t="s">
        <v>1339</v>
      </c>
      <c r="C563" s="834" t="s">
        <v>1322</v>
      </c>
      <c r="D563" s="836" t="s">
        <v>1337</v>
      </c>
      <c r="E563" s="837">
        <v>21900</v>
      </c>
      <c r="F563" s="838" t="s">
        <v>1360</v>
      </c>
      <c r="G563" s="635" t="s">
        <v>561</v>
      </c>
      <c r="H563" s="839"/>
      <c r="I563" s="840"/>
      <c r="J563" s="840"/>
      <c r="K563" s="840"/>
      <c r="L563" s="840"/>
      <c r="M563" s="841"/>
    </row>
    <row r="564" spans="1:13" s="700" customFormat="1" ht="42" x14ac:dyDescent="0.35">
      <c r="A564" s="834">
        <v>49</v>
      </c>
      <c r="B564" s="835" t="s">
        <v>1339</v>
      </c>
      <c r="C564" s="834" t="s">
        <v>1323</v>
      </c>
      <c r="D564" s="836" t="s">
        <v>1337</v>
      </c>
      <c r="E564" s="837">
        <v>21900</v>
      </c>
      <c r="F564" s="838" t="s">
        <v>1361</v>
      </c>
      <c r="G564" s="635" t="s">
        <v>561</v>
      </c>
      <c r="H564" s="839"/>
      <c r="I564" s="840"/>
      <c r="J564" s="840"/>
      <c r="K564" s="840"/>
      <c r="L564" s="840"/>
      <c r="M564" s="841"/>
    </row>
    <row r="565" spans="1:13" s="700" customFormat="1" ht="42" x14ac:dyDescent="0.35">
      <c r="A565" s="834">
        <v>50</v>
      </c>
      <c r="B565" s="835" t="s">
        <v>1339</v>
      </c>
      <c r="C565" s="834" t="s">
        <v>1324</v>
      </c>
      <c r="D565" s="836" t="s">
        <v>1337</v>
      </c>
      <c r="E565" s="837">
        <v>21900</v>
      </c>
      <c r="F565" s="838" t="s">
        <v>1362</v>
      </c>
      <c r="G565" s="635" t="s">
        <v>561</v>
      </c>
      <c r="H565" s="839"/>
      <c r="I565" s="840"/>
      <c r="J565" s="840"/>
      <c r="K565" s="840"/>
      <c r="L565" s="840"/>
      <c r="M565" s="841"/>
    </row>
    <row r="566" spans="1:13" s="700" customFormat="1" ht="42" x14ac:dyDescent="0.35">
      <c r="A566" s="834">
        <v>51</v>
      </c>
      <c r="B566" s="835" t="s">
        <v>1339</v>
      </c>
      <c r="C566" s="834" t="s">
        <v>1325</v>
      </c>
      <c r="D566" s="836" t="s">
        <v>1337</v>
      </c>
      <c r="E566" s="837">
        <v>21900</v>
      </c>
      <c r="F566" s="838" t="s">
        <v>1363</v>
      </c>
      <c r="G566" s="635" t="s">
        <v>561</v>
      </c>
      <c r="H566" s="839"/>
      <c r="I566" s="840"/>
      <c r="J566" s="840"/>
      <c r="K566" s="840"/>
      <c r="L566" s="840"/>
      <c r="M566" s="841"/>
    </row>
    <row r="567" spans="1:13" s="700" customFormat="1" ht="42" x14ac:dyDescent="0.35">
      <c r="A567" s="834">
        <v>52</v>
      </c>
      <c r="B567" s="835" t="s">
        <v>1339</v>
      </c>
      <c r="C567" s="834" t="s">
        <v>1326</v>
      </c>
      <c r="D567" s="836" t="s">
        <v>1337</v>
      </c>
      <c r="E567" s="837">
        <v>21900</v>
      </c>
      <c r="F567" s="838" t="s">
        <v>1364</v>
      </c>
      <c r="G567" s="635" t="s">
        <v>561</v>
      </c>
      <c r="H567" s="839"/>
      <c r="I567" s="840"/>
      <c r="J567" s="840"/>
      <c r="K567" s="840"/>
      <c r="L567" s="840"/>
      <c r="M567" s="841"/>
    </row>
    <row r="568" spans="1:13" s="700" customFormat="1" ht="42" x14ac:dyDescent="0.35">
      <c r="A568" s="834">
        <v>53</v>
      </c>
      <c r="B568" s="835" t="s">
        <v>1339</v>
      </c>
      <c r="C568" s="834" t="s">
        <v>1327</v>
      </c>
      <c r="D568" s="836" t="s">
        <v>1337</v>
      </c>
      <c r="E568" s="837">
        <v>21900</v>
      </c>
      <c r="F568" s="838" t="s">
        <v>1365</v>
      </c>
      <c r="G568" s="635" t="s">
        <v>561</v>
      </c>
      <c r="H568" s="839"/>
      <c r="I568" s="840"/>
      <c r="J568" s="840"/>
      <c r="K568" s="840"/>
      <c r="L568" s="840"/>
      <c r="M568" s="841"/>
    </row>
    <row r="569" spans="1:13" s="700" customFormat="1" ht="42" x14ac:dyDescent="0.35">
      <c r="A569" s="834">
        <v>54</v>
      </c>
      <c r="B569" s="835" t="s">
        <v>1339</v>
      </c>
      <c r="C569" s="834" t="s">
        <v>1328</v>
      </c>
      <c r="D569" s="836" t="s">
        <v>1337</v>
      </c>
      <c r="E569" s="837">
        <v>21900</v>
      </c>
      <c r="F569" s="838" t="s">
        <v>1366</v>
      </c>
      <c r="G569" s="635" t="s">
        <v>561</v>
      </c>
      <c r="H569" s="839"/>
      <c r="I569" s="840"/>
      <c r="J569" s="840"/>
      <c r="K569" s="840"/>
      <c r="L569" s="840"/>
      <c r="M569" s="841"/>
    </row>
    <row r="570" spans="1:13" s="700" customFormat="1" ht="42" x14ac:dyDescent="0.35">
      <c r="A570" s="834">
        <v>55</v>
      </c>
      <c r="B570" s="835" t="s">
        <v>1339</v>
      </c>
      <c r="C570" s="834" t="s">
        <v>1329</v>
      </c>
      <c r="D570" s="836" t="s">
        <v>1337</v>
      </c>
      <c r="E570" s="837">
        <v>21900</v>
      </c>
      <c r="F570" s="838" t="s">
        <v>1367</v>
      </c>
      <c r="G570" s="635" t="s">
        <v>561</v>
      </c>
      <c r="H570" s="839"/>
      <c r="I570" s="840"/>
      <c r="J570" s="840"/>
      <c r="K570" s="840"/>
      <c r="L570" s="840"/>
      <c r="M570" s="841"/>
    </row>
    <row r="571" spans="1:13" s="700" customFormat="1" ht="42" x14ac:dyDescent="0.35">
      <c r="A571" s="834">
        <v>56</v>
      </c>
      <c r="B571" s="835" t="s">
        <v>1339</v>
      </c>
      <c r="C571" s="834" t="s">
        <v>1330</v>
      </c>
      <c r="D571" s="836" t="s">
        <v>1337</v>
      </c>
      <c r="E571" s="837">
        <v>21900</v>
      </c>
      <c r="F571" s="838" t="s">
        <v>1368</v>
      </c>
      <c r="G571" s="635" t="s">
        <v>561</v>
      </c>
      <c r="H571" s="839"/>
      <c r="I571" s="840"/>
      <c r="J571" s="840"/>
      <c r="K571" s="840"/>
      <c r="L571" s="840"/>
      <c r="M571" s="841"/>
    </row>
    <row r="572" spans="1:13" s="700" customFormat="1" ht="42" x14ac:dyDescent="0.35">
      <c r="A572" s="834">
        <v>57</v>
      </c>
      <c r="B572" s="835" t="s">
        <v>1339</v>
      </c>
      <c r="C572" s="834" t="s">
        <v>1331</v>
      </c>
      <c r="D572" s="836" t="s">
        <v>1337</v>
      </c>
      <c r="E572" s="837">
        <v>21900</v>
      </c>
      <c r="F572" s="838" t="s">
        <v>1369</v>
      </c>
      <c r="G572" s="635" t="s">
        <v>561</v>
      </c>
      <c r="H572" s="839"/>
      <c r="I572" s="840"/>
      <c r="J572" s="840"/>
      <c r="K572" s="840"/>
      <c r="L572" s="840"/>
      <c r="M572" s="841"/>
    </row>
    <row r="573" spans="1:13" s="700" customFormat="1" ht="42" x14ac:dyDescent="0.35">
      <c r="A573" s="834">
        <v>58</v>
      </c>
      <c r="B573" s="835" t="s">
        <v>1339</v>
      </c>
      <c r="C573" s="834" t="s">
        <v>1332</v>
      </c>
      <c r="D573" s="836" t="s">
        <v>1337</v>
      </c>
      <c r="E573" s="837">
        <v>21900</v>
      </c>
      <c r="F573" s="838" t="s">
        <v>1370</v>
      </c>
      <c r="G573" s="635" t="s">
        <v>561</v>
      </c>
      <c r="H573" s="839"/>
      <c r="I573" s="840"/>
      <c r="J573" s="840"/>
      <c r="K573" s="840"/>
      <c r="L573" s="840"/>
      <c r="M573" s="841"/>
    </row>
    <row r="574" spans="1:13" s="700" customFormat="1" ht="42" x14ac:dyDescent="0.35">
      <c r="A574" s="834">
        <v>59</v>
      </c>
      <c r="B574" s="835" t="s">
        <v>1339</v>
      </c>
      <c r="C574" s="834" t="s">
        <v>1333</v>
      </c>
      <c r="D574" s="836" t="s">
        <v>1337</v>
      </c>
      <c r="E574" s="837">
        <v>21900</v>
      </c>
      <c r="F574" s="838" t="s">
        <v>1371</v>
      </c>
      <c r="G574" s="635" t="s">
        <v>561</v>
      </c>
      <c r="H574" s="839"/>
      <c r="I574" s="840"/>
      <c r="J574" s="840"/>
      <c r="K574" s="840"/>
      <c r="L574" s="840"/>
      <c r="M574" s="841"/>
    </row>
    <row r="575" spans="1:13" s="700" customFormat="1" ht="42" x14ac:dyDescent="0.35">
      <c r="A575" s="834">
        <v>60</v>
      </c>
      <c r="B575" s="835" t="s">
        <v>1339</v>
      </c>
      <c r="C575" s="834" t="s">
        <v>1334</v>
      </c>
      <c r="D575" s="836" t="s">
        <v>1337</v>
      </c>
      <c r="E575" s="837">
        <v>21900</v>
      </c>
      <c r="F575" s="838" t="s">
        <v>1372</v>
      </c>
      <c r="G575" s="635" t="s">
        <v>561</v>
      </c>
      <c r="H575" s="839"/>
      <c r="I575" s="840"/>
      <c r="J575" s="840"/>
      <c r="K575" s="840"/>
      <c r="L575" s="840"/>
      <c r="M575" s="841"/>
    </row>
    <row r="576" spans="1:13" s="700" customFormat="1" ht="22.5" customHeight="1" x14ac:dyDescent="0.35">
      <c r="A576" s="834">
        <v>61</v>
      </c>
      <c r="B576" s="835" t="s">
        <v>1340</v>
      </c>
      <c r="C576" s="834" t="s">
        <v>1335</v>
      </c>
      <c r="D576" s="836" t="s">
        <v>1337</v>
      </c>
      <c r="E576" s="837">
        <v>15000</v>
      </c>
      <c r="F576" s="838" t="s">
        <v>64</v>
      </c>
      <c r="G576" s="635" t="s">
        <v>561</v>
      </c>
      <c r="H576" s="839"/>
      <c r="I576" s="840"/>
      <c r="J576" s="840"/>
      <c r="K576" s="840"/>
      <c r="L576" s="840"/>
      <c r="M576" s="841"/>
    </row>
    <row r="577" spans="1:15" s="700" customFormat="1" ht="21.75" thickBot="1" x14ac:dyDescent="0.4">
      <c r="A577" s="842"/>
      <c r="B577" s="843"/>
      <c r="C577" s="844"/>
      <c r="D577" s="845" t="s">
        <v>505</v>
      </c>
      <c r="E577" s="846">
        <f>SUM(E498:F576)</f>
        <v>1069400</v>
      </c>
      <c r="F577" s="847"/>
      <c r="G577" s="848"/>
      <c r="H577" s="848"/>
      <c r="I577" s="848"/>
      <c r="J577" s="848"/>
      <c r="K577" s="848"/>
      <c r="L577" s="848"/>
      <c r="M577" s="849"/>
    </row>
    <row r="578" spans="1:15" ht="21.75" thickTop="1" x14ac:dyDescent="0.35">
      <c r="A578" s="261"/>
      <c r="B578" s="300" t="s">
        <v>560</v>
      </c>
      <c r="C578" s="260"/>
      <c r="D578" s="261"/>
      <c r="E578" s="303"/>
      <c r="F578" s="480"/>
      <c r="G578" s="262"/>
      <c r="H578" s="302"/>
      <c r="I578" s="262"/>
      <c r="J578" s="262"/>
      <c r="K578" s="262"/>
      <c r="L578" s="262"/>
      <c r="M578" s="480"/>
    </row>
    <row r="579" spans="1:15" x14ac:dyDescent="0.35">
      <c r="A579" s="546">
        <v>1</v>
      </c>
      <c r="B579" s="508" t="s">
        <v>572</v>
      </c>
      <c r="C579" s="691" t="s">
        <v>442</v>
      </c>
      <c r="D579" s="508" t="s">
        <v>373</v>
      </c>
      <c r="E579" s="510">
        <v>1990</v>
      </c>
      <c r="F579" s="503" t="s">
        <v>98</v>
      </c>
      <c r="G579" s="229" t="s">
        <v>561</v>
      </c>
      <c r="H579" s="229"/>
      <c r="I579" s="230"/>
      <c r="J579" s="230"/>
      <c r="K579" s="230"/>
      <c r="L579" s="230"/>
      <c r="M579" s="253"/>
    </row>
    <row r="580" spans="1:15" ht="42" x14ac:dyDescent="0.35">
      <c r="A580" s="506"/>
      <c r="B580" s="508"/>
      <c r="C580" s="509"/>
      <c r="D580" s="508"/>
      <c r="E580" s="510"/>
      <c r="F580" s="503" t="s">
        <v>684</v>
      </c>
      <c r="G580" s="229"/>
      <c r="H580" s="245"/>
      <c r="I580" s="230"/>
      <c r="J580" s="230"/>
      <c r="K580" s="230"/>
      <c r="L580" s="230"/>
      <c r="M580" s="253"/>
    </row>
    <row r="581" spans="1:15" ht="42" x14ac:dyDescent="0.35">
      <c r="A581" s="214">
        <v>2</v>
      </c>
      <c r="B581" s="213" t="s">
        <v>572</v>
      </c>
      <c r="C581" s="245" t="s">
        <v>443</v>
      </c>
      <c r="D581" s="215" t="s">
        <v>373</v>
      </c>
      <c r="E581" s="311">
        <v>1990</v>
      </c>
      <c r="F581" s="503" t="s">
        <v>763</v>
      </c>
      <c r="G581" s="229" t="s">
        <v>561</v>
      </c>
      <c r="H581" s="229"/>
      <c r="I581" s="230"/>
      <c r="J581" s="230"/>
      <c r="K581" s="230"/>
      <c r="L581" s="230"/>
      <c r="M581" s="253"/>
    </row>
    <row r="582" spans="1:15" x14ac:dyDescent="0.35">
      <c r="A582" s="214">
        <v>3</v>
      </c>
      <c r="B582" s="213" t="s">
        <v>572</v>
      </c>
      <c r="C582" s="245" t="s">
        <v>444</v>
      </c>
      <c r="D582" s="215" t="s">
        <v>373</v>
      </c>
      <c r="E582" s="311">
        <v>1990</v>
      </c>
      <c r="F582" s="503" t="s">
        <v>100</v>
      </c>
      <c r="G582" s="229" t="s">
        <v>561</v>
      </c>
      <c r="H582" s="229"/>
      <c r="I582" s="230"/>
      <c r="J582" s="230"/>
      <c r="K582" s="230"/>
      <c r="L582" s="230"/>
      <c r="M582" s="253"/>
    </row>
    <row r="583" spans="1:15" ht="42" x14ac:dyDescent="0.35">
      <c r="A583" s="214"/>
      <c r="B583" s="213"/>
      <c r="C583" s="245"/>
      <c r="D583" s="215"/>
      <c r="E583" s="311"/>
      <c r="F583" s="503" t="s">
        <v>682</v>
      </c>
      <c r="G583" s="229"/>
      <c r="H583" s="245"/>
      <c r="I583" s="230"/>
      <c r="J583" s="230"/>
      <c r="K583" s="230"/>
      <c r="L583" s="230"/>
      <c r="M583" s="253"/>
      <c r="N583" s="258"/>
    </row>
    <row r="584" spans="1:15" ht="42" x14ac:dyDescent="0.35">
      <c r="A584" s="214">
        <v>4</v>
      </c>
      <c r="B584" s="213" t="s">
        <v>594</v>
      </c>
      <c r="C584" s="214" t="s">
        <v>595</v>
      </c>
      <c r="D584" s="215" t="s">
        <v>579</v>
      </c>
      <c r="E584" s="498">
        <v>1200</v>
      </c>
      <c r="F584" s="503" t="s">
        <v>760</v>
      </c>
      <c r="G584" s="229" t="s">
        <v>561</v>
      </c>
      <c r="H584" s="230"/>
      <c r="I584" s="230"/>
      <c r="J584" s="230"/>
      <c r="K584" s="230"/>
      <c r="L584" s="230"/>
      <c r="M584" s="253"/>
    </row>
    <row r="585" spans="1:15" ht="42" x14ac:dyDescent="0.35">
      <c r="A585" s="214">
        <v>5</v>
      </c>
      <c r="B585" s="213" t="s">
        <v>594</v>
      </c>
      <c r="C585" s="214" t="s">
        <v>596</v>
      </c>
      <c r="D585" s="215" t="s">
        <v>579</v>
      </c>
      <c r="E585" s="498">
        <v>1200</v>
      </c>
      <c r="F585" s="503" t="s">
        <v>761</v>
      </c>
      <c r="G585" s="229" t="s">
        <v>561</v>
      </c>
      <c r="H585" s="230"/>
      <c r="I585" s="230"/>
      <c r="J585" s="230"/>
      <c r="K585" s="230"/>
      <c r="L585" s="230"/>
      <c r="M585" s="253"/>
      <c r="N585" s="572"/>
    </row>
    <row r="586" spans="1:15" ht="42" x14ac:dyDescent="0.35">
      <c r="A586" s="214">
        <v>6</v>
      </c>
      <c r="B586" s="213" t="s">
        <v>594</v>
      </c>
      <c r="C586" s="214" t="s">
        <v>597</v>
      </c>
      <c r="D586" s="215" t="s">
        <v>579</v>
      </c>
      <c r="E586" s="498">
        <v>1200</v>
      </c>
      <c r="F586" s="503" t="s">
        <v>762</v>
      </c>
      <c r="G586" s="229" t="s">
        <v>561</v>
      </c>
      <c r="H586" s="230"/>
      <c r="I586" s="230"/>
      <c r="J586" s="230"/>
      <c r="K586" s="230"/>
      <c r="L586" s="230"/>
      <c r="M586" s="253"/>
    </row>
    <row r="587" spans="1:15" ht="42" x14ac:dyDescent="0.35">
      <c r="A587" s="214">
        <v>7</v>
      </c>
      <c r="B587" s="213" t="s">
        <v>594</v>
      </c>
      <c r="C587" s="214" t="s">
        <v>598</v>
      </c>
      <c r="D587" s="215" t="s">
        <v>579</v>
      </c>
      <c r="E587" s="498">
        <v>1200</v>
      </c>
      <c r="F587" s="503" t="s">
        <v>910</v>
      </c>
      <c r="G587" s="229" t="s">
        <v>561</v>
      </c>
      <c r="H587" s="230"/>
      <c r="I587" s="230"/>
      <c r="J587" s="230"/>
      <c r="K587" s="230"/>
      <c r="L587" s="230"/>
      <c r="M587" s="253"/>
      <c r="N587" s="572">
        <f>SUM(E579:E587)</f>
        <v>10770</v>
      </c>
    </row>
    <row r="588" spans="1:15" ht="42" x14ac:dyDescent="0.35">
      <c r="A588" s="214">
        <v>8</v>
      </c>
      <c r="B588" s="481" t="s">
        <v>594</v>
      </c>
      <c r="C588" s="261" t="s">
        <v>599</v>
      </c>
      <c r="D588" s="291" t="s">
        <v>579</v>
      </c>
      <c r="E588" s="303">
        <v>1200</v>
      </c>
      <c r="F588" s="504" t="s">
        <v>764</v>
      </c>
      <c r="G588" s="263" t="s">
        <v>561</v>
      </c>
      <c r="H588" s="262"/>
      <c r="I588" s="262"/>
      <c r="J588" s="262"/>
      <c r="K588" s="262"/>
      <c r="L588" s="262"/>
      <c r="M588" s="390"/>
    </row>
    <row r="589" spans="1:15" x14ac:dyDescent="0.35">
      <c r="A589" s="214">
        <v>9</v>
      </c>
      <c r="B589" s="213" t="s">
        <v>594</v>
      </c>
      <c r="C589" s="214" t="s">
        <v>600</v>
      </c>
      <c r="D589" s="215" t="s">
        <v>579</v>
      </c>
      <c r="E589" s="498">
        <v>1200</v>
      </c>
      <c r="F589" s="503" t="s">
        <v>765</v>
      </c>
      <c r="G589" s="229" t="s">
        <v>561</v>
      </c>
      <c r="H589" s="230"/>
      <c r="I589" s="230"/>
      <c r="J589" s="230"/>
      <c r="K589" s="230"/>
      <c r="L589" s="230"/>
      <c r="M589" s="253"/>
    </row>
    <row r="590" spans="1:15" ht="42" x14ac:dyDescent="0.35">
      <c r="A590" s="214">
        <v>10</v>
      </c>
      <c r="B590" s="213" t="s">
        <v>594</v>
      </c>
      <c r="C590" s="214" t="s">
        <v>601</v>
      </c>
      <c r="D590" s="215" t="s">
        <v>579</v>
      </c>
      <c r="E590" s="498">
        <v>1200</v>
      </c>
      <c r="F590" s="503" t="s">
        <v>766</v>
      </c>
      <c r="G590" s="229" t="s">
        <v>561</v>
      </c>
      <c r="H590" s="230"/>
      <c r="I590" s="230"/>
      <c r="J590" s="230"/>
      <c r="K590" s="230"/>
      <c r="L590" s="230"/>
      <c r="M590" s="253"/>
    </row>
    <row r="591" spans="1:15" ht="42" x14ac:dyDescent="0.35">
      <c r="A591" s="214">
        <v>11</v>
      </c>
      <c r="B591" s="213" t="s">
        <v>594</v>
      </c>
      <c r="C591" s="214" t="s">
        <v>602</v>
      </c>
      <c r="D591" s="215" t="s">
        <v>579</v>
      </c>
      <c r="E591" s="498">
        <v>1200</v>
      </c>
      <c r="F591" s="503" t="s">
        <v>754</v>
      </c>
      <c r="G591" s="229" t="s">
        <v>561</v>
      </c>
      <c r="H591" s="230"/>
      <c r="I591" s="230"/>
      <c r="J591" s="230"/>
      <c r="K591" s="230"/>
      <c r="L591" s="230"/>
      <c r="M591" s="253"/>
      <c r="N591" s="258"/>
      <c r="O591" s="258"/>
    </row>
    <row r="592" spans="1:15" s="483" customFormat="1" ht="42" x14ac:dyDescent="0.35">
      <c r="A592" s="214">
        <v>12</v>
      </c>
      <c r="B592" s="213" t="s">
        <v>594</v>
      </c>
      <c r="C592" s="214" t="s">
        <v>603</v>
      </c>
      <c r="D592" s="215" t="s">
        <v>579</v>
      </c>
      <c r="E592" s="498">
        <v>1200</v>
      </c>
      <c r="F592" s="503" t="s">
        <v>755</v>
      </c>
      <c r="G592" s="229" t="s">
        <v>561</v>
      </c>
      <c r="H592" s="230"/>
      <c r="I592" s="230"/>
      <c r="J592" s="230"/>
      <c r="K592" s="230"/>
      <c r="L592" s="230"/>
      <c r="M592" s="253"/>
    </row>
    <row r="593" spans="1:14" ht="42" x14ac:dyDescent="0.35">
      <c r="A593" s="214">
        <v>13</v>
      </c>
      <c r="B593" s="213" t="s">
        <v>594</v>
      </c>
      <c r="C593" s="214" t="s">
        <v>604</v>
      </c>
      <c r="D593" s="215" t="s">
        <v>579</v>
      </c>
      <c r="E593" s="498">
        <v>1200</v>
      </c>
      <c r="F593" s="503" t="s">
        <v>911</v>
      </c>
      <c r="G593" s="229" t="s">
        <v>561</v>
      </c>
      <c r="H593" s="230"/>
      <c r="I593" s="230"/>
      <c r="J593" s="230"/>
      <c r="K593" s="230"/>
      <c r="L593" s="230"/>
      <c r="M593" s="253"/>
    </row>
    <row r="594" spans="1:14" x14ac:dyDescent="0.35">
      <c r="A594" s="214">
        <v>14</v>
      </c>
      <c r="B594" s="481" t="s">
        <v>594</v>
      </c>
      <c r="C594" s="261" t="s">
        <v>605</v>
      </c>
      <c r="D594" s="291" t="s">
        <v>579</v>
      </c>
      <c r="E594" s="303">
        <v>1200</v>
      </c>
      <c r="F594" s="504" t="s">
        <v>756</v>
      </c>
      <c r="G594" s="263" t="s">
        <v>561</v>
      </c>
      <c r="H594" s="262"/>
      <c r="I594" s="262"/>
      <c r="J594" s="262"/>
      <c r="K594" s="262"/>
      <c r="L594" s="262"/>
      <c r="M594" s="390"/>
    </row>
    <row r="595" spans="1:14" ht="42" x14ac:dyDescent="0.35">
      <c r="A595" s="214">
        <v>15</v>
      </c>
      <c r="B595" s="213" t="s">
        <v>594</v>
      </c>
      <c r="C595" s="214" t="s">
        <v>606</v>
      </c>
      <c r="D595" s="215" t="s">
        <v>579</v>
      </c>
      <c r="E595" s="498">
        <v>1200</v>
      </c>
      <c r="F595" s="503" t="s">
        <v>757</v>
      </c>
      <c r="G595" s="229" t="s">
        <v>561</v>
      </c>
      <c r="H595" s="230"/>
      <c r="I595" s="230"/>
      <c r="J595" s="230"/>
      <c r="K595" s="230"/>
      <c r="L595" s="230"/>
      <c r="M595" s="253"/>
    </row>
    <row r="596" spans="1:14" ht="42" x14ac:dyDescent="0.35">
      <c r="A596" s="214">
        <v>16</v>
      </c>
      <c r="B596" s="213" t="s">
        <v>594</v>
      </c>
      <c r="C596" s="214" t="s">
        <v>607</v>
      </c>
      <c r="D596" s="215" t="s">
        <v>579</v>
      </c>
      <c r="E596" s="498">
        <v>1200</v>
      </c>
      <c r="F596" s="503" t="s">
        <v>758</v>
      </c>
      <c r="G596" s="229" t="s">
        <v>561</v>
      </c>
      <c r="H596" s="230"/>
      <c r="I596" s="230"/>
      <c r="J596" s="230"/>
      <c r="K596" s="230"/>
      <c r="L596" s="230"/>
      <c r="M596" s="253"/>
    </row>
    <row r="597" spans="1:14" ht="42" x14ac:dyDescent="0.35">
      <c r="A597" s="214">
        <v>17</v>
      </c>
      <c r="B597" s="213" t="s">
        <v>594</v>
      </c>
      <c r="C597" s="214" t="s">
        <v>608</v>
      </c>
      <c r="D597" s="392" t="s">
        <v>579</v>
      </c>
      <c r="E597" s="304">
        <v>1200</v>
      </c>
      <c r="F597" s="503" t="s">
        <v>759</v>
      </c>
      <c r="G597" s="229" t="s">
        <v>561</v>
      </c>
      <c r="H597" s="230"/>
      <c r="I597" s="230"/>
      <c r="J597" s="230"/>
      <c r="K597" s="230"/>
      <c r="L597" s="230"/>
      <c r="M597" s="253"/>
    </row>
    <row r="598" spans="1:14" x14ac:dyDescent="0.35">
      <c r="A598" s="214">
        <v>18</v>
      </c>
      <c r="B598" s="482" t="s">
        <v>767</v>
      </c>
      <c r="C598" s="476" t="s">
        <v>768</v>
      </c>
      <c r="D598" s="215" t="s">
        <v>741</v>
      </c>
      <c r="E598" s="499">
        <v>900</v>
      </c>
      <c r="F598" s="505" t="s">
        <v>31</v>
      </c>
      <c r="G598" s="229" t="s">
        <v>561</v>
      </c>
      <c r="H598" s="230"/>
      <c r="I598" s="262"/>
      <c r="J598" s="262"/>
      <c r="K598" s="262"/>
      <c r="L598" s="262"/>
      <c r="M598" s="262"/>
      <c r="N598" s="572"/>
    </row>
    <row r="599" spans="1:14" x14ac:dyDescent="0.35">
      <c r="A599" s="214">
        <v>19</v>
      </c>
      <c r="B599" s="482" t="s">
        <v>767</v>
      </c>
      <c r="C599" s="476" t="s">
        <v>769</v>
      </c>
      <c r="D599" s="215" t="s">
        <v>741</v>
      </c>
      <c r="E599" s="499">
        <v>900</v>
      </c>
      <c r="F599" s="505" t="s">
        <v>13</v>
      </c>
      <c r="G599" s="229" t="s">
        <v>561</v>
      </c>
      <c r="H599" s="230"/>
      <c r="I599" s="262"/>
      <c r="J599" s="262"/>
      <c r="K599" s="262"/>
      <c r="L599" s="262"/>
      <c r="M599" s="262"/>
    </row>
    <row r="600" spans="1:14" x14ac:dyDescent="0.35">
      <c r="A600" s="214">
        <v>20</v>
      </c>
      <c r="B600" s="482" t="s">
        <v>767</v>
      </c>
      <c r="C600" s="476" t="s">
        <v>770</v>
      </c>
      <c r="D600" s="215" t="s">
        <v>741</v>
      </c>
      <c r="E600" s="499">
        <v>900</v>
      </c>
      <c r="F600" s="505" t="s">
        <v>310</v>
      </c>
      <c r="G600" s="229" t="s">
        <v>561</v>
      </c>
      <c r="H600" s="230"/>
      <c r="I600" s="262"/>
      <c r="J600" s="262"/>
      <c r="K600" s="262"/>
      <c r="L600" s="262"/>
      <c r="M600" s="262"/>
    </row>
    <row r="601" spans="1:14" x14ac:dyDescent="0.35">
      <c r="A601" s="214">
        <v>21</v>
      </c>
      <c r="B601" s="482" t="s">
        <v>767</v>
      </c>
      <c r="C601" s="476" t="s">
        <v>771</v>
      </c>
      <c r="D601" s="215" t="s">
        <v>741</v>
      </c>
      <c r="E601" s="499">
        <v>900</v>
      </c>
      <c r="F601" s="505" t="s">
        <v>21</v>
      </c>
      <c r="G601" s="229" t="s">
        <v>561</v>
      </c>
      <c r="H601" s="230"/>
      <c r="I601" s="262"/>
      <c r="J601" s="262"/>
      <c r="K601" s="262"/>
      <c r="L601" s="262"/>
      <c r="M601" s="262"/>
    </row>
    <row r="602" spans="1:14" x14ac:dyDescent="0.35">
      <c r="A602" s="214">
        <v>22</v>
      </c>
      <c r="B602" s="482" t="s">
        <v>767</v>
      </c>
      <c r="C602" s="476" t="s">
        <v>772</v>
      </c>
      <c r="D602" s="215" t="s">
        <v>741</v>
      </c>
      <c r="E602" s="499">
        <v>900</v>
      </c>
      <c r="F602" s="505" t="s">
        <v>25</v>
      </c>
      <c r="G602" s="229" t="s">
        <v>561</v>
      </c>
      <c r="H602" s="230"/>
      <c r="I602" s="262"/>
      <c r="J602" s="262"/>
      <c r="K602" s="262"/>
      <c r="L602" s="262"/>
      <c r="M602" s="262"/>
    </row>
    <row r="603" spans="1:14" x14ac:dyDescent="0.35">
      <c r="A603" s="214">
        <v>23</v>
      </c>
      <c r="B603" s="213" t="s">
        <v>767</v>
      </c>
      <c r="C603" s="245" t="s">
        <v>773</v>
      </c>
      <c r="D603" s="215" t="s">
        <v>741</v>
      </c>
      <c r="E603" s="499">
        <v>900</v>
      </c>
      <c r="F603" s="503" t="s">
        <v>27</v>
      </c>
      <c r="G603" s="229" t="s">
        <v>561</v>
      </c>
      <c r="H603" s="230"/>
      <c r="I603" s="230"/>
      <c r="J603" s="230"/>
      <c r="K603" s="230"/>
      <c r="L603" s="230"/>
      <c r="M603" s="230"/>
    </row>
    <row r="604" spans="1:14" x14ac:dyDescent="0.35">
      <c r="A604" s="214">
        <v>24</v>
      </c>
      <c r="B604" s="213" t="s">
        <v>767</v>
      </c>
      <c r="C604" s="245" t="s">
        <v>774</v>
      </c>
      <c r="D604" s="215" t="s">
        <v>741</v>
      </c>
      <c r="E604" s="499">
        <v>900</v>
      </c>
      <c r="F604" s="503" t="s">
        <v>94</v>
      </c>
      <c r="G604" s="229" t="s">
        <v>561</v>
      </c>
      <c r="H604" s="230"/>
      <c r="I604" s="230"/>
      <c r="J604" s="230"/>
      <c r="K604" s="230"/>
      <c r="L604" s="230"/>
      <c r="M604" s="230"/>
    </row>
    <row r="605" spans="1:14" x14ac:dyDescent="0.35">
      <c r="A605" s="269"/>
      <c r="B605" s="269"/>
      <c r="C605" s="282"/>
      <c r="D605" s="282"/>
      <c r="E605" s="490"/>
      <c r="F605" s="284"/>
      <c r="G605" s="269"/>
      <c r="H605" s="269"/>
      <c r="I605" s="269"/>
      <c r="J605" s="269"/>
      <c r="K605" s="269"/>
      <c r="L605" s="269"/>
      <c r="M605" s="284"/>
      <c r="N605" s="572">
        <f>SUM(E588:E604)</f>
        <v>18300</v>
      </c>
    </row>
    <row r="606" spans="1:14" ht="21.75" thickBot="1" x14ac:dyDescent="0.4">
      <c r="A606" s="436"/>
      <c r="B606" s="437"/>
      <c r="C606" s="438"/>
      <c r="D606" s="271" t="s">
        <v>505</v>
      </c>
      <c r="E606" s="305">
        <f>SUM(E579:E604)</f>
        <v>29070</v>
      </c>
      <c r="F606" s="447"/>
    </row>
    <row r="607" spans="1:14" ht="22.5" thickTop="1" thickBot="1" x14ac:dyDescent="0.4">
      <c r="A607" s="541"/>
      <c r="B607" s="542" t="s">
        <v>1347</v>
      </c>
      <c r="C607" s="543"/>
      <c r="D607" s="414" t="s">
        <v>1202</v>
      </c>
      <c r="E607" s="500">
        <f>+E9+E24+E496+E577+E606</f>
        <v>1801218.76</v>
      </c>
      <c r="F607" s="447"/>
    </row>
  </sheetData>
  <mergeCells count="12">
    <mergeCell ref="M3:M5"/>
    <mergeCell ref="G4:G5"/>
    <mergeCell ref="H4:H5"/>
    <mergeCell ref="J4:J5"/>
    <mergeCell ref="A1:M1"/>
    <mergeCell ref="A2:M2"/>
    <mergeCell ref="A3:A5"/>
    <mergeCell ref="B3:B5"/>
    <mergeCell ref="C3:C5"/>
    <mergeCell ref="E3:E5"/>
    <mergeCell ref="F3:F5"/>
    <mergeCell ref="G3:L3"/>
  </mergeCells>
  <phoneticPr fontId="4" type="noConversion"/>
  <pageMargins left="0.39370078740157483" right="0" top="0.55118110236220474" bottom="0.31496062992125984" header="0.31496062992125984" footer="0.31496062992125984"/>
  <pageSetup paperSize="9" scale="85" orientation="landscape" horizontalDpi="4294967293" r:id="rId1"/>
  <headerFooter alignWithMargins="0">
    <oddFooter>&amp;R&amp;P/&amp;N</oddFooter>
    <firstHeader>&amp;C1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O117"/>
  <sheetViews>
    <sheetView topLeftCell="A69" zoomScale="110" zoomScaleNormal="110" workbookViewId="0">
      <selection activeCell="A89" sqref="A89"/>
    </sheetView>
  </sheetViews>
  <sheetFormatPr defaultColWidth="9" defaultRowHeight="21" x14ac:dyDescent="0.35"/>
  <cols>
    <col min="1" max="1" width="5.25" style="45" bestFit="1" customWidth="1"/>
    <col min="2" max="2" width="42.75" style="45" bestFit="1" customWidth="1"/>
    <col min="3" max="3" width="11.75" style="45" bestFit="1" customWidth="1"/>
    <col min="4" max="4" width="11.25" style="45" bestFit="1" customWidth="1"/>
    <col min="5" max="5" width="13.75" style="45" bestFit="1" customWidth="1"/>
    <col min="6" max="6" width="24.75" style="45" bestFit="1" customWidth="1"/>
    <col min="7" max="7" width="4.5" style="45" bestFit="1" customWidth="1"/>
    <col min="8" max="8" width="4.875" style="45" bestFit="1" customWidth="1"/>
    <col min="9" max="9" width="5.25" style="45" bestFit="1" customWidth="1"/>
    <col min="10" max="10" width="6.75" style="45" bestFit="1" customWidth="1"/>
    <col min="11" max="11" width="5.875" style="45" bestFit="1" customWidth="1"/>
    <col min="12" max="12" width="8.375" style="45" bestFit="1" customWidth="1"/>
    <col min="13" max="13" width="8" style="45" bestFit="1" customWidth="1"/>
    <col min="14" max="14" width="12.375" style="501" bestFit="1" customWidth="1"/>
    <col min="15" max="15" width="13.5" style="233" bestFit="1" customWidth="1"/>
    <col min="16" max="16384" width="9" style="45"/>
  </cols>
  <sheetData>
    <row r="1" spans="1:15" s="833" customFormat="1" ht="23.25" x14ac:dyDescent="0.35">
      <c r="A1" s="877" t="s">
        <v>1304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31"/>
      <c r="O1" s="832"/>
    </row>
    <row r="2" spans="1:15" s="232" customFormat="1" x14ac:dyDescent="0.35">
      <c r="A2" s="878" t="s">
        <v>1137</v>
      </c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677"/>
      <c r="O2" s="233"/>
    </row>
    <row r="3" spans="1:15" s="232" customFormat="1" x14ac:dyDescent="0.35">
      <c r="A3" s="879" t="s">
        <v>1031</v>
      </c>
      <c r="B3" s="875" t="s">
        <v>1</v>
      </c>
      <c r="C3" s="883" t="s">
        <v>504</v>
      </c>
      <c r="D3" s="234"/>
      <c r="E3" s="886" t="s">
        <v>0</v>
      </c>
      <c r="F3" s="875" t="s">
        <v>549</v>
      </c>
      <c r="G3" s="889" t="s">
        <v>553</v>
      </c>
      <c r="H3" s="890"/>
      <c r="I3" s="890"/>
      <c r="J3" s="890"/>
      <c r="K3" s="890"/>
      <c r="L3" s="891"/>
      <c r="M3" s="875" t="s">
        <v>2</v>
      </c>
      <c r="N3" s="677"/>
      <c r="O3" s="233"/>
    </row>
    <row r="4" spans="1:15" s="232" customFormat="1" x14ac:dyDescent="0.35">
      <c r="A4" s="880"/>
      <c r="B4" s="882"/>
      <c r="C4" s="884"/>
      <c r="D4" s="235" t="s">
        <v>3</v>
      </c>
      <c r="E4" s="887"/>
      <c r="F4" s="882"/>
      <c r="G4" s="879" t="s">
        <v>550</v>
      </c>
      <c r="H4" s="875" t="s">
        <v>551</v>
      </c>
      <c r="I4" s="236" t="s">
        <v>554</v>
      </c>
      <c r="J4" s="895" t="s">
        <v>552</v>
      </c>
      <c r="K4" s="236" t="s">
        <v>555</v>
      </c>
      <c r="L4" s="237" t="s">
        <v>556</v>
      </c>
      <c r="M4" s="882"/>
      <c r="N4" s="677"/>
      <c r="O4" s="233"/>
    </row>
    <row r="5" spans="1:15" s="232" customFormat="1" x14ac:dyDescent="0.35">
      <c r="A5" s="881"/>
      <c r="B5" s="876"/>
      <c r="C5" s="885"/>
      <c r="D5" s="238" t="s">
        <v>4</v>
      </c>
      <c r="E5" s="888"/>
      <c r="F5" s="876"/>
      <c r="G5" s="881"/>
      <c r="H5" s="876"/>
      <c r="I5" s="239" t="s">
        <v>557</v>
      </c>
      <c r="J5" s="896"/>
      <c r="K5" s="239" t="s">
        <v>558</v>
      </c>
      <c r="L5" s="240" t="s">
        <v>559</v>
      </c>
      <c r="M5" s="876"/>
      <c r="N5" s="677"/>
      <c r="O5" s="233"/>
    </row>
    <row r="6" spans="1:15" x14ac:dyDescent="0.35">
      <c r="A6" s="241"/>
      <c r="B6" s="242" t="s">
        <v>689</v>
      </c>
      <c r="C6" s="576"/>
      <c r="D6" s="241"/>
      <c r="E6" s="241"/>
      <c r="F6" s="577"/>
      <c r="G6" s="241"/>
      <c r="H6" s="243"/>
      <c r="I6" s="243"/>
      <c r="J6" s="243"/>
      <c r="K6" s="243"/>
      <c r="L6" s="243"/>
      <c r="M6" s="243"/>
    </row>
    <row r="7" spans="1:15" x14ac:dyDescent="0.35">
      <c r="A7" s="578">
        <v>1</v>
      </c>
      <c r="B7" s="30" t="s">
        <v>779</v>
      </c>
      <c r="C7" s="260" t="s">
        <v>1220</v>
      </c>
      <c r="D7" s="246" t="s">
        <v>1221</v>
      </c>
      <c r="E7" s="579">
        <v>1333862</v>
      </c>
      <c r="F7" s="580" t="s">
        <v>1217</v>
      </c>
      <c r="G7" s="259"/>
      <c r="H7" s="262"/>
      <c r="I7" s="248" t="s">
        <v>561</v>
      </c>
      <c r="J7" s="262"/>
      <c r="K7" s="262"/>
      <c r="L7" s="262"/>
      <c r="M7" s="581"/>
    </row>
    <row r="8" spans="1:15" x14ac:dyDescent="0.35">
      <c r="A8" s="244">
        <v>2</v>
      </c>
      <c r="B8" s="230" t="s">
        <v>998</v>
      </c>
      <c r="C8" s="245" t="s">
        <v>664</v>
      </c>
      <c r="D8" s="246" t="s">
        <v>563</v>
      </c>
      <c r="E8" s="582">
        <v>338059</v>
      </c>
      <c r="F8" s="247" t="s">
        <v>669</v>
      </c>
      <c r="G8" s="248" t="s">
        <v>561</v>
      </c>
      <c r="H8" s="214"/>
      <c r="I8" s="230"/>
      <c r="J8" s="230"/>
      <c r="K8" s="230"/>
      <c r="L8" s="230"/>
      <c r="M8" s="249"/>
    </row>
    <row r="9" spans="1:15" x14ac:dyDescent="0.35">
      <c r="A9" s="250"/>
      <c r="B9" s="230" t="s">
        <v>997</v>
      </c>
      <c r="D9" s="583"/>
      <c r="E9" s="584"/>
      <c r="F9" s="583"/>
      <c r="G9" s="583"/>
      <c r="H9" s="214"/>
      <c r="I9" s="230"/>
      <c r="J9" s="230"/>
      <c r="K9" s="230"/>
      <c r="L9" s="230"/>
      <c r="M9" s="251"/>
    </row>
    <row r="10" spans="1:15" x14ac:dyDescent="0.35">
      <c r="A10" s="244">
        <v>3</v>
      </c>
      <c r="B10" s="230" t="s">
        <v>998</v>
      </c>
      <c r="C10" s="245" t="s">
        <v>665</v>
      </c>
      <c r="D10" s="246" t="s">
        <v>563</v>
      </c>
      <c r="E10" s="582">
        <v>338059</v>
      </c>
      <c r="F10" s="247" t="s">
        <v>670</v>
      </c>
      <c r="G10" s="248" t="s">
        <v>561</v>
      </c>
      <c r="H10" s="214"/>
      <c r="I10" s="230"/>
      <c r="J10" s="230"/>
      <c r="K10" s="230"/>
      <c r="L10" s="230"/>
      <c r="M10" s="251"/>
    </row>
    <row r="11" spans="1:15" x14ac:dyDescent="0.35">
      <c r="A11" s="244"/>
      <c r="B11" s="230" t="s">
        <v>997</v>
      </c>
      <c r="D11" s="583"/>
      <c r="E11" s="584"/>
      <c r="F11" s="583"/>
      <c r="G11" s="583"/>
      <c r="H11" s="214"/>
      <c r="I11" s="230"/>
      <c r="J11" s="230"/>
      <c r="K11" s="230"/>
      <c r="L11" s="230"/>
      <c r="M11" s="251"/>
    </row>
    <row r="12" spans="1:15" s="700" customFormat="1" x14ac:dyDescent="0.35">
      <c r="A12" s="820">
        <v>4</v>
      </c>
      <c r="B12" s="637" t="s">
        <v>998</v>
      </c>
      <c r="C12" s="821" t="s">
        <v>666</v>
      </c>
      <c r="D12" s="822" t="s">
        <v>563</v>
      </c>
      <c r="E12" s="823">
        <v>338059</v>
      </c>
      <c r="F12" s="824" t="s">
        <v>1268</v>
      </c>
      <c r="G12" s="825"/>
      <c r="H12" s="638"/>
      <c r="I12" s="825" t="s">
        <v>561</v>
      </c>
      <c r="J12" s="637"/>
      <c r="K12" s="637"/>
      <c r="L12" s="637"/>
      <c r="M12" s="634"/>
      <c r="N12" s="716"/>
      <c r="O12" s="826"/>
    </row>
    <row r="13" spans="1:15" s="700" customFormat="1" x14ac:dyDescent="0.35">
      <c r="A13" s="820"/>
      <c r="B13" s="637" t="s">
        <v>997</v>
      </c>
      <c r="D13" s="827"/>
      <c r="E13" s="828"/>
      <c r="F13" s="827"/>
      <c r="G13" s="827"/>
      <c r="H13" s="638"/>
      <c r="I13" s="827"/>
      <c r="J13" s="637"/>
      <c r="K13" s="637"/>
      <c r="L13" s="637"/>
      <c r="M13" s="634"/>
      <c r="N13" s="716"/>
      <c r="O13" s="826"/>
    </row>
    <row r="14" spans="1:15" s="700" customFormat="1" x14ac:dyDescent="0.35">
      <c r="A14" s="820">
        <v>5</v>
      </c>
      <c r="B14" s="637" t="s">
        <v>998</v>
      </c>
      <c r="C14" s="821" t="s">
        <v>667</v>
      </c>
      <c r="D14" s="822" t="s">
        <v>563</v>
      </c>
      <c r="E14" s="823">
        <v>338059</v>
      </c>
      <c r="F14" s="824" t="s">
        <v>1191</v>
      </c>
      <c r="G14" s="825"/>
      <c r="H14" s="638"/>
      <c r="I14" s="825" t="s">
        <v>561</v>
      </c>
      <c r="J14" s="637"/>
      <c r="K14" s="637"/>
      <c r="L14" s="637"/>
      <c r="M14" s="634"/>
      <c r="N14" s="716"/>
      <c r="O14" s="826"/>
    </row>
    <row r="15" spans="1:15" s="700" customFormat="1" x14ac:dyDescent="0.35">
      <c r="A15" s="820"/>
      <c r="B15" s="637" t="s">
        <v>997</v>
      </c>
      <c r="D15" s="827"/>
      <c r="E15" s="828"/>
      <c r="F15" s="827"/>
      <c r="G15" s="827"/>
      <c r="H15" s="638"/>
      <c r="I15" s="827"/>
      <c r="J15" s="637"/>
      <c r="K15" s="637"/>
      <c r="L15" s="637"/>
      <c r="M15" s="634"/>
      <c r="N15" s="716"/>
      <c r="O15" s="826"/>
    </row>
    <row r="16" spans="1:15" s="700" customFormat="1" x14ac:dyDescent="0.35">
      <c r="A16" s="820">
        <v>6</v>
      </c>
      <c r="B16" s="637" t="s">
        <v>998</v>
      </c>
      <c r="C16" s="821" t="s">
        <v>668</v>
      </c>
      <c r="D16" s="822" t="s">
        <v>563</v>
      </c>
      <c r="E16" s="823">
        <v>338059</v>
      </c>
      <c r="F16" s="824" t="s">
        <v>672</v>
      </c>
      <c r="G16" s="825"/>
      <c r="H16" s="638"/>
      <c r="I16" s="825" t="s">
        <v>561</v>
      </c>
      <c r="J16" s="637"/>
      <c r="K16" s="637"/>
      <c r="L16" s="637"/>
      <c r="M16" s="634"/>
      <c r="N16" s="716"/>
      <c r="O16" s="826"/>
    </row>
    <row r="17" spans="1:15" s="700" customFormat="1" x14ac:dyDescent="0.35">
      <c r="A17" s="820"/>
      <c r="B17" s="637" t="s">
        <v>997</v>
      </c>
      <c r="D17" s="827"/>
      <c r="E17" s="828"/>
      <c r="F17" s="827"/>
      <c r="G17" s="827"/>
      <c r="H17" s="829"/>
      <c r="I17" s="827"/>
      <c r="J17" s="637"/>
      <c r="K17" s="637"/>
      <c r="L17" s="637"/>
      <c r="M17" s="634"/>
      <c r="N17" s="716"/>
      <c r="O17" s="826"/>
    </row>
    <row r="18" spans="1:15" s="700" customFormat="1" x14ac:dyDescent="0.35">
      <c r="A18" s="820">
        <v>7</v>
      </c>
      <c r="B18" s="631" t="s">
        <v>779</v>
      </c>
      <c r="C18" s="821" t="s">
        <v>780</v>
      </c>
      <c r="D18" s="822" t="s">
        <v>999</v>
      </c>
      <c r="E18" s="823">
        <v>351200</v>
      </c>
      <c r="F18" s="634" t="s">
        <v>1269</v>
      </c>
      <c r="G18" s="825"/>
      <c r="H18" s="638"/>
      <c r="I18" s="825" t="s">
        <v>561</v>
      </c>
      <c r="J18" s="637"/>
      <c r="K18" s="637"/>
      <c r="L18" s="637"/>
      <c r="M18" s="830"/>
      <c r="N18" s="716"/>
      <c r="O18" s="826"/>
    </row>
    <row r="19" spans="1:15" x14ac:dyDescent="0.35">
      <c r="A19" s="244">
        <v>8</v>
      </c>
      <c r="B19" s="230" t="s">
        <v>1000</v>
      </c>
      <c r="C19" s="245" t="s">
        <v>1002</v>
      </c>
      <c r="D19" s="246" t="s">
        <v>993</v>
      </c>
      <c r="E19" s="582">
        <v>477419.23</v>
      </c>
      <c r="F19" s="253" t="s">
        <v>959</v>
      </c>
      <c r="G19" s="229" t="s">
        <v>561</v>
      </c>
      <c r="H19" s="217"/>
      <c r="I19" s="230"/>
      <c r="J19" s="230"/>
      <c r="K19" s="230"/>
      <c r="L19" s="230"/>
      <c r="M19" s="585"/>
    </row>
    <row r="20" spans="1:15" x14ac:dyDescent="0.35">
      <c r="A20" s="586"/>
      <c r="B20" s="230" t="s">
        <v>1001</v>
      </c>
      <c r="C20" s="476"/>
      <c r="D20" s="587"/>
      <c r="E20" s="588"/>
      <c r="F20" s="254"/>
      <c r="G20" s="255"/>
      <c r="H20" s="589"/>
      <c r="I20" s="256"/>
      <c r="J20" s="256"/>
      <c r="K20" s="256"/>
      <c r="L20" s="256"/>
      <c r="M20" s="590"/>
    </row>
    <row r="21" spans="1:15" x14ac:dyDescent="0.35">
      <c r="A21" s="586">
        <v>9</v>
      </c>
      <c r="B21" s="230" t="s">
        <v>1000</v>
      </c>
      <c r="C21" s="245" t="s">
        <v>1003</v>
      </c>
      <c r="D21" s="246" t="s">
        <v>1052</v>
      </c>
      <c r="E21" s="582">
        <v>477419.23</v>
      </c>
      <c r="F21" s="253" t="s">
        <v>960</v>
      </c>
      <c r="G21" s="229" t="s">
        <v>561</v>
      </c>
      <c r="H21" s="589"/>
      <c r="I21" s="256"/>
      <c r="J21" s="256"/>
      <c r="K21" s="256"/>
      <c r="L21" s="256"/>
      <c r="M21" s="590"/>
    </row>
    <row r="22" spans="1:15" x14ac:dyDescent="0.35">
      <c r="A22" s="586"/>
      <c r="B22" s="230" t="s">
        <v>1001</v>
      </c>
      <c r="C22" s="476"/>
      <c r="D22" s="587"/>
      <c r="E22" s="588"/>
      <c r="F22" s="254"/>
      <c r="G22" s="255"/>
      <c r="H22" s="589"/>
      <c r="I22" s="256"/>
      <c r="J22" s="256"/>
      <c r="K22" s="256"/>
      <c r="L22" s="256"/>
      <c r="M22" s="590"/>
    </row>
    <row r="23" spans="1:15" x14ac:dyDescent="0.35">
      <c r="A23" s="244">
        <v>10</v>
      </c>
      <c r="B23" s="230" t="s">
        <v>1037</v>
      </c>
      <c r="C23" s="245" t="s">
        <v>1004</v>
      </c>
      <c r="D23" s="246" t="s">
        <v>1052</v>
      </c>
      <c r="E23" s="582">
        <v>477419.23</v>
      </c>
      <c r="F23" s="253" t="s">
        <v>1038</v>
      </c>
      <c r="G23" s="229" t="s">
        <v>561</v>
      </c>
      <c r="H23" s="589"/>
      <c r="I23" s="256"/>
      <c r="J23" s="256"/>
      <c r="K23" s="256"/>
      <c r="L23" s="256"/>
      <c r="M23" s="590"/>
    </row>
    <row r="24" spans="1:15" x14ac:dyDescent="0.35">
      <c r="A24" s="586"/>
      <c r="B24" s="230" t="s">
        <v>1001</v>
      </c>
      <c r="C24" s="476"/>
      <c r="D24" s="587"/>
      <c r="E24" s="588"/>
      <c r="F24" s="254"/>
      <c r="G24" s="255"/>
      <c r="H24" s="589"/>
      <c r="I24" s="256"/>
      <c r="J24" s="256"/>
      <c r="K24" s="256"/>
      <c r="L24" s="256"/>
      <c r="M24" s="590"/>
    </row>
    <row r="25" spans="1:15" x14ac:dyDescent="0.35">
      <c r="A25" s="586">
        <v>11</v>
      </c>
      <c r="B25" s="230" t="s">
        <v>1037</v>
      </c>
      <c r="C25" s="245" t="s">
        <v>1005</v>
      </c>
      <c r="D25" s="246" t="s">
        <v>1052</v>
      </c>
      <c r="E25" s="582">
        <v>477419.23</v>
      </c>
      <c r="F25" s="253" t="s">
        <v>961</v>
      </c>
      <c r="G25" s="229" t="s">
        <v>561</v>
      </c>
      <c r="H25" s="589"/>
      <c r="I25" s="256"/>
      <c r="J25" s="256"/>
      <c r="K25" s="256"/>
      <c r="L25" s="256"/>
      <c r="M25" s="590"/>
    </row>
    <row r="26" spans="1:15" x14ac:dyDescent="0.35">
      <c r="A26" s="586"/>
      <c r="B26" s="230" t="s">
        <v>1001</v>
      </c>
      <c r="C26" s="476"/>
      <c r="D26" s="587"/>
      <c r="E26" s="588"/>
      <c r="F26" s="254"/>
      <c r="G26" s="255"/>
      <c r="H26" s="589"/>
      <c r="I26" s="256"/>
      <c r="J26" s="256"/>
      <c r="K26" s="256"/>
      <c r="L26" s="256"/>
      <c r="M26" s="590"/>
      <c r="N26" s="501">
        <f>SUM(E7:E26)</f>
        <v>5285033.92</v>
      </c>
    </row>
    <row r="27" spans="1:15" x14ac:dyDescent="0.35">
      <c r="A27" s="244">
        <v>12</v>
      </c>
      <c r="B27" s="230" t="s">
        <v>1037</v>
      </c>
      <c r="C27" s="245" t="s">
        <v>1006</v>
      </c>
      <c r="D27" s="246" t="s">
        <v>1052</v>
      </c>
      <c r="E27" s="582">
        <v>477419.23</v>
      </c>
      <c r="F27" s="253" t="s">
        <v>962</v>
      </c>
      <c r="G27" s="229" t="s">
        <v>561</v>
      </c>
      <c r="H27" s="589"/>
      <c r="I27" s="256"/>
      <c r="J27" s="256"/>
      <c r="K27" s="256"/>
      <c r="L27" s="256"/>
      <c r="M27" s="590"/>
    </row>
    <row r="28" spans="1:15" x14ac:dyDescent="0.35">
      <c r="A28" s="586"/>
      <c r="B28" s="230" t="s">
        <v>1001</v>
      </c>
      <c r="C28" s="476"/>
      <c r="D28" s="587"/>
      <c r="E28" s="588"/>
      <c r="F28" s="254"/>
      <c r="G28" s="255"/>
      <c r="H28" s="589"/>
      <c r="I28" s="256"/>
      <c r="J28" s="256"/>
      <c r="K28" s="256"/>
      <c r="L28" s="256"/>
      <c r="M28" s="590"/>
    </row>
    <row r="29" spans="1:15" x14ac:dyDescent="0.35">
      <c r="A29" s="586">
        <v>13</v>
      </c>
      <c r="B29" s="230" t="s">
        <v>1037</v>
      </c>
      <c r="C29" s="245" t="s">
        <v>1007</v>
      </c>
      <c r="D29" s="246" t="s">
        <v>1052</v>
      </c>
      <c r="E29" s="582">
        <v>477419.23</v>
      </c>
      <c r="F29" s="253" t="s">
        <v>963</v>
      </c>
      <c r="G29" s="229" t="s">
        <v>561</v>
      </c>
      <c r="H29" s="589"/>
      <c r="I29" s="256"/>
      <c r="J29" s="256"/>
      <c r="K29" s="256"/>
      <c r="L29" s="256"/>
      <c r="M29" s="590"/>
    </row>
    <row r="30" spans="1:15" x14ac:dyDescent="0.35">
      <c r="A30" s="586"/>
      <c r="B30" s="230" t="s">
        <v>1001</v>
      </c>
      <c r="C30" s="476"/>
      <c r="D30" s="587"/>
      <c r="E30" s="588"/>
      <c r="F30" s="254"/>
      <c r="G30" s="255"/>
      <c r="H30" s="589"/>
      <c r="I30" s="256"/>
      <c r="J30" s="256"/>
      <c r="K30" s="256"/>
      <c r="L30" s="256"/>
      <c r="M30" s="590"/>
    </row>
    <row r="31" spans="1:15" x14ac:dyDescent="0.35">
      <c r="A31" s="244">
        <v>14</v>
      </c>
      <c r="B31" s="230" t="s">
        <v>1037</v>
      </c>
      <c r="C31" s="245" t="s">
        <v>1008</v>
      </c>
      <c r="D31" s="246" t="s">
        <v>1052</v>
      </c>
      <c r="E31" s="582">
        <v>477419.23</v>
      </c>
      <c r="F31" s="253" t="s">
        <v>965</v>
      </c>
      <c r="G31" s="229" t="s">
        <v>561</v>
      </c>
      <c r="H31" s="589"/>
      <c r="I31" s="256"/>
      <c r="J31" s="256"/>
      <c r="K31" s="256"/>
      <c r="L31" s="256"/>
      <c r="M31" s="590"/>
    </row>
    <row r="32" spans="1:15" x14ac:dyDescent="0.35">
      <c r="A32" s="586"/>
      <c r="B32" s="230" t="s">
        <v>1001</v>
      </c>
      <c r="C32" s="476"/>
      <c r="D32" s="587"/>
      <c r="E32" s="588"/>
      <c r="F32" s="254"/>
      <c r="G32" s="257"/>
      <c r="H32" s="589"/>
      <c r="I32" s="256"/>
      <c r="J32" s="256"/>
      <c r="K32" s="256"/>
      <c r="L32" s="256"/>
      <c r="M32" s="590"/>
    </row>
    <row r="33" spans="1:13" x14ac:dyDescent="0.35">
      <c r="A33" s="586">
        <v>15</v>
      </c>
      <c r="B33" s="230" t="s">
        <v>1037</v>
      </c>
      <c r="C33" s="245" t="s">
        <v>1009</v>
      </c>
      <c r="D33" s="246" t="s">
        <v>1052</v>
      </c>
      <c r="E33" s="582">
        <v>477419.23</v>
      </c>
      <c r="F33" s="253" t="s">
        <v>964</v>
      </c>
      <c r="G33" s="229" t="s">
        <v>561</v>
      </c>
      <c r="H33" s="589"/>
      <c r="I33" s="256"/>
      <c r="J33" s="256"/>
      <c r="K33" s="256"/>
      <c r="L33" s="256"/>
      <c r="M33" s="590"/>
    </row>
    <row r="34" spans="1:13" x14ac:dyDescent="0.35">
      <c r="A34" s="586"/>
      <c r="B34" s="230" t="s">
        <v>1001</v>
      </c>
      <c r="C34" s="476"/>
      <c r="D34" s="587"/>
      <c r="E34" s="588"/>
      <c r="F34" s="254"/>
      <c r="G34" s="257"/>
      <c r="H34" s="589"/>
      <c r="I34" s="256"/>
      <c r="J34" s="256"/>
      <c r="K34" s="256"/>
      <c r="L34" s="256"/>
      <c r="M34" s="590"/>
    </row>
    <row r="35" spans="1:13" x14ac:dyDescent="0.35">
      <c r="A35" s="244">
        <v>16</v>
      </c>
      <c r="B35" s="230" t="s">
        <v>1037</v>
      </c>
      <c r="C35" s="245" t="s">
        <v>1010</v>
      </c>
      <c r="D35" s="246" t="s">
        <v>1052</v>
      </c>
      <c r="E35" s="582">
        <v>477419.23</v>
      </c>
      <c r="F35" s="253" t="s">
        <v>966</v>
      </c>
      <c r="G35" s="229" t="s">
        <v>561</v>
      </c>
      <c r="H35" s="589"/>
      <c r="I35" s="256"/>
      <c r="J35" s="256"/>
      <c r="K35" s="256"/>
      <c r="L35" s="256"/>
      <c r="M35" s="590"/>
    </row>
    <row r="36" spans="1:13" x14ac:dyDescent="0.35">
      <c r="A36" s="586"/>
      <c r="B36" s="230" t="s">
        <v>1001</v>
      </c>
      <c r="C36" s="245"/>
      <c r="D36" s="246"/>
      <c r="E36" s="582"/>
      <c r="F36" s="251"/>
      <c r="G36" s="229"/>
      <c r="H36" s="217"/>
      <c r="I36" s="230"/>
      <c r="J36" s="230"/>
      <c r="K36" s="230"/>
      <c r="L36" s="230"/>
      <c r="M36" s="585"/>
    </row>
    <row r="37" spans="1:13" x14ac:dyDescent="0.35">
      <c r="A37" s="586">
        <v>17</v>
      </c>
      <c r="B37" s="230" t="s">
        <v>1037</v>
      </c>
      <c r="C37" s="245" t="s">
        <v>1011</v>
      </c>
      <c r="D37" s="246" t="s">
        <v>1052</v>
      </c>
      <c r="E37" s="582">
        <v>477419.23</v>
      </c>
      <c r="F37" s="253" t="s">
        <v>967</v>
      </c>
      <c r="G37" s="229" t="s">
        <v>561</v>
      </c>
      <c r="H37" s="589"/>
      <c r="I37" s="256"/>
      <c r="J37" s="256"/>
      <c r="K37" s="256"/>
      <c r="L37" s="256"/>
      <c r="M37" s="590"/>
    </row>
    <row r="38" spans="1:13" x14ac:dyDescent="0.35">
      <c r="A38" s="586"/>
      <c r="B38" s="230" t="s">
        <v>1001</v>
      </c>
      <c r="C38" s="245"/>
      <c r="D38" s="246"/>
      <c r="E38" s="582"/>
      <c r="F38" s="251"/>
      <c r="G38" s="229"/>
      <c r="H38" s="217"/>
      <c r="I38" s="230"/>
      <c r="J38" s="230"/>
      <c r="K38" s="230"/>
      <c r="L38" s="230"/>
      <c r="M38" s="585"/>
    </row>
    <row r="39" spans="1:13" x14ac:dyDescent="0.35">
      <c r="A39" s="244">
        <v>18</v>
      </c>
      <c r="B39" s="230" t="s">
        <v>1037</v>
      </c>
      <c r="C39" s="245" t="s">
        <v>1012</v>
      </c>
      <c r="D39" s="246" t="s">
        <v>1052</v>
      </c>
      <c r="E39" s="582">
        <v>477419.23</v>
      </c>
      <c r="F39" s="253" t="s">
        <v>968</v>
      </c>
      <c r="G39" s="229" t="s">
        <v>561</v>
      </c>
      <c r="H39" s="589"/>
      <c r="I39" s="256"/>
      <c r="J39" s="256"/>
      <c r="K39" s="256"/>
      <c r="L39" s="256"/>
      <c r="M39" s="590"/>
    </row>
    <row r="40" spans="1:13" x14ac:dyDescent="0.35">
      <c r="A40" s="586"/>
      <c r="B40" s="230" t="s">
        <v>1001</v>
      </c>
      <c r="C40" s="476"/>
      <c r="D40" s="587"/>
      <c r="E40" s="588"/>
      <c r="F40" s="254"/>
      <c r="G40" s="257"/>
      <c r="H40" s="589"/>
      <c r="I40" s="256"/>
      <c r="J40" s="256"/>
      <c r="K40" s="256"/>
      <c r="L40" s="256"/>
      <c r="M40" s="590"/>
    </row>
    <row r="41" spans="1:13" x14ac:dyDescent="0.35">
      <c r="A41" s="586">
        <v>19</v>
      </c>
      <c r="B41" s="230" t="s">
        <v>1037</v>
      </c>
      <c r="C41" s="245" t="s">
        <v>1013</v>
      </c>
      <c r="D41" s="246" t="s">
        <v>1052</v>
      </c>
      <c r="E41" s="582">
        <v>477419.23</v>
      </c>
      <c r="F41" s="253" t="s">
        <v>969</v>
      </c>
      <c r="G41" s="229" t="s">
        <v>561</v>
      </c>
      <c r="H41" s="589"/>
      <c r="I41" s="256"/>
      <c r="J41" s="256"/>
      <c r="K41" s="256"/>
      <c r="L41" s="256"/>
      <c r="M41" s="590"/>
    </row>
    <row r="42" spans="1:13" x14ac:dyDescent="0.35">
      <c r="A42" s="586"/>
      <c r="B42" s="230" t="s">
        <v>1001</v>
      </c>
      <c r="C42" s="245"/>
      <c r="D42" s="246"/>
      <c r="E42" s="582"/>
      <c r="F42" s="251"/>
      <c r="G42" s="229"/>
      <c r="H42" s="217"/>
      <c r="I42" s="230"/>
      <c r="J42" s="230"/>
      <c r="K42" s="230"/>
      <c r="L42" s="230"/>
      <c r="M42" s="585"/>
    </row>
    <row r="43" spans="1:13" x14ac:dyDescent="0.35">
      <c r="A43" s="259"/>
      <c r="B43" s="591" t="s">
        <v>1014</v>
      </c>
      <c r="C43" s="260"/>
      <c r="D43" s="261"/>
      <c r="E43" s="303"/>
      <c r="F43" s="592"/>
      <c r="G43" s="262"/>
      <c r="H43" s="262"/>
      <c r="I43" s="262"/>
      <c r="J43" s="262"/>
      <c r="K43" s="262"/>
      <c r="L43" s="262"/>
      <c r="M43" s="592"/>
    </row>
    <row r="44" spans="1:13" x14ac:dyDescent="0.35">
      <c r="A44" s="244">
        <v>20</v>
      </c>
      <c r="B44" s="230" t="s">
        <v>1017</v>
      </c>
      <c r="C44" s="245" t="s">
        <v>1016</v>
      </c>
      <c r="D44" s="246" t="s">
        <v>1052</v>
      </c>
      <c r="E44" s="304">
        <v>24969.62</v>
      </c>
      <c r="F44" s="249" t="s">
        <v>959</v>
      </c>
      <c r="G44" s="263" t="s">
        <v>561</v>
      </c>
      <c r="H44" s="230"/>
      <c r="I44" s="230"/>
      <c r="J44" s="230"/>
      <c r="K44" s="230"/>
      <c r="L44" s="230"/>
      <c r="M44" s="249"/>
    </row>
    <row r="45" spans="1:13" x14ac:dyDescent="0.35">
      <c r="A45" s="244">
        <v>21</v>
      </c>
      <c r="B45" s="230" t="s">
        <v>1017</v>
      </c>
      <c r="C45" s="245" t="s">
        <v>1039</v>
      </c>
      <c r="D45" s="246" t="s">
        <v>1052</v>
      </c>
      <c r="E45" s="304">
        <v>24969.62</v>
      </c>
      <c r="F45" s="249" t="s">
        <v>960</v>
      </c>
      <c r="G45" s="263" t="s">
        <v>561</v>
      </c>
      <c r="H45" s="230"/>
      <c r="I45" s="230"/>
      <c r="J45" s="230"/>
      <c r="K45" s="230"/>
      <c r="L45" s="230"/>
      <c r="M45" s="249"/>
    </row>
    <row r="46" spans="1:13" x14ac:dyDescent="0.35">
      <c r="A46" s="244">
        <v>22</v>
      </c>
      <c r="B46" s="230" t="s">
        <v>1017</v>
      </c>
      <c r="C46" s="245" t="s">
        <v>1040</v>
      </c>
      <c r="D46" s="246" t="s">
        <v>1052</v>
      </c>
      <c r="E46" s="304">
        <v>24969.62</v>
      </c>
      <c r="F46" s="249" t="s">
        <v>1038</v>
      </c>
      <c r="G46" s="263" t="s">
        <v>561</v>
      </c>
      <c r="H46" s="230"/>
      <c r="I46" s="230"/>
      <c r="J46" s="230"/>
      <c r="K46" s="230"/>
      <c r="L46" s="230"/>
      <c r="M46" s="249"/>
    </row>
    <row r="47" spans="1:13" x14ac:dyDescent="0.35">
      <c r="A47" s="244">
        <v>23</v>
      </c>
      <c r="B47" s="230" t="s">
        <v>1017</v>
      </c>
      <c r="C47" s="245" t="s">
        <v>1041</v>
      </c>
      <c r="D47" s="246" t="s">
        <v>1052</v>
      </c>
      <c r="E47" s="304">
        <v>24969.62</v>
      </c>
      <c r="F47" s="249" t="s">
        <v>1055</v>
      </c>
      <c r="G47" s="263" t="s">
        <v>561</v>
      </c>
      <c r="H47" s="230"/>
      <c r="I47" s="230"/>
      <c r="J47" s="230"/>
      <c r="K47" s="230"/>
      <c r="L47" s="230"/>
      <c r="M47" s="249"/>
    </row>
    <row r="48" spans="1:13" x14ac:dyDescent="0.35">
      <c r="A48" s="244">
        <v>24</v>
      </c>
      <c r="B48" s="230" t="s">
        <v>1017</v>
      </c>
      <c r="C48" s="245" t="s">
        <v>1042</v>
      </c>
      <c r="D48" s="246" t="s">
        <v>1052</v>
      </c>
      <c r="E48" s="304">
        <v>24969.62</v>
      </c>
      <c r="F48" s="249" t="s">
        <v>962</v>
      </c>
      <c r="G48" s="263" t="s">
        <v>561</v>
      </c>
      <c r="H48" s="230"/>
      <c r="I48" s="230"/>
      <c r="J48" s="230"/>
      <c r="K48" s="230"/>
      <c r="L48" s="230"/>
      <c r="M48" s="249"/>
    </row>
    <row r="49" spans="1:15" x14ac:dyDescent="0.35">
      <c r="A49" s="244">
        <v>25</v>
      </c>
      <c r="B49" s="230" t="s">
        <v>1017</v>
      </c>
      <c r="C49" s="245" t="s">
        <v>1043</v>
      </c>
      <c r="D49" s="246" t="s">
        <v>1052</v>
      </c>
      <c r="E49" s="304">
        <v>24969.62</v>
      </c>
      <c r="F49" s="249" t="s">
        <v>963</v>
      </c>
      <c r="G49" s="263" t="s">
        <v>561</v>
      </c>
      <c r="H49" s="230"/>
      <c r="I49" s="230"/>
      <c r="J49" s="230"/>
      <c r="K49" s="230"/>
      <c r="L49" s="230"/>
      <c r="M49" s="249"/>
    </row>
    <row r="50" spans="1:15" x14ac:dyDescent="0.35">
      <c r="A50" s="244">
        <v>26</v>
      </c>
      <c r="B50" s="230" t="s">
        <v>1017</v>
      </c>
      <c r="C50" s="245" t="s">
        <v>1044</v>
      </c>
      <c r="D50" s="246" t="s">
        <v>1052</v>
      </c>
      <c r="E50" s="304">
        <v>24969.63</v>
      </c>
      <c r="F50" s="249" t="s">
        <v>965</v>
      </c>
      <c r="G50" s="263" t="s">
        <v>561</v>
      </c>
      <c r="H50" s="230"/>
      <c r="I50" s="230"/>
      <c r="J50" s="230"/>
      <c r="K50" s="230"/>
      <c r="L50" s="230"/>
      <c r="M50" s="249"/>
      <c r="N50" s="501">
        <f>SUM(E27:E50)</f>
        <v>3994141.1900000004</v>
      </c>
    </row>
    <row r="51" spans="1:15" x14ac:dyDescent="0.35">
      <c r="A51" s="244">
        <v>27</v>
      </c>
      <c r="B51" s="230" t="s">
        <v>1017</v>
      </c>
      <c r="C51" s="245" t="s">
        <v>1045</v>
      </c>
      <c r="D51" s="246" t="s">
        <v>1052</v>
      </c>
      <c r="E51" s="304">
        <v>24969.63</v>
      </c>
      <c r="F51" s="249" t="s">
        <v>964</v>
      </c>
      <c r="G51" s="263" t="s">
        <v>561</v>
      </c>
      <c r="H51" s="230"/>
      <c r="I51" s="230"/>
      <c r="J51" s="230"/>
      <c r="K51" s="230"/>
      <c r="L51" s="230"/>
      <c r="M51" s="249"/>
    </row>
    <row r="52" spans="1:15" x14ac:dyDescent="0.35">
      <c r="A52" s="244">
        <v>28</v>
      </c>
      <c r="B52" s="230" t="s">
        <v>1017</v>
      </c>
      <c r="C52" s="245" t="s">
        <v>1046</v>
      </c>
      <c r="D52" s="246" t="s">
        <v>1052</v>
      </c>
      <c r="E52" s="304">
        <v>24969.63</v>
      </c>
      <c r="F52" s="249" t="s">
        <v>966</v>
      </c>
      <c r="G52" s="263" t="s">
        <v>561</v>
      </c>
      <c r="H52" s="230"/>
      <c r="I52" s="230"/>
      <c r="J52" s="230"/>
      <c r="K52" s="230"/>
      <c r="L52" s="230"/>
      <c r="M52" s="249"/>
    </row>
    <row r="53" spans="1:15" x14ac:dyDescent="0.35">
      <c r="A53" s="244">
        <v>29</v>
      </c>
      <c r="B53" s="230" t="s">
        <v>1017</v>
      </c>
      <c r="C53" s="245" t="s">
        <v>1047</v>
      </c>
      <c r="D53" s="246" t="s">
        <v>1052</v>
      </c>
      <c r="E53" s="304">
        <v>24969.63</v>
      </c>
      <c r="F53" s="249" t="s">
        <v>967</v>
      </c>
      <c r="G53" s="263" t="s">
        <v>561</v>
      </c>
      <c r="H53" s="230"/>
      <c r="I53" s="230"/>
      <c r="J53" s="230"/>
      <c r="K53" s="230"/>
      <c r="L53" s="230"/>
      <c r="M53" s="249"/>
    </row>
    <row r="54" spans="1:15" x14ac:dyDescent="0.35">
      <c r="A54" s="244">
        <v>30</v>
      </c>
      <c r="B54" s="230" t="s">
        <v>1017</v>
      </c>
      <c r="C54" s="245" t="s">
        <v>1048</v>
      </c>
      <c r="D54" s="246" t="s">
        <v>1052</v>
      </c>
      <c r="E54" s="304">
        <v>24969.63</v>
      </c>
      <c r="F54" s="249" t="s">
        <v>968</v>
      </c>
      <c r="G54" s="263" t="s">
        <v>561</v>
      </c>
      <c r="H54" s="230"/>
      <c r="I54" s="230"/>
      <c r="J54" s="230"/>
      <c r="K54" s="230"/>
      <c r="L54" s="230"/>
      <c r="M54" s="249"/>
    </row>
    <row r="55" spans="1:15" x14ac:dyDescent="0.35">
      <c r="A55" s="244">
        <v>31</v>
      </c>
      <c r="B55" s="264" t="s">
        <v>1015</v>
      </c>
      <c r="C55" s="265" t="s">
        <v>1049</v>
      </c>
      <c r="D55" s="266" t="s">
        <v>1052</v>
      </c>
      <c r="E55" s="304">
        <v>24969.63</v>
      </c>
      <c r="F55" s="267" t="s">
        <v>969</v>
      </c>
      <c r="G55" s="268" t="s">
        <v>561</v>
      </c>
      <c r="H55" s="269"/>
      <c r="I55" s="269"/>
      <c r="J55" s="269"/>
      <c r="K55" s="269"/>
      <c r="L55" s="269"/>
      <c r="M55" s="270"/>
    </row>
    <row r="56" spans="1:15" ht="21.75" thickBot="1" x14ac:dyDescent="0.4">
      <c r="A56" s="224"/>
      <c r="B56" s="225"/>
      <c r="C56" s="225"/>
      <c r="D56" s="271" t="s">
        <v>505</v>
      </c>
      <c r="E56" s="305">
        <f>SUM(E7:E55)</f>
        <v>9404023.2600000035</v>
      </c>
      <c r="F56" s="593"/>
      <c r="G56" s="225"/>
      <c r="H56" s="225"/>
      <c r="I56" s="225"/>
      <c r="J56" s="225"/>
      <c r="K56" s="225"/>
      <c r="L56" s="225"/>
      <c r="M56" s="272"/>
      <c r="N56" s="678">
        <f>SUM(E56)</f>
        <v>9404023.2600000035</v>
      </c>
      <c r="O56" s="273"/>
    </row>
    <row r="57" spans="1:15" s="314" customFormat="1" ht="21.75" thickTop="1" x14ac:dyDescent="0.3">
      <c r="A57" s="594"/>
      <c r="B57" s="676" t="s">
        <v>1068</v>
      </c>
      <c r="C57" s="596"/>
      <c r="D57" s="597"/>
      <c r="E57" s="598"/>
      <c r="F57" s="595"/>
      <c r="G57" s="599"/>
      <c r="H57" s="599"/>
      <c r="I57" s="600"/>
      <c r="J57" s="600"/>
      <c r="K57" s="600"/>
      <c r="L57" s="600"/>
      <c r="M57" s="601"/>
      <c r="N57" s="679"/>
    </row>
    <row r="58" spans="1:15" s="314" customFormat="1" ht="19.5" x14ac:dyDescent="0.3">
      <c r="A58" s="602">
        <v>1</v>
      </c>
      <c r="B58" s="603" t="s">
        <v>1222</v>
      </c>
      <c r="C58" s="604" t="s">
        <v>1069</v>
      </c>
      <c r="D58" s="605" t="s">
        <v>1072</v>
      </c>
      <c r="E58" s="606">
        <v>35000</v>
      </c>
      <c r="F58" s="607" t="s">
        <v>1131</v>
      </c>
      <c r="G58" s="608" t="s">
        <v>561</v>
      </c>
      <c r="H58" s="608"/>
      <c r="I58" s="609"/>
      <c r="J58" s="609"/>
      <c r="K58" s="609"/>
      <c r="L58" s="608"/>
      <c r="M58" s="610" t="s">
        <v>1223</v>
      </c>
      <c r="N58" s="679"/>
    </row>
    <row r="59" spans="1:15" s="314" customFormat="1" ht="19.5" x14ac:dyDescent="0.3">
      <c r="A59" s="611">
        <v>2</v>
      </c>
      <c r="B59" s="612" t="s">
        <v>1071</v>
      </c>
      <c r="C59" s="613" t="s">
        <v>1070</v>
      </c>
      <c r="D59" s="614" t="s">
        <v>1072</v>
      </c>
      <c r="E59" s="615">
        <v>2000</v>
      </c>
      <c r="F59" s="616" t="s">
        <v>1131</v>
      </c>
      <c r="G59" s="617" t="s">
        <v>561</v>
      </c>
      <c r="H59" s="611"/>
      <c r="I59" s="618"/>
      <c r="J59" s="618"/>
      <c r="K59" s="618"/>
      <c r="L59" s="617"/>
      <c r="M59" s="619" t="s">
        <v>1224</v>
      </c>
      <c r="N59" s="679"/>
    </row>
    <row r="60" spans="1:15" s="314" customFormat="1" ht="20.25" thickBot="1" x14ac:dyDescent="0.35">
      <c r="A60" s="620"/>
      <c r="B60" s="621"/>
      <c r="C60" s="622"/>
      <c r="D60" s="623" t="s">
        <v>505</v>
      </c>
      <c r="E60" s="624">
        <f>SUM(E58:E59)</f>
        <v>37000</v>
      </c>
      <c r="F60" s="625"/>
      <c r="G60" s="626"/>
      <c r="H60" s="626"/>
      <c r="I60" s="626"/>
      <c r="J60" s="626"/>
      <c r="K60" s="626"/>
      <c r="L60" s="626"/>
      <c r="M60" s="627"/>
      <c r="N60" s="683">
        <f>+E60</f>
        <v>37000</v>
      </c>
    </row>
    <row r="61" spans="1:15" ht="21.75" thickTop="1" x14ac:dyDescent="0.35">
      <c r="A61" s="241"/>
      <c r="B61" s="242" t="s">
        <v>507</v>
      </c>
      <c r="C61" s="576"/>
      <c r="D61" s="262"/>
      <c r="E61" s="303"/>
      <c r="F61" s="628"/>
      <c r="G61" s="243"/>
      <c r="H61" s="629"/>
      <c r="I61" s="243"/>
      <c r="J61" s="243"/>
      <c r="K61" s="243"/>
      <c r="L61" s="243"/>
      <c r="M61" s="628"/>
    </row>
    <row r="62" spans="1:15" x14ac:dyDescent="0.35">
      <c r="A62" s="630">
        <v>1</v>
      </c>
      <c r="B62" s="631" t="s">
        <v>573</v>
      </c>
      <c r="C62" s="630" t="s">
        <v>574</v>
      </c>
      <c r="D62" s="632" t="s">
        <v>1023</v>
      </c>
      <c r="E62" s="633">
        <v>53900</v>
      </c>
      <c r="F62" s="634" t="s">
        <v>1130</v>
      </c>
      <c r="G62" s="635" t="s">
        <v>561</v>
      </c>
      <c r="H62" s="581"/>
      <c r="I62" s="262"/>
      <c r="J62" s="262"/>
      <c r="K62" s="262"/>
      <c r="L62" s="262"/>
      <c r="M62" s="592"/>
    </row>
    <row r="63" spans="1:15" x14ac:dyDescent="0.35">
      <c r="A63" s="636">
        <v>2</v>
      </c>
      <c r="B63" s="637" t="s">
        <v>786</v>
      </c>
      <c r="C63" s="638" t="s">
        <v>789</v>
      </c>
      <c r="D63" s="639" t="s">
        <v>790</v>
      </c>
      <c r="E63" s="640">
        <v>74000</v>
      </c>
      <c r="F63" s="634" t="s">
        <v>1130</v>
      </c>
      <c r="G63" s="635" t="s">
        <v>561</v>
      </c>
      <c r="H63" s="581"/>
      <c r="I63" s="262"/>
      <c r="J63" s="262"/>
      <c r="K63" s="262"/>
      <c r="L63" s="262"/>
      <c r="M63" s="592"/>
    </row>
    <row r="64" spans="1:15" x14ac:dyDescent="0.35">
      <c r="A64" s="636"/>
      <c r="B64" s="637" t="s">
        <v>787</v>
      </c>
      <c r="C64" s="638"/>
      <c r="D64" s="639"/>
      <c r="E64" s="640"/>
      <c r="F64" s="634"/>
      <c r="G64" s="635"/>
      <c r="H64" s="581"/>
      <c r="I64" s="262"/>
      <c r="J64" s="262"/>
      <c r="K64" s="262"/>
      <c r="L64" s="262"/>
      <c r="M64" s="592"/>
    </row>
    <row r="65" spans="1:15" x14ac:dyDescent="0.35">
      <c r="A65" s="641"/>
      <c r="B65" s="637" t="s">
        <v>788</v>
      </c>
      <c r="C65" s="638"/>
      <c r="D65" s="639"/>
      <c r="E65" s="640"/>
      <c r="F65" s="634"/>
      <c r="G65" s="635"/>
      <c r="H65" s="581"/>
      <c r="I65" s="262"/>
      <c r="J65" s="262"/>
      <c r="K65" s="262"/>
      <c r="L65" s="262"/>
      <c r="M65" s="592"/>
    </row>
    <row r="66" spans="1:15" x14ac:dyDescent="0.35">
      <c r="A66" s="643">
        <v>3</v>
      </c>
      <c r="B66" s="642" t="s">
        <v>1229</v>
      </c>
      <c r="C66" s="643" t="s">
        <v>1104</v>
      </c>
      <c r="D66" s="644" t="s">
        <v>1105</v>
      </c>
      <c r="E66" s="645">
        <v>26960</v>
      </c>
      <c r="F66" s="634" t="s">
        <v>1130</v>
      </c>
      <c r="G66" s="646" t="s">
        <v>561</v>
      </c>
      <c r="H66" s="38"/>
      <c r="I66" s="230"/>
      <c r="J66" s="230"/>
      <c r="K66" s="230"/>
      <c r="L66" s="230"/>
      <c r="M66" s="251"/>
    </row>
    <row r="67" spans="1:15" x14ac:dyDescent="0.35">
      <c r="A67" s="636"/>
      <c r="B67" s="631" t="s">
        <v>1103</v>
      </c>
      <c r="C67" s="630"/>
      <c r="D67" s="647"/>
      <c r="E67" s="648"/>
      <c r="F67" s="649"/>
      <c r="G67" s="631"/>
      <c r="H67" s="30"/>
      <c r="I67" s="230"/>
      <c r="J67" s="230"/>
      <c r="K67" s="230"/>
      <c r="L67" s="230"/>
      <c r="M67" s="650"/>
    </row>
    <row r="68" spans="1:15" x14ac:dyDescent="0.35">
      <c r="A68" s="636">
        <v>4</v>
      </c>
      <c r="B68" s="642" t="s">
        <v>1111</v>
      </c>
      <c r="C68" s="643" t="s">
        <v>1106</v>
      </c>
      <c r="D68" s="644" t="s">
        <v>1105</v>
      </c>
      <c r="E68" s="633">
        <v>56000</v>
      </c>
      <c r="F68" s="634" t="s">
        <v>1130</v>
      </c>
      <c r="G68" s="635" t="s">
        <v>561</v>
      </c>
      <c r="H68" s="30"/>
      <c r="I68" s="230"/>
      <c r="J68" s="230"/>
      <c r="K68" s="230"/>
      <c r="L68" s="230"/>
      <c r="M68" s="251"/>
    </row>
    <row r="69" spans="1:15" s="233" customFormat="1" x14ac:dyDescent="0.35">
      <c r="A69" s="651"/>
      <c r="B69" s="652" t="s">
        <v>1102</v>
      </c>
      <c r="C69" s="653"/>
      <c r="D69" s="654"/>
      <c r="E69" s="655"/>
      <c r="F69" s="313"/>
      <c r="G69" s="656"/>
      <c r="H69" s="285"/>
      <c r="I69" s="285"/>
      <c r="J69" s="285"/>
      <c r="K69" s="285"/>
      <c r="L69" s="285"/>
      <c r="M69" s="465"/>
      <c r="N69" s="680"/>
    </row>
    <row r="70" spans="1:15" ht="21.75" thickBot="1" x14ac:dyDescent="0.4">
      <c r="D70" s="271" t="s">
        <v>505</v>
      </c>
      <c r="E70" s="305">
        <f>SUM(E62:E68)</f>
        <v>210860</v>
      </c>
      <c r="F70" s="286"/>
      <c r="M70" s="286"/>
      <c r="N70" s="501" t="e">
        <f>+E51+E52+E53+E54+E55+E58+E59+E62+E63+#REF!+E66+E68</f>
        <v>#REF!</v>
      </c>
      <c r="O70" s="273"/>
    </row>
    <row r="71" spans="1:15" s="700" customFormat="1" ht="21.75" thickTop="1" x14ac:dyDescent="0.35">
      <c r="D71" s="287"/>
      <c r="E71" s="489"/>
      <c r="F71" s="715"/>
      <c r="M71" s="715"/>
      <c r="N71" s="716">
        <f>+E70</f>
        <v>210860</v>
      </c>
      <c r="O71" s="717"/>
    </row>
    <row r="72" spans="1:15" x14ac:dyDescent="0.35">
      <c r="D72" s="287"/>
      <c r="E72" s="657"/>
      <c r="F72" s="286"/>
      <c r="M72" s="286"/>
      <c r="O72" s="273"/>
    </row>
    <row r="73" spans="1:15" x14ac:dyDescent="0.35">
      <c r="A73" s="288"/>
      <c r="B73" s="242" t="s">
        <v>1110</v>
      </c>
      <c r="C73" s="289"/>
      <c r="D73" s="658"/>
      <c r="E73" s="659"/>
      <c r="F73" s="448"/>
      <c r="G73" s="660"/>
      <c r="H73" s="629"/>
      <c r="I73" s="243"/>
      <c r="J73" s="243"/>
      <c r="K73" s="243"/>
      <c r="L73" s="243"/>
      <c r="M73" s="628"/>
    </row>
    <row r="74" spans="1:15" x14ac:dyDescent="0.35">
      <c r="A74" s="290">
        <v>1</v>
      </c>
      <c r="B74" s="45" t="s">
        <v>1112</v>
      </c>
      <c r="C74" s="261" t="s">
        <v>1122</v>
      </c>
      <c r="D74" s="280" t="s">
        <v>1105</v>
      </c>
      <c r="E74" s="661">
        <v>31000</v>
      </c>
      <c r="F74" s="585" t="s">
        <v>1097</v>
      </c>
      <c r="G74" s="263" t="s">
        <v>561</v>
      </c>
      <c r="H74" s="581"/>
      <c r="I74" s="262"/>
      <c r="J74" s="262"/>
      <c r="K74" s="262"/>
      <c r="L74" s="262"/>
      <c r="M74" s="592"/>
    </row>
    <row r="75" spans="1:15" x14ac:dyDescent="0.35">
      <c r="A75" s="290"/>
      <c r="B75" s="262" t="s">
        <v>1114</v>
      </c>
      <c r="C75" s="261"/>
      <c r="D75" s="291"/>
      <c r="E75" s="661"/>
      <c r="F75" s="57"/>
      <c r="G75" s="263"/>
      <c r="H75" s="581"/>
      <c r="I75" s="262"/>
      <c r="J75" s="262"/>
      <c r="K75" s="262"/>
      <c r="L75" s="262"/>
      <c r="M75" s="592"/>
    </row>
    <row r="76" spans="1:15" x14ac:dyDescent="0.35">
      <c r="A76" s="290"/>
      <c r="B76" s="262" t="s">
        <v>1113</v>
      </c>
      <c r="C76" s="261"/>
      <c r="D76" s="291"/>
      <c r="E76" s="661"/>
      <c r="F76" s="57"/>
      <c r="G76" s="263"/>
      <c r="H76" s="581"/>
      <c r="I76" s="262"/>
      <c r="J76" s="262"/>
      <c r="K76" s="262"/>
      <c r="L76" s="262"/>
      <c r="M76" s="592"/>
    </row>
    <row r="77" spans="1:15" x14ac:dyDescent="0.35">
      <c r="A77" s="290"/>
      <c r="B77" s="262" t="s">
        <v>1115</v>
      </c>
      <c r="C77" s="261"/>
      <c r="D77" s="291"/>
      <c r="E77" s="661"/>
      <c r="F77" s="57"/>
      <c r="G77" s="263"/>
      <c r="H77" s="581"/>
      <c r="I77" s="262"/>
      <c r="J77" s="262"/>
      <c r="K77" s="262"/>
      <c r="L77" s="262"/>
      <c r="M77" s="592"/>
    </row>
    <row r="78" spans="1:15" x14ac:dyDescent="0.35">
      <c r="A78" s="37"/>
      <c r="B78" s="38" t="s">
        <v>1117</v>
      </c>
      <c r="C78" s="37"/>
      <c r="D78" s="280"/>
      <c r="E78" s="308"/>
      <c r="F78" s="57"/>
      <c r="G78" s="263"/>
      <c r="H78" s="38"/>
      <c r="I78" s="230"/>
      <c r="J78" s="230"/>
      <c r="K78" s="230"/>
      <c r="L78" s="230"/>
      <c r="M78" s="251"/>
    </row>
    <row r="79" spans="1:15" x14ac:dyDescent="0.35">
      <c r="A79" s="276"/>
      <c r="B79" s="30" t="s">
        <v>1116</v>
      </c>
      <c r="C79" s="31"/>
      <c r="D79" s="275"/>
      <c r="E79" s="61"/>
      <c r="F79" s="650"/>
      <c r="G79" s="30"/>
      <c r="H79" s="30"/>
      <c r="I79" s="230"/>
      <c r="J79" s="230"/>
      <c r="K79" s="230"/>
      <c r="L79" s="230"/>
      <c r="M79" s="650"/>
    </row>
    <row r="80" spans="1:15" x14ac:dyDescent="0.35">
      <c r="A80" s="276"/>
      <c r="B80" s="38" t="s">
        <v>1118</v>
      </c>
      <c r="C80" s="37"/>
      <c r="D80" s="280"/>
      <c r="E80" s="307"/>
      <c r="F80" s="251"/>
      <c r="G80" s="229"/>
      <c r="H80" s="30"/>
      <c r="I80" s="230"/>
      <c r="J80" s="230"/>
      <c r="K80" s="230"/>
      <c r="L80" s="230"/>
      <c r="M80" s="251"/>
    </row>
    <row r="81" spans="1:15" s="233" customFormat="1" x14ac:dyDescent="0.35">
      <c r="A81" s="212"/>
      <c r="B81" s="30" t="s">
        <v>1119</v>
      </c>
      <c r="C81" s="214"/>
      <c r="D81" s="215"/>
      <c r="E81" s="216"/>
      <c r="F81" s="251"/>
      <c r="G81" s="229"/>
      <c r="H81" s="292"/>
      <c r="I81" s="292"/>
      <c r="J81" s="292"/>
      <c r="K81" s="292"/>
      <c r="L81" s="292"/>
      <c r="M81" s="293"/>
      <c r="N81" s="680"/>
    </row>
    <row r="82" spans="1:15" s="233" customFormat="1" x14ac:dyDescent="0.35">
      <c r="A82" s="662" t="s">
        <v>1120</v>
      </c>
      <c r="B82" s="294" t="s">
        <v>1121</v>
      </c>
      <c r="C82" s="282"/>
      <c r="D82" s="283"/>
      <c r="E82" s="663"/>
      <c r="F82" s="664"/>
      <c r="G82" s="295"/>
      <c r="H82" s="665"/>
      <c r="I82" s="665"/>
      <c r="J82" s="665"/>
      <c r="K82" s="665"/>
      <c r="L82" s="665"/>
      <c r="M82" s="465"/>
      <c r="N82" s="681"/>
    </row>
    <row r="83" spans="1:15" ht="21.75" thickBot="1" x14ac:dyDescent="0.4">
      <c r="A83" s="583"/>
      <c r="D83" s="296" t="s">
        <v>505</v>
      </c>
      <c r="E83" s="309">
        <f>SUM(E74:E81)</f>
        <v>31000</v>
      </c>
      <c r="F83" s="286"/>
      <c r="M83" s="666"/>
      <c r="N83" s="678">
        <f>+E83</f>
        <v>31000</v>
      </c>
      <c r="O83" s="273"/>
    </row>
    <row r="84" spans="1:15" ht="21.75" thickTop="1" x14ac:dyDescent="0.35">
      <c r="A84" s="241"/>
      <c r="B84" s="242" t="s">
        <v>521</v>
      </c>
      <c r="C84" s="576"/>
      <c r="D84" s="262"/>
      <c r="E84" s="303"/>
      <c r="F84" s="667"/>
      <c r="G84" s="243"/>
      <c r="H84" s="629"/>
      <c r="I84" s="243"/>
      <c r="J84" s="243"/>
      <c r="K84" s="243"/>
      <c r="L84" s="243"/>
      <c r="M84" s="667"/>
    </row>
    <row r="85" spans="1:15" x14ac:dyDescent="0.35">
      <c r="A85" s="578">
        <v>1</v>
      </c>
      <c r="B85" s="38" t="s">
        <v>87</v>
      </c>
      <c r="C85" s="299" t="s">
        <v>88</v>
      </c>
      <c r="D85" s="280" t="s">
        <v>520</v>
      </c>
      <c r="E85" s="308">
        <v>119000</v>
      </c>
      <c r="F85" s="251" t="s">
        <v>1130</v>
      </c>
      <c r="G85" s="229" t="s">
        <v>561</v>
      </c>
      <c r="H85" s="263"/>
      <c r="I85" s="262"/>
      <c r="J85" s="262"/>
      <c r="K85" s="262"/>
      <c r="L85" s="262"/>
      <c r="M85" s="585"/>
    </row>
    <row r="86" spans="1:15" x14ac:dyDescent="0.35">
      <c r="A86" s="250"/>
      <c r="B86" s="230" t="s">
        <v>89</v>
      </c>
      <c r="C86" s="245"/>
      <c r="D86" s="255"/>
      <c r="E86" s="304"/>
      <c r="F86" s="249"/>
      <c r="G86" s="230"/>
      <c r="H86" s="230"/>
      <c r="I86" s="230"/>
      <c r="J86" s="230"/>
      <c r="K86" s="230"/>
      <c r="L86" s="230"/>
      <c r="M86" s="249"/>
    </row>
    <row r="87" spans="1:15" x14ac:dyDescent="0.35">
      <c r="A87" s="244">
        <v>2</v>
      </c>
      <c r="B87" s="269" t="s">
        <v>1313</v>
      </c>
      <c r="C87" s="282" t="s">
        <v>1314</v>
      </c>
      <c r="D87" s="283" t="s">
        <v>1315</v>
      </c>
      <c r="E87" s="490">
        <v>85890</v>
      </c>
      <c r="F87" s="267" t="s">
        <v>969</v>
      </c>
      <c r="G87" s="485" t="s">
        <v>561</v>
      </c>
      <c r="H87" s="269"/>
      <c r="I87" s="269"/>
      <c r="J87" s="269"/>
      <c r="K87" s="269"/>
      <c r="L87" s="269"/>
      <c r="M87" s="270"/>
      <c r="N87" s="572"/>
      <c r="O87" s="45"/>
    </row>
    <row r="88" spans="1:15" x14ac:dyDescent="0.35">
      <c r="A88" s="244">
        <v>3</v>
      </c>
      <c r="B88" s="269" t="s">
        <v>1317</v>
      </c>
      <c r="C88" s="282" t="s">
        <v>1316</v>
      </c>
      <c r="D88" s="283" t="s">
        <v>1315</v>
      </c>
      <c r="E88" s="490">
        <v>25990</v>
      </c>
      <c r="F88" s="267" t="s">
        <v>969</v>
      </c>
      <c r="G88" s="485" t="s">
        <v>561</v>
      </c>
      <c r="H88" s="269"/>
      <c r="I88" s="269"/>
      <c r="J88" s="269"/>
      <c r="K88" s="269"/>
      <c r="L88" s="269"/>
      <c r="M88" s="270"/>
      <c r="N88" s="572"/>
      <c r="O88" s="45"/>
    </row>
    <row r="89" spans="1:15" ht="21.75" thickBot="1" x14ac:dyDescent="0.4">
      <c r="A89" s="250"/>
      <c r="B89" s="262"/>
      <c r="C89" s="245"/>
      <c r="D89" s="271" t="s">
        <v>505</v>
      </c>
      <c r="E89" s="305">
        <f>SUM(E85:E88)</f>
        <v>230880</v>
      </c>
      <c r="F89" s="249"/>
      <c r="G89" s="262"/>
      <c r="H89" s="230"/>
      <c r="I89" s="230"/>
      <c r="J89" s="230"/>
      <c r="K89" s="230"/>
      <c r="L89" s="230"/>
      <c r="M89" s="249"/>
      <c r="N89" s="678">
        <f>+E89</f>
        <v>230880</v>
      </c>
    </row>
    <row r="90" spans="1:15" ht="21.75" thickTop="1" x14ac:dyDescent="0.35">
      <c r="A90" s="241"/>
      <c r="B90" s="242" t="s">
        <v>523</v>
      </c>
      <c r="C90" s="576"/>
      <c r="D90" s="243"/>
      <c r="E90" s="310"/>
      <c r="F90" s="628"/>
      <c r="G90" s="243"/>
      <c r="H90" s="243"/>
      <c r="I90" s="243"/>
      <c r="J90" s="243"/>
      <c r="K90" s="243"/>
      <c r="L90" s="243"/>
      <c r="M90" s="628"/>
      <c r="O90" s="273"/>
    </row>
    <row r="91" spans="1:15" x14ac:dyDescent="0.35">
      <c r="A91" s="244">
        <v>1</v>
      </c>
      <c r="B91" s="230" t="s">
        <v>1288</v>
      </c>
      <c r="C91" s="245" t="s">
        <v>93</v>
      </c>
      <c r="D91" s="274" t="s">
        <v>522</v>
      </c>
      <c r="E91" s="216">
        <v>30000</v>
      </c>
      <c r="F91" s="585" t="s">
        <v>673</v>
      </c>
      <c r="G91" s="229" t="s">
        <v>561</v>
      </c>
      <c r="H91" s="279"/>
      <c r="I91" s="230"/>
      <c r="J91" s="230"/>
      <c r="K91" s="230"/>
      <c r="L91" s="230"/>
      <c r="M91" s="249"/>
      <c r="O91" s="273"/>
    </row>
    <row r="92" spans="1:15" x14ac:dyDescent="0.35">
      <c r="A92" s="259"/>
      <c r="B92" s="300" t="s">
        <v>1107</v>
      </c>
      <c r="C92" s="302"/>
      <c r="D92" s="262"/>
      <c r="E92" s="303"/>
      <c r="F92" s="592"/>
      <c r="G92" s="262"/>
      <c r="H92" s="262"/>
      <c r="I92" s="262"/>
      <c r="J92" s="262"/>
      <c r="K92" s="262"/>
      <c r="L92" s="262"/>
      <c r="M92" s="592"/>
    </row>
    <row r="93" spans="1:15" x14ac:dyDescent="0.35">
      <c r="A93" s="282">
        <v>2</v>
      </c>
      <c r="B93" s="269" t="s">
        <v>1108</v>
      </c>
      <c r="C93" s="669" t="s">
        <v>1109</v>
      </c>
      <c r="D93" s="274" t="s">
        <v>1105</v>
      </c>
      <c r="E93" s="61">
        <v>23000</v>
      </c>
      <c r="F93" s="585" t="s">
        <v>1097</v>
      </c>
      <c r="G93" s="229" t="s">
        <v>561</v>
      </c>
      <c r="H93" s="229"/>
      <c r="I93" s="230"/>
      <c r="J93" s="230"/>
      <c r="K93" s="230"/>
      <c r="L93" s="230"/>
      <c r="M93" s="585"/>
      <c r="N93" s="501">
        <f>+E91+E93</f>
        <v>53000</v>
      </c>
    </row>
    <row r="94" spans="1:15" x14ac:dyDescent="0.35">
      <c r="A94" s="224"/>
      <c r="B94" s="670"/>
      <c r="C94" s="671"/>
      <c r="D94" s="316" t="s">
        <v>505</v>
      </c>
      <c r="E94" s="312">
        <f>SUM(E91:E93)</f>
        <v>53000</v>
      </c>
      <c r="F94" s="672"/>
      <c r="G94" s="670"/>
      <c r="H94" s="670"/>
      <c r="I94" s="670"/>
      <c r="J94" s="670"/>
      <c r="K94" s="670"/>
      <c r="L94" s="670"/>
      <c r="M94" s="672"/>
      <c r="N94" s="682">
        <f>+E94</f>
        <v>53000</v>
      </c>
      <c r="O94" s="680">
        <f>+N56+N71+N83+N89+N94+N60</f>
        <v>9966763.2600000035</v>
      </c>
    </row>
    <row r="95" spans="1:15" x14ac:dyDescent="0.35">
      <c r="A95" s="241"/>
      <c r="B95" s="242" t="s">
        <v>886</v>
      </c>
      <c r="C95" s="576"/>
      <c r="D95" s="243"/>
      <c r="E95" s="310"/>
      <c r="F95" s="628"/>
      <c r="G95" s="243"/>
      <c r="H95" s="243"/>
      <c r="I95" s="243"/>
      <c r="J95" s="243"/>
      <c r="K95" s="243"/>
      <c r="L95" s="243"/>
      <c r="M95" s="628"/>
      <c r="O95" s="273"/>
    </row>
    <row r="96" spans="1:15" x14ac:dyDescent="0.35">
      <c r="A96" s="244">
        <v>1</v>
      </c>
      <c r="B96" s="30" t="s">
        <v>1241</v>
      </c>
      <c r="C96" s="298" t="s">
        <v>1242</v>
      </c>
      <c r="D96" s="274" t="s">
        <v>1243</v>
      </c>
      <c r="E96" s="61">
        <v>93890</v>
      </c>
      <c r="F96" s="585" t="s">
        <v>673</v>
      </c>
      <c r="G96" s="229" t="s">
        <v>561</v>
      </c>
      <c r="H96" s="229"/>
      <c r="I96" s="230"/>
      <c r="J96" s="230"/>
      <c r="K96" s="230"/>
      <c r="L96" s="230"/>
      <c r="M96" s="585"/>
      <c r="N96" s="501" t="e">
        <f>+E82+#REF!+E92+E96</f>
        <v>#REF!</v>
      </c>
      <c r="O96" s="273"/>
    </row>
    <row r="97" spans="1:15" x14ac:dyDescent="0.35">
      <c r="A97" s="250"/>
      <c r="B97" s="230"/>
      <c r="C97" s="301"/>
      <c r="D97" s="214"/>
      <c r="E97" s="311"/>
      <c r="F97" s="668"/>
      <c r="G97" s="230"/>
      <c r="H97" s="279"/>
      <c r="I97" s="230"/>
      <c r="J97" s="230"/>
      <c r="K97" s="230"/>
      <c r="L97" s="230"/>
      <c r="M97" s="668"/>
      <c r="O97" s="273"/>
    </row>
    <row r="98" spans="1:15" x14ac:dyDescent="0.35">
      <c r="A98" s="224"/>
      <c r="B98" s="670"/>
      <c r="C98" s="671"/>
      <c r="D98" s="316" t="s">
        <v>505</v>
      </c>
      <c r="E98" s="312">
        <f>SUM(E96:E97)</f>
        <v>93890</v>
      </c>
      <c r="F98" s="672"/>
      <c r="G98" s="670"/>
      <c r="H98" s="670"/>
      <c r="I98" s="670"/>
      <c r="J98" s="670"/>
      <c r="K98" s="670"/>
      <c r="L98" s="670"/>
      <c r="M98" s="672"/>
      <c r="N98" s="682">
        <f>+E98</f>
        <v>93890</v>
      </c>
      <c r="O98" s="680">
        <f>+O94+N98</f>
        <v>10060653.260000004</v>
      </c>
    </row>
    <row r="99" spans="1:15" ht="21.75" thickBot="1" x14ac:dyDescent="0.4">
      <c r="A99" s="224"/>
      <c r="B99" s="673" t="s">
        <v>1348</v>
      </c>
      <c r="C99" s="226"/>
      <c r="D99" s="674" t="s">
        <v>1202</v>
      </c>
      <c r="E99" s="675">
        <f>+E56+E60+E70+E83+E89+E94+E98</f>
        <v>10060653.260000004</v>
      </c>
      <c r="F99" s="670"/>
      <c r="G99" s="670"/>
      <c r="H99" s="670"/>
      <c r="I99" s="670"/>
      <c r="J99" s="670"/>
      <c r="K99" s="670"/>
      <c r="L99" s="670"/>
      <c r="M99" s="670"/>
    </row>
    <row r="100" spans="1:15" ht="24.75" thickTop="1" x14ac:dyDescent="0.35">
      <c r="B100" s="172"/>
      <c r="O100" s="573">
        <f>+E99-O98</f>
        <v>0</v>
      </c>
    </row>
    <row r="101" spans="1:15" ht="24" x14ac:dyDescent="0.35">
      <c r="B101" s="172"/>
    </row>
    <row r="103" spans="1:15" ht="24" x14ac:dyDescent="0.55000000000000004">
      <c r="B103" s="173"/>
    </row>
    <row r="104" spans="1:15" x14ac:dyDescent="0.35">
      <c r="F104" s="286"/>
      <c r="M104" s="286"/>
    </row>
    <row r="105" spans="1:15" x14ac:dyDescent="0.35">
      <c r="F105" s="286"/>
      <c r="M105" s="286"/>
    </row>
    <row r="106" spans="1:15" x14ac:dyDescent="0.35">
      <c r="F106" s="286"/>
      <c r="M106" s="286"/>
    </row>
    <row r="107" spans="1:15" x14ac:dyDescent="0.35">
      <c r="F107" s="286"/>
      <c r="M107" s="286"/>
    </row>
    <row r="108" spans="1:15" x14ac:dyDescent="0.35">
      <c r="F108" s="286"/>
      <c r="M108" s="286"/>
    </row>
    <row r="109" spans="1:15" x14ac:dyDescent="0.35">
      <c r="F109" s="286"/>
      <c r="M109" s="286"/>
    </row>
    <row r="110" spans="1:15" x14ac:dyDescent="0.35">
      <c r="F110" s="286"/>
      <c r="M110" s="286"/>
    </row>
    <row r="111" spans="1:15" x14ac:dyDescent="0.35">
      <c r="F111" s="286"/>
      <c r="M111" s="286"/>
    </row>
    <row r="112" spans="1:15" x14ac:dyDescent="0.35">
      <c r="F112" s="286"/>
      <c r="M112" s="286"/>
    </row>
    <row r="113" spans="6:13" x14ac:dyDescent="0.35">
      <c r="F113" s="286"/>
      <c r="M113" s="286"/>
    </row>
    <row r="114" spans="6:13" x14ac:dyDescent="0.35">
      <c r="F114" s="286"/>
      <c r="M114" s="286"/>
    </row>
    <row r="115" spans="6:13" x14ac:dyDescent="0.35">
      <c r="F115" s="286"/>
      <c r="M115" s="286"/>
    </row>
    <row r="116" spans="6:13" x14ac:dyDescent="0.35">
      <c r="M116" s="286"/>
    </row>
    <row r="117" spans="6:13" x14ac:dyDescent="0.35">
      <c r="M117" s="286"/>
    </row>
  </sheetData>
  <mergeCells count="12">
    <mergeCell ref="M3:M5"/>
    <mergeCell ref="G4:G5"/>
    <mergeCell ref="H4:H5"/>
    <mergeCell ref="J4:J5"/>
    <mergeCell ref="A1:M1"/>
    <mergeCell ref="A2:M2"/>
    <mergeCell ref="A3:A5"/>
    <mergeCell ref="B3:B5"/>
    <mergeCell ref="C3:C5"/>
    <mergeCell ref="E3:E5"/>
    <mergeCell ref="F3:F5"/>
    <mergeCell ref="G3:L3"/>
  </mergeCells>
  <pageMargins left="0.31496062992125984" right="0.19685039370078741" top="0.59055118110236227" bottom="0.59055118110236227" header="0.31496062992125984" footer="0.31496062992125984"/>
  <pageSetup paperSize="9" scale="87" orientation="landscape" horizontalDpi="4294967293" verticalDpi="0" r:id="rId1"/>
  <headerFooter>
    <oddFooter>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O43"/>
  <sheetViews>
    <sheetView zoomScale="150" zoomScaleNormal="150" workbookViewId="0">
      <selection activeCell="A42" sqref="A1:M42"/>
    </sheetView>
  </sheetViews>
  <sheetFormatPr defaultColWidth="9" defaultRowHeight="18.75" x14ac:dyDescent="0.3"/>
  <cols>
    <col min="1" max="1" width="4.25" style="203" bestFit="1" customWidth="1"/>
    <col min="2" max="2" width="32.75" style="3" bestFit="1" customWidth="1"/>
    <col min="3" max="3" width="14.5" style="9" customWidth="1"/>
    <col min="4" max="4" width="14.625" style="10" customWidth="1"/>
    <col min="5" max="5" width="11.25" style="548" customWidth="1"/>
    <col min="6" max="6" width="18.5" style="3" bestFit="1" customWidth="1"/>
    <col min="7" max="7" width="3.75" style="3" bestFit="1" customWidth="1"/>
    <col min="8" max="8" width="3.875" style="3" bestFit="1" customWidth="1"/>
    <col min="9" max="9" width="4.25" style="3" bestFit="1" customWidth="1"/>
    <col min="10" max="10" width="5.625" style="3" customWidth="1"/>
    <col min="11" max="11" width="4.5" style="3" bestFit="1" customWidth="1"/>
    <col min="12" max="12" width="6.75" style="3" bestFit="1" customWidth="1"/>
    <col min="13" max="13" width="9.25" style="3" customWidth="1"/>
    <col min="14" max="14" width="14" style="3" customWidth="1"/>
    <col min="15" max="15" width="11.5" style="3" bestFit="1" customWidth="1"/>
    <col min="16" max="16384" width="9" style="3"/>
  </cols>
  <sheetData>
    <row r="1" spans="1:13" ht="21" x14ac:dyDescent="0.35">
      <c r="A1" s="903" t="s">
        <v>1305</v>
      </c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</row>
    <row r="2" spans="1:13" ht="21" x14ac:dyDescent="0.35">
      <c r="A2" s="878" t="s">
        <v>1137</v>
      </c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</row>
    <row r="3" spans="1:13" x14ac:dyDescent="0.3">
      <c r="A3" s="905" t="s">
        <v>1031</v>
      </c>
      <c r="B3" s="908" t="s">
        <v>1</v>
      </c>
      <c r="C3" s="911" t="s">
        <v>504</v>
      </c>
      <c r="D3" s="174"/>
      <c r="E3" s="914" t="s">
        <v>0</v>
      </c>
      <c r="F3" s="908" t="s">
        <v>549</v>
      </c>
      <c r="G3" s="919" t="s">
        <v>553</v>
      </c>
      <c r="H3" s="920"/>
      <c r="I3" s="920"/>
      <c r="J3" s="920"/>
      <c r="K3" s="920"/>
      <c r="L3" s="921"/>
      <c r="M3" s="908" t="s">
        <v>2</v>
      </c>
    </row>
    <row r="4" spans="1:13" x14ac:dyDescent="0.3">
      <c r="A4" s="906"/>
      <c r="B4" s="909"/>
      <c r="C4" s="912"/>
      <c r="D4" s="175" t="s">
        <v>3</v>
      </c>
      <c r="E4" s="915"/>
      <c r="F4" s="909"/>
      <c r="G4" s="917" t="s">
        <v>550</v>
      </c>
      <c r="H4" s="908" t="s">
        <v>551</v>
      </c>
      <c r="I4" s="176" t="s">
        <v>554</v>
      </c>
      <c r="J4" s="922" t="s">
        <v>552</v>
      </c>
      <c r="K4" s="176" t="s">
        <v>555</v>
      </c>
      <c r="L4" s="177" t="s">
        <v>556</v>
      </c>
      <c r="M4" s="909"/>
    </row>
    <row r="5" spans="1:13" x14ac:dyDescent="0.3">
      <c r="A5" s="907"/>
      <c r="B5" s="910"/>
      <c r="C5" s="913"/>
      <c r="D5" s="178" t="s">
        <v>4</v>
      </c>
      <c r="E5" s="916"/>
      <c r="F5" s="910"/>
      <c r="G5" s="918"/>
      <c r="H5" s="910"/>
      <c r="I5" s="179" t="s">
        <v>557</v>
      </c>
      <c r="J5" s="923"/>
      <c r="K5" s="179" t="s">
        <v>558</v>
      </c>
      <c r="L5" s="180" t="s">
        <v>559</v>
      </c>
      <c r="M5" s="910"/>
    </row>
    <row r="6" spans="1:13" x14ac:dyDescent="0.3">
      <c r="A6" s="182">
        <v>1</v>
      </c>
      <c r="B6" s="107" t="s">
        <v>67</v>
      </c>
      <c r="C6" s="130" t="s">
        <v>68</v>
      </c>
      <c r="D6" s="132" t="s">
        <v>6</v>
      </c>
      <c r="E6" s="549">
        <v>3800</v>
      </c>
      <c r="F6" s="143" t="s">
        <v>1355</v>
      </c>
      <c r="G6" s="152"/>
      <c r="H6" s="130"/>
      <c r="I6" s="152" t="s">
        <v>561</v>
      </c>
      <c r="J6" s="107"/>
      <c r="K6" s="107"/>
      <c r="L6" s="107"/>
      <c r="M6" s="184"/>
    </row>
    <row r="7" spans="1:13" x14ac:dyDescent="0.3">
      <c r="A7" s="182">
        <v>2</v>
      </c>
      <c r="B7" s="107" t="s">
        <v>65</v>
      </c>
      <c r="C7" s="130" t="s">
        <v>66</v>
      </c>
      <c r="D7" s="132" t="s">
        <v>6</v>
      </c>
      <c r="E7" s="549">
        <v>21900</v>
      </c>
      <c r="F7" s="143" t="s">
        <v>1146</v>
      </c>
      <c r="G7" s="152" t="s">
        <v>561</v>
      </c>
      <c r="H7" s="130"/>
      <c r="I7" s="107"/>
      <c r="J7" s="107"/>
      <c r="K7" s="107"/>
      <c r="L7" s="107"/>
      <c r="M7" s="197"/>
    </row>
    <row r="8" spans="1:13" x14ac:dyDescent="0.3">
      <c r="A8" s="182">
        <v>3</v>
      </c>
      <c r="B8" s="107" t="s">
        <v>1123</v>
      </c>
      <c r="C8" s="130" t="s">
        <v>1124</v>
      </c>
      <c r="D8" s="132" t="s">
        <v>1125</v>
      </c>
      <c r="E8" s="549">
        <v>25680</v>
      </c>
      <c r="F8" s="143" t="s">
        <v>1146</v>
      </c>
      <c r="G8" s="152" t="s">
        <v>561</v>
      </c>
      <c r="H8" s="130"/>
      <c r="I8" s="107"/>
      <c r="J8" s="107"/>
      <c r="K8" s="107"/>
      <c r="L8" s="107"/>
      <c r="M8" s="198"/>
    </row>
    <row r="9" spans="1:13" x14ac:dyDescent="0.3">
      <c r="A9" s="182">
        <v>4</v>
      </c>
      <c r="B9" s="107" t="s">
        <v>69</v>
      </c>
      <c r="C9" s="130" t="s">
        <v>70</v>
      </c>
      <c r="D9" s="142" t="s">
        <v>519</v>
      </c>
      <c r="E9" s="549">
        <v>27519</v>
      </c>
      <c r="F9" s="143" t="s">
        <v>676</v>
      </c>
      <c r="G9" s="152" t="s">
        <v>561</v>
      </c>
      <c r="H9" s="130"/>
      <c r="I9" s="107"/>
      <c r="J9" s="107"/>
      <c r="K9" s="107"/>
      <c r="L9" s="107"/>
      <c r="M9" s="143"/>
    </row>
    <row r="10" spans="1:13" x14ac:dyDescent="0.3">
      <c r="A10" s="182">
        <v>5</v>
      </c>
      <c r="B10" s="131" t="s">
        <v>71</v>
      </c>
      <c r="C10" s="130" t="s">
        <v>72</v>
      </c>
      <c r="D10" s="142" t="s">
        <v>519</v>
      </c>
      <c r="E10" s="549" t="s">
        <v>1142</v>
      </c>
      <c r="F10" s="195" t="s">
        <v>1148</v>
      </c>
      <c r="G10" s="152" t="s">
        <v>561</v>
      </c>
      <c r="H10" s="130"/>
      <c r="I10" s="107"/>
      <c r="J10" s="107"/>
      <c r="K10" s="107"/>
      <c r="L10" s="107"/>
      <c r="M10" s="143"/>
    </row>
    <row r="11" spans="1:13" x14ac:dyDescent="0.3">
      <c r="A11" s="182">
        <v>6</v>
      </c>
      <c r="B11" s="107" t="s">
        <v>1150</v>
      </c>
      <c r="C11" s="130" t="s">
        <v>74</v>
      </c>
      <c r="D11" s="142" t="s">
        <v>506</v>
      </c>
      <c r="E11" s="549">
        <v>5000</v>
      </c>
      <c r="F11" s="196" t="s">
        <v>1146</v>
      </c>
      <c r="G11" s="152" t="s">
        <v>561</v>
      </c>
      <c r="H11" s="130"/>
      <c r="I11" s="107"/>
      <c r="J11" s="107"/>
      <c r="K11" s="107"/>
      <c r="L11" s="107"/>
      <c r="M11" s="143"/>
    </row>
    <row r="12" spans="1:13" x14ac:dyDescent="0.3">
      <c r="A12" s="182">
        <v>7</v>
      </c>
      <c r="B12" s="107" t="s">
        <v>575</v>
      </c>
      <c r="C12" s="144" t="s">
        <v>677</v>
      </c>
      <c r="D12" s="153" t="s">
        <v>699</v>
      </c>
      <c r="E12" s="551">
        <v>16900</v>
      </c>
      <c r="F12" s="143" t="s">
        <v>1035</v>
      </c>
      <c r="G12" s="152" t="s">
        <v>561</v>
      </c>
      <c r="H12" s="130"/>
      <c r="I12" s="107"/>
      <c r="J12" s="107"/>
      <c r="K12" s="107"/>
      <c r="L12" s="107"/>
      <c r="M12" s="143"/>
    </row>
    <row r="13" spans="1:13" x14ac:dyDescent="0.3">
      <c r="A13" s="182">
        <v>8</v>
      </c>
      <c r="B13" s="181" t="s">
        <v>568</v>
      </c>
      <c r="C13" s="101" t="s">
        <v>678</v>
      </c>
      <c r="D13" s="155" t="s">
        <v>699</v>
      </c>
      <c r="E13" s="552">
        <v>5000</v>
      </c>
      <c r="F13" s="143" t="s">
        <v>676</v>
      </c>
      <c r="G13" s="149" t="s">
        <v>561</v>
      </c>
      <c r="H13" s="145"/>
      <c r="I13" s="145"/>
      <c r="J13" s="145"/>
      <c r="K13" s="145"/>
      <c r="L13" s="145"/>
      <c r="M13" s="156"/>
    </row>
    <row r="14" spans="1:13" x14ac:dyDescent="0.3">
      <c r="A14" s="182">
        <v>9</v>
      </c>
      <c r="B14" s="146" t="s">
        <v>576</v>
      </c>
      <c r="C14" s="145" t="s">
        <v>569</v>
      </c>
      <c r="D14" s="155" t="s">
        <v>700</v>
      </c>
      <c r="E14" s="552">
        <v>5000</v>
      </c>
      <c r="F14" s="154" t="s">
        <v>1034</v>
      </c>
      <c r="G14" s="157" t="s">
        <v>561</v>
      </c>
      <c r="H14" s="158"/>
      <c r="I14" s="147"/>
      <c r="J14" s="147"/>
      <c r="K14" s="147"/>
      <c r="L14" s="147"/>
      <c r="M14" s="159"/>
    </row>
    <row r="15" spans="1:13" x14ac:dyDescent="0.3">
      <c r="A15" s="182">
        <v>10</v>
      </c>
      <c r="B15" s="160" t="s">
        <v>73</v>
      </c>
      <c r="C15" s="144" t="s">
        <v>570</v>
      </c>
      <c r="D15" s="161" t="s">
        <v>700</v>
      </c>
      <c r="E15" s="553">
        <v>28633</v>
      </c>
      <c r="F15" s="154" t="s">
        <v>1034</v>
      </c>
      <c r="G15" s="162" t="s">
        <v>561</v>
      </c>
      <c r="H15" s="144"/>
      <c r="I15" s="119"/>
      <c r="J15" s="119"/>
      <c r="K15" s="119"/>
      <c r="L15" s="119"/>
      <c r="M15" s="154"/>
    </row>
    <row r="16" spans="1:13" x14ac:dyDescent="0.3">
      <c r="A16" s="182">
        <v>11</v>
      </c>
      <c r="B16" s="131" t="s">
        <v>1147</v>
      </c>
      <c r="C16" s="130" t="s">
        <v>696</v>
      </c>
      <c r="D16" s="142" t="s">
        <v>697</v>
      </c>
      <c r="E16" s="549">
        <v>12800</v>
      </c>
      <c r="F16" s="143" t="s">
        <v>95</v>
      </c>
      <c r="G16" s="162" t="s">
        <v>561</v>
      </c>
      <c r="H16" s="107"/>
      <c r="I16" s="107"/>
      <c r="J16" s="107"/>
      <c r="K16" s="107"/>
      <c r="L16" s="107"/>
      <c r="M16" s="143"/>
    </row>
    <row r="17" spans="1:14" x14ac:dyDescent="0.3">
      <c r="A17" s="182">
        <v>12</v>
      </c>
      <c r="B17" s="131" t="s">
        <v>698</v>
      </c>
      <c r="C17" s="130" t="s">
        <v>1036</v>
      </c>
      <c r="D17" s="142" t="s">
        <v>697</v>
      </c>
      <c r="E17" s="549">
        <v>3000</v>
      </c>
      <c r="F17" s="195" t="s">
        <v>1146</v>
      </c>
      <c r="G17" s="162" t="s">
        <v>561</v>
      </c>
      <c r="H17" s="107"/>
      <c r="I17" s="107"/>
      <c r="J17" s="107"/>
      <c r="K17" s="107"/>
      <c r="L17" s="107"/>
      <c r="M17" s="143"/>
      <c r="N17" s="165">
        <f>SUM(E6:E17)</f>
        <v>155232</v>
      </c>
    </row>
    <row r="18" spans="1:14" s="792" customFormat="1" x14ac:dyDescent="0.3">
      <c r="A18" s="785">
        <v>13</v>
      </c>
      <c r="B18" s="786" t="s">
        <v>943</v>
      </c>
      <c r="C18" s="787" t="s">
        <v>944</v>
      </c>
      <c r="D18" s="788" t="s">
        <v>1054</v>
      </c>
      <c r="E18" s="549">
        <v>29963.55</v>
      </c>
      <c r="F18" s="789" t="s">
        <v>1149</v>
      </c>
      <c r="G18" s="790" t="s">
        <v>561</v>
      </c>
      <c r="H18" s="787"/>
      <c r="I18" s="786"/>
      <c r="J18" s="786"/>
      <c r="K18" s="786"/>
      <c r="L18" s="786"/>
      <c r="M18" s="791"/>
    </row>
    <row r="19" spans="1:14" s="792" customFormat="1" x14ac:dyDescent="0.3">
      <c r="A19" s="785">
        <v>14</v>
      </c>
      <c r="B19" s="786" t="s">
        <v>1077</v>
      </c>
      <c r="C19" s="787" t="s">
        <v>945</v>
      </c>
      <c r="D19" s="788" t="s">
        <v>1054</v>
      </c>
      <c r="E19" s="549">
        <v>23471.45</v>
      </c>
      <c r="F19" s="793" t="s">
        <v>95</v>
      </c>
      <c r="G19" s="790" t="s">
        <v>561</v>
      </c>
      <c r="H19" s="787"/>
      <c r="I19" s="786"/>
      <c r="J19" s="786"/>
      <c r="K19" s="786"/>
      <c r="L19" s="786"/>
      <c r="M19" s="793"/>
    </row>
    <row r="20" spans="1:14" x14ac:dyDescent="0.3">
      <c r="A20" s="199"/>
      <c r="B20" s="119" t="s">
        <v>1078</v>
      </c>
      <c r="C20" s="130" t="s">
        <v>945</v>
      </c>
      <c r="D20" s="142" t="s">
        <v>1054</v>
      </c>
      <c r="E20" s="550"/>
      <c r="F20" s="143" t="s">
        <v>1035</v>
      </c>
      <c r="G20" s="162"/>
      <c r="H20" s="144"/>
      <c r="I20" s="119"/>
      <c r="J20" s="119"/>
      <c r="K20" s="119"/>
      <c r="L20" s="119"/>
      <c r="M20" s="154"/>
    </row>
    <row r="21" spans="1:14" x14ac:dyDescent="0.3">
      <c r="A21" s="200">
        <v>15</v>
      </c>
      <c r="B21" s="107" t="s">
        <v>1026</v>
      </c>
      <c r="C21" s="163" t="s">
        <v>1028</v>
      </c>
      <c r="D21" s="148" t="s">
        <v>1029</v>
      </c>
      <c r="E21" s="549">
        <v>8600</v>
      </c>
      <c r="F21" s="143" t="s">
        <v>675</v>
      </c>
      <c r="G21" s="149" t="s">
        <v>561</v>
      </c>
      <c r="H21" s="144"/>
      <c r="I21" s="119"/>
      <c r="J21" s="119"/>
      <c r="K21" s="119"/>
      <c r="L21" s="119"/>
      <c r="M21" s="154"/>
    </row>
    <row r="22" spans="1:14" x14ac:dyDescent="0.3">
      <c r="A22" s="200"/>
      <c r="B22" s="119" t="s">
        <v>1027</v>
      </c>
      <c r="C22" s="163"/>
      <c r="D22" s="148"/>
      <c r="E22" s="550"/>
      <c r="F22" s="164"/>
      <c r="G22" s="130"/>
      <c r="H22" s="144"/>
      <c r="I22" s="119"/>
      <c r="J22" s="119"/>
      <c r="K22" s="119"/>
      <c r="L22" s="119"/>
      <c r="M22" s="154"/>
    </row>
    <row r="23" spans="1:14" x14ac:dyDescent="0.3">
      <c r="A23" s="200">
        <v>16</v>
      </c>
      <c r="B23" s="131" t="s">
        <v>1139</v>
      </c>
      <c r="C23" s="163" t="s">
        <v>1030</v>
      </c>
      <c r="D23" s="148" t="s">
        <v>1029</v>
      </c>
      <c r="E23" s="549">
        <v>2200</v>
      </c>
      <c r="F23" s="143" t="s">
        <v>675</v>
      </c>
      <c r="G23" s="149" t="s">
        <v>561</v>
      </c>
      <c r="H23" s="144"/>
      <c r="I23" s="119"/>
      <c r="J23" s="119"/>
      <c r="K23" s="119"/>
      <c r="L23" s="119"/>
      <c r="M23" s="154"/>
    </row>
    <row r="24" spans="1:14" x14ac:dyDescent="0.3">
      <c r="A24" s="200"/>
      <c r="B24" s="107" t="s">
        <v>1138</v>
      </c>
      <c r="C24" s="169"/>
      <c r="D24" s="132"/>
      <c r="E24" s="549"/>
      <c r="F24" s="170"/>
      <c r="G24" s="130"/>
      <c r="H24" s="130"/>
      <c r="I24" s="107"/>
      <c r="J24" s="107"/>
      <c r="K24" s="107"/>
      <c r="L24" s="107"/>
      <c r="M24" s="143"/>
    </row>
    <row r="25" spans="1:14" x14ac:dyDescent="0.3">
      <c r="A25" s="201">
        <v>17</v>
      </c>
      <c r="B25" s="107" t="s">
        <v>1162</v>
      </c>
      <c r="C25" s="169" t="s">
        <v>1164</v>
      </c>
      <c r="D25" s="132" t="s">
        <v>1194</v>
      </c>
      <c r="E25" s="549">
        <v>3490</v>
      </c>
      <c r="F25" s="170" t="s">
        <v>675</v>
      </c>
      <c r="G25" s="134" t="s">
        <v>561</v>
      </c>
      <c r="H25" s="130"/>
      <c r="I25" s="107"/>
      <c r="J25" s="107"/>
      <c r="K25" s="107"/>
      <c r="L25" s="107"/>
      <c r="M25" s="143"/>
    </row>
    <row r="26" spans="1:14" x14ac:dyDescent="0.3">
      <c r="A26" s="201"/>
      <c r="B26" s="107" t="s">
        <v>1163</v>
      </c>
      <c r="C26" s="169"/>
      <c r="D26" s="132"/>
      <c r="E26" s="549"/>
      <c r="F26" s="170"/>
      <c r="G26" s="130"/>
      <c r="H26" s="130"/>
      <c r="I26" s="107"/>
      <c r="J26" s="107"/>
      <c r="K26" s="107"/>
      <c r="L26" s="107"/>
      <c r="M26" s="143"/>
    </row>
    <row r="27" spans="1:14" x14ac:dyDescent="0.3">
      <c r="A27" s="201">
        <v>18</v>
      </c>
      <c r="B27" s="107" t="s">
        <v>1181</v>
      </c>
      <c r="C27" s="169" t="s">
        <v>1182</v>
      </c>
      <c r="D27" s="132" t="s">
        <v>1183</v>
      </c>
      <c r="E27" s="555">
        <v>12840</v>
      </c>
      <c r="F27" s="143" t="s">
        <v>76</v>
      </c>
      <c r="G27" s="134" t="s">
        <v>561</v>
      </c>
      <c r="H27" s="130"/>
      <c r="I27" s="107"/>
      <c r="J27" s="107"/>
      <c r="K27" s="107"/>
      <c r="L27" s="107"/>
      <c r="M27" s="143"/>
      <c r="N27" s="166"/>
    </row>
    <row r="28" spans="1:14" x14ac:dyDescent="0.3">
      <c r="A28" s="206">
        <v>19</v>
      </c>
      <c r="B28" s="102" t="s">
        <v>1195</v>
      </c>
      <c r="C28" s="171" t="s">
        <v>1140</v>
      </c>
      <c r="D28" s="148" t="s">
        <v>1193</v>
      </c>
      <c r="E28" s="554">
        <v>23810</v>
      </c>
      <c r="F28" s="156" t="s">
        <v>1151</v>
      </c>
      <c r="G28" s="149" t="s">
        <v>561</v>
      </c>
      <c r="H28" s="158"/>
      <c r="I28" s="147"/>
      <c r="J28" s="147"/>
      <c r="K28" s="147"/>
      <c r="L28" s="147"/>
      <c r="M28" s="159"/>
    </row>
    <row r="29" spans="1:14" x14ac:dyDescent="0.3">
      <c r="A29" s="182"/>
      <c r="B29" s="119" t="s">
        <v>1198</v>
      </c>
      <c r="C29" s="163"/>
      <c r="D29" s="132"/>
      <c r="E29" s="550"/>
      <c r="F29" s="164"/>
      <c r="G29" s="130"/>
      <c r="H29" s="144"/>
      <c r="I29" s="119"/>
      <c r="J29" s="119"/>
      <c r="K29" s="119"/>
      <c r="L29" s="119"/>
      <c r="M29" s="154"/>
    </row>
    <row r="30" spans="1:14" x14ac:dyDescent="0.3">
      <c r="A30" s="182">
        <v>20</v>
      </c>
      <c r="B30" s="131" t="s">
        <v>1199</v>
      </c>
      <c r="C30" s="163" t="s">
        <v>1141</v>
      </c>
      <c r="D30" s="148" t="s">
        <v>1193</v>
      </c>
      <c r="E30" s="549">
        <v>3790</v>
      </c>
      <c r="F30" s="143" t="s">
        <v>1151</v>
      </c>
      <c r="G30" s="149" t="s">
        <v>561</v>
      </c>
      <c r="H30" s="144"/>
      <c r="I30" s="119"/>
      <c r="J30" s="119"/>
      <c r="K30" s="119"/>
      <c r="L30" s="119"/>
      <c r="M30" s="154"/>
    </row>
    <row r="31" spans="1:14" x14ac:dyDescent="0.3">
      <c r="A31" s="182"/>
      <c r="B31" s="107" t="s">
        <v>1200</v>
      </c>
      <c r="C31" s="204"/>
      <c r="D31" s="132"/>
      <c r="E31" s="550"/>
      <c r="F31" s="164"/>
      <c r="G31" s="130"/>
      <c r="H31" s="144"/>
      <c r="I31" s="119"/>
      <c r="J31" s="119"/>
      <c r="K31" s="119"/>
      <c r="L31" s="119"/>
      <c r="M31" s="154"/>
    </row>
    <row r="32" spans="1:14" x14ac:dyDescent="0.3">
      <c r="A32" s="182">
        <v>21</v>
      </c>
      <c r="B32" s="119" t="s">
        <v>1196</v>
      </c>
      <c r="C32" s="163" t="s">
        <v>1192</v>
      </c>
      <c r="D32" s="148" t="s">
        <v>1193</v>
      </c>
      <c r="E32" s="549">
        <v>20000</v>
      </c>
      <c r="F32" s="164" t="s">
        <v>674</v>
      </c>
      <c r="G32" s="149" t="s">
        <v>561</v>
      </c>
      <c r="H32" s="144"/>
      <c r="I32" s="119"/>
      <c r="J32" s="119"/>
      <c r="K32" s="119"/>
      <c r="L32" s="119"/>
      <c r="M32" s="154"/>
      <c r="N32" s="185">
        <f>SUM(E25:E32)</f>
        <v>63930</v>
      </c>
    </row>
    <row r="33" spans="1:15" x14ac:dyDescent="0.3">
      <c r="A33" s="201"/>
      <c r="B33" s="107" t="s">
        <v>1197</v>
      </c>
      <c r="C33" s="169"/>
      <c r="D33" s="132"/>
      <c r="E33" s="549"/>
      <c r="F33" s="170"/>
      <c r="G33" s="134"/>
      <c r="H33" s="130"/>
      <c r="I33" s="107"/>
      <c r="J33" s="107"/>
      <c r="K33" s="107"/>
      <c r="L33" s="107"/>
      <c r="M33" s="143"/>
      <c r="N33" s="205"/>
    </row>
    <row r="34" spans="1:15" s="792" customFormat="1" x14ac:dyDescent="0.3">
      <c r="A34" s="794">
        <v>22</v>
      </c>
      <c r="B34" s="786" t="s">
        <v>1195</v>
      </c>
      <c r="C34" s="795" t="s">
        <v>1294</v>
      </c>
      <c r="D34" s="796" t="s">
        <v>1295</v>
      </c>
      <c r="E34" s="549">
        <v>28200</v>
      </c>
      <c r="F34" s="793" t="s">
        <v>1356</v>
      </c>
      <c r="G34" s="797" t="s">
        <v>561</v>
      </c>
      <c r="H34" s="798"/>
      <c r="I34" s="799"/>
      <c r="J34" s="799"/>
      <c r="K34" s="799"/>
      <c r="L34" s="799"/>
      <c r="M34" s="793"/>
      <c r="N34" s="205"/>
    </row>
    <row r="35" spans="1:15" s="792" customFormat="1" x14ac:dyDescent="0.3">
      <c r="A35" s="794"/>
      <c r="B35" s="786" t="s">
        <v>1297</v>
      </c>
      <c r="C35" s="795"/>
      <c r="D35" s="796"/>
      <c r="E35" s="549"/>
      <c r="F35" s="793"/>
      <c r="G35" s="800"/>
      <c r="H35" s="798"/>
      <c r="I35" s="799"/>
      <c r="J35" s="799"/>
      <c r="K35" s="799"/>
      <c r="L35" s="799"/>
      <c r="M35" s="793"/>
      <c r="N35" s="205"/>
    </row>
    <row r="36" spans="1:15" s="792" customFormat="1" x14ac:dyDescent="0.3">
      <c r="A36" s="794">
        <v>23</v>
      </c>
      <c r="B36" s="786" t="s">
        <v>1195</v>
      </c>
      <c r="C36" s="795" t="s">
        <v>1296</v>
      </c>
      <c r="D36" s="796" t="s">
        <v>1295</v>
      </c>
      <c r="E36" s="549">
        <v>28200</v>
      </c>
      <c r="F36" s="793" t="s">
        <v>1357</v>
      </c>
      <c r="G36" s="797" t="s">
        <v>561</v>
      </c>
      <c r="H36" s="798"/>
      <c r="I36" s="799"/>
      <c r="J36" s="799"/>
      <c r="K36" s="799"/>
      <c r="L36" s="799"/>
      <c r="M36" s="793"/>
      <c r="N36" s="205"/>
    </row>
    <row r="37" spans="1:15" s="792" customFormat="1" x14ac:dyDescent="0.3">
      <c r="A37" s="794"/>
      <c r="B37" s="786" t="s">
        <v>1297</v>
      </c>
      <c r="C37" s="795"/>
      <c r="D37" s="796"/>
      <c r="E37" s="549"/>
      <c r="F37" s="793"/>
      <c r="G37" s="800"/>
      <c r="H37" s="798"/>
      <c r="I37" s="799"/>
      <c r="J37" s="799"/>
      <c r="K37" s="799"/>
      <c r="L37" s="799"/>
      <c r="M37" s="793"/>
      <c r="N37" s="205"/>
    </row>
    <row r="38" spans="1:15" s="792" customFormat="1" x14ac:dyDescent="0.3">
      <c r="A38" s="794">
        <v>24</v>
      </c>
      <c r="B38" s="786" t="s">
        <v>1298</v>
      </c>
      <c r="C38" s="795" t="s">
        <v>1299</v>
      </c>
      <c r="D38" s="796" t="s">
        <v>1295</v>
      </c>
      <c r="E38" s="549">
        <v>2800</v>
      </c>
      <c r="F38" s="793" t="s">
        <v>1356</v>
      </c>
      <c r="G38" s="797" t="s">
        <v>561</v>
      </c>
      <c r="H38" s="798"/>
      <c r="I38" s="799"/>
      <c r="J38" s="799"/>
      <c r="K38" s="799"/>
      <c r="L38" s="799"/>
      <c r="M38" s="793"/>
      <c r="N38" s="205"/>
    </row>
    <row r="39" spans="1:15" s="792" customFormat="1" x14ac:dyDescent="0.3">
      <c r="A39" s="794"/>
      <c r="B39" s="786" t="s">
        <v>1297</v>
      </c>
      <c r="C39" s="795"/>
      <c r="D39" s="796"/>
      <c r="E39" s="549"/>
      <c r="F39" s="793"/>
      <c r="G39" s="800"/>
      <c r="H39" s="798"/>
      <c r="I39" s="799"/>
      <c r="J39" s="799"/>
      <c r="K39" s="799"/>
      <c r="L39" s="799"/>
      <c r="M39" s="793"/>
      <c r="N39" s="205"/>
    </row>
    <row r="40" spans="1:15" s="792" customFormat="1" x14ac:dyDescent="0.3">
      <c r="A40" s="794">
        <v>25</v>
      </c>
      <c r="B40" s="786" t="s">
        <v>1298</v>
      </c>
      <c r="C40" s="795" t="s">
        <v>1300</v>
      </c>
      <c r="D40" s="796" t="s">
        <v>1295</v>
      </c>
      <c r="E40" s="549">
        <v>2800</v>
      </c>
      <c r="F40" s="793" t="s">
        <v>1357</v>
      </c>
      <c r="G40" s="797" t="s">
        <v>561</v>
      </c>
      <c r="H40" s="798"/>
      <c r="I40" s="799"/>
      <c r="J40" s="799"/>
      <c r="K40" s="799"/>
      <c r="L40" s="799"/>
      <c r="M40" s="793"/>
      <c r="N40" s="205"/>
    </row>
    <row r="41" spans="1:15" s="792" customFormat="1" x14ac:dyDescent="0.3">
      <c r="A41" s="794"/>
      <c r="B41" s="786" t="s">
        <v>1297</v>
      </c>
      <c r="C41" s="795"/>
      <c r="D41" s="796"/>
      <c r="E41" s="549"/>
      <c r="F41" s="793"/>
      <c r="G41" s="800"/>
      <c r="H41" s="798"/>
      <c r="I41" s="799"/>
      <c r="J41" s="799"/>
      <c r="K41" s="799"/>
      <c r="L41" s="799"/>
      <c r="M41" s="793"/>
      <c r="N41" s="205"/>
    </row>
    <row r="42" spans="1:15" ht="19.5" thickBot="1" x14ac:dyDescent="0.35">
      <c r="A42" s="202"/>
      <c r="B42" s="128"/>
      <c r="C42" s="100"/>
      <c r="D42" s="183" t="s">
        <v>505</v>
      </c>
      <c r="E42" s="547">
        <f>SUM(E6:E41)</f>
        <v>345397</v>
      </c>
      <c r="F42" s="150"/>
      <c r="G42" s="100"/>
      <c r="H42" s="100"/>
      <c r="I42" s="100"/>
      <c r="J42" s="100"/>
      <c r="K42" s="100"/>
      <c r="L42" s="100"/>
      <c r="M42" s="151"/>
      <c r="N42" s="166" t="e">
        <f>+#REF!+N27</f>
        <v>#REF!</v>
      </c>
      <c r="O42" s="165"/>
    </row>
    <row r="43" spans="1:15" ht="19.5" thickTop="1" x14ac:dyDescent="0.3"/>
  </sheetData>
  <mergeCells count="12">
    <mergeCell ref="A1:M1"/>
    <mergeCell ref="A2:M2"/>
    <mergeCell ref="A3:A5"/>
    <mergeCell ref="B3:B5"/>
    <mergeCell ref="C3:C5"/>
    <mergeCell ref="E3:E5"/>
    <mergeCell ref="M3:M5"/>
    <mergeCell ref="G4:G5"/>
    <mergeCell ref="F3:F5"/>
    <mergeCell ref="G3:L3"/>
    <mergeCell ref="H4:H5"/>
    <mergeCell ref="J4:J5"/>
  </mergeCells>
  <pageMargins left="0.19685039370078741" right="0.19685039370078741" top="0.70866141732283472" bottom="0.70866141732283472" header="0.31496062992125984" footer="0.31496062992125984"/>
  <pageSetup paperSize="9" orientation="landscape" horizontalDpi="4294967293" verticalDpi="0" r:id="rId1"/>
  <headerFooter alignWithMargins="0">
    <oddFooter>&amp;R
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M21"/>
  <sheetViews>
    <sheetView zoomScaleNormal="100" workbookViewId="0">
      <selection sqref="A1:M20"/>
    </sheetView>
  </sheetViews>
  <sheetFormatPr defaultRowHeight="14.25" x14ac:dyDescent="0.2"/>
  <cols>
    <col min="1" max="1" width="7" customWidth="1"/>
    <col min="2" max="2" width="23.625" customWidth="1"/>
    <col min="3" max="3" width="14.25" customWidth="1"/>
    <col min="4" max="5" width="11.125" customWidth="1"/>
    <col min="6" max="6" width="20.75" customWidth="1"/>
    <col min="7" max="7" width="4.25" bestFit="1" customWidth="1"/>
    <col min="8" max="8" width="4.5" bestFit="1" customWidth="1"/>
    <col min="9" max="9" width="5" bestFit="1" customWidth="1"/>
    <col min="10" max="10" width="6.25" bestFit="1" customWidth="1"/>
    <col min="11" max="11" width="5.375" bestFit="1" customWidth="1"/>
    <col min="12" max="12" width="7.75" bestFit="1" customWidth="1"/>
    <col min="13" max="13" width="10.75" customWidth="1"/>
  </cols>
  <sheetData>
    <row r="1" spans="1:13" s="19" customFormat="1" ht="21" x14ac:dyDescent="0.35">
      <c r="A1" s="926" t="s">
        <v>1306</v>
      </c>
      <c r="B1" s="926"/>
      <c r="C1" s="926"/>
      <c r="D1" s="926"/>
      <c r="E1" s="926"/>
      <c r="F1" s="926"/>
      <c r="G1" s="926"/>
      <c r="H1" s="926"/>
      <c r="I1" s="926"/>
      <c r="J1" s="926"/>
      <c r="K1" s="926"/>
      <c r="L1" s="926"/>
      <c r="M1" s="926"/>
    </row>
    <row r="2" spans="1:13" s="19" customFormat="1" ht="21" x14ac:dyDescent="0.35">
      <c r="A2" s="878" t="s">
        <v>1137</v>
      </c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</row>
    <row r="3" spans="1:13" s="19" customFormat="1" ht="19.5" x14ac:dyDescent="0.3">
      <c r="A3" s="927" t="s">
        <v>1031</v>
      </c>
      <c r="B3" s="924" t="s">
        <v>1</v>
      </c>
      <c r="C3" s="931" t="s">
        <v>504</v>
      </c>
      <c r="D3" s="87"/>
      <c r="E3" s="934" t="s">
        <v>0</v>
      </c>
      <c r="F3" s="924" t="s">
        <v>549</v>
      </c>
      <c r="G3" s="937" t="s">
        <v>553</v>
      </c>
      <c r="H3" s="938"/>
      <c r="I3" s="938"/>
      <c r="J3" s="938"/>
      <c r="K3" s="938"/>
      <c r="L3" s="939"/>
      <c r="M3" s="924" t="s">
        <v>2</v>
      </c>
    </row>
    <row r="4" spans="1:13" s="19" customFormat="1" ht="19.5" x14ac:dyDescent="0.3">
      <c r="A4" s="928"/>
      <c r="B4" s="930"/>
      <c r="C4" s="932"/>
      <c r="D4" s="88" t="s">
        <v>3</v>
      </c>
      <c r="E4" s="935"/>
      <c r="F4" s="930"/>
      <c r="G4" s="927" t="s">
        <v>550</v>
      </c>
      <c r="H4" s="924" t="s">
        <v>551</v>
      </c>
      <c r="I4" s="89" t="s">
        <v>554</v>
      </c>
      <c r="J4" s="924" t="s">
        <v>552</v>
      </c>
      <c r="K4" s="89" t="s">
        <v>555</v>
      </c>
      <c r="L4" s="90" t="s">
        <v>556</v>
      </c>
      <c r="M4" s="930"/>
    </row>
    <row r="5" spans="1:13" s="19" customFormat="1" ht="19.5" x14ac:dyDescent="0.3">
      <c r="A5" s="929"/>
      <c r="B5" s="925"/>
      <c r="C5" s="933"/>
      <c r="D5" s="91" t="s">
        <v>4</v>
      </c>
      <c r="E5" s="936"/>
      <c r="F5" s="925"/>
      <c r="G5" s="929"/>
      <c r="H5" s="925"/>
      <c r="I5" s="92" t="s">
        <v>557</v>
      </c>
      <c r="J5" s="925"/>
      <c r="K5" s="92" t="s">
        <v>558</v>
      </c>
      <c r="L5" s="93" t="s">
        <v>559</v>
      </c>
      <c r="M5" s="925"/>
    </row>
    <row r="6" spans="1:13" s="20" customFormat="1" ht="21" customHeight="1" x14ac:dyDescent="0.3">
      <c r="A6" s="95">
        <v>1</v>
      </c>
      <c r="B6" s="108" t="s">
        <v>1050</v>
      </c>
      <c r="C6" s="95" t="s">
        <v>1051</v>
      </c>
      <c r="D6" s="97" t="s">
        <v>994</v>
      </c>
      <c r="E6" s="231">
        <v>30000</v>
      </c>
      <c r="F6" s="109" t="s">
        <v>1191</v>
      </c>
      <c r="G6" s="110" t="s">
        <v>561</v>
      </c>
      <c r="H6" s="106"/>
      <c r="I6" s="107"/>
      <c r="J6" s="21"/>
      <c r="K6" s="21"/>
      <c r="L6" s="21"/>
      <c r="M6" s="133"/>
    </row>
    <row r="7" spans="1:13" s="25" customFormat="1" ht="21" customHeight="1" x14ac:dyDescent="0.3">
      <c r="A7" s="106"/>
      <c r="B7" s="96"/>
      <c r="C7" s="95"/>
      <c r="D7" s="97"/>
      <c r="E7" s="111"/>
      <c r="F7" s="96"/>
      <c r="G7" s="112"/>
      <c r="H7" s="107"/>
      <c r="I7" s="107"/>
      <c r="J7" s="21"/>
      <c r="K7" s="21"/>
      <c r="L7" s="21"/>
      <c r="M7" s="24"/>
    </row>
    <row r="8" spans="1:13" s="25" customFormat="1" ht="21" customHeight="1" x14ac:dyDescent="0.3">
      <c r="A8" s="106"/>
      <c r="B8"/>
      <c r="C8" s="95"/>
      <c r="D8" s="97"/>
      <c r="E8" s="111"/>
      <c r="F8" s="96"/>
      <c r="G8" s="112"/>
      <c r="H8" s="113"/>
      <c r="I8" s="107"/>
      <c r="J8" s="21"/>
      <c r="K8" s="21"/>
      <c r="L8" s="21"/>
      <c r="M8" s="26"/>
    </row>
    <row r="9" spans="1:13" s="25" customFormat="1" ht="21" customHeight="1" x14ac:dyDescent="0.3">
      <c r="A9" s="106"/>
      <c r="B9" s="96"/>
      <c r="C9" s="114"/>
      <c r="D9" s="97"/>
      <c r="E9" s="111"/>
      <c r="F9" s="96"/>
      <c r="G9" s="112"/>
      <c r="H9" s="113"/>
      <c r="I9" s="107"/>
      <c r="J9" s="21"/>
      <c r="K9" s="21"/>
      <c r="L9" s="21"/>
      <c r="M9" s="26"/>
    </row>
    <row r="10" spans="1:13" s="25" customFormat="1" ht="21" customHeight="1" x14ac:dyDescent="0.3">
      <c r="A10" s="106"/>
      <c r="B10" s="96"/>
      <c r="C10" s="95"/>
      <c r="D10" s="97"/>
      <c r="E10" s="111"/>
      <c r="F10" s="96"/>
      <c r="G10" s="112"/>
      <c r="H10" s="107"/>
      <c r="I10" s="107"/>
      <c r="J10" s="21"/>
      <c r="K10" s="21"/>
      <c r="L10" s="21"/>
      <c r="M10" s="26"/>
    </row>
    <row r="11" spans="1:13" s="25" customFormat="1" ht="21" customHeight="1" x14ac:dyDescent="0.3">
      <c r="A11" s="106"/>
      <c r="B11" s="96"/>
      <c r="C11" s="103"/>
      <c r="D11" s="97"/>
      <c r="E11" s="115"/>
      <c r="F11" s="98"/>
      <c r="G11" s="112"/>
      <c r="H11" s="113"/>
      <c r="I11" s="107"/>
      <c r="J11" s="21"/>
      <c r="K11" s="21"/>
      <c r="L11" s="21"/>
      <c r="M11" s="26"/>
    </row>
    <row r="12" spans="1:13" s="25" customFormat="1" ht="21" customHeight="1" x14ac:dyDescent="0.3">
      <c r="A12" s="106"/>
      <c r="B12" s="96"/>
      <c r="C12" s="95"/>
      <c r="D12" s="97"/>
      <c r="E12" s="167"/>
      <c r="F12" s="109"/>
      <c r="G12" s="110"/>
      <c r="H12" s="113"/>
      <c r="I12" s="107"/>
      <c r="J12" s="21"/>
      <c r="K12" s="21"/>
      <c r="L12" s="21"/>
      <c r="M12" s="27"/>
    </row>
    <row r="13" spans="1:13" s="25" customFormat="1" ht="21" customHeight="1" x14ac:dyDescent="0.3">
      <c r="A13" s="106"/>
      <c r="B13" s="96"/>
      <c r="C13" s="95"/>
      <c r="D13" s="99"/>
      <c r="E13" s="167"/>
      <c r="F13" s="94"/>
      <c r="G13" s="112"/>
      <c r="H13" s="113"/>
      <c r="I13" s="107"/>
      <c r="J13" s="21"/>
      <c r="K13" s="21"/>
      <c r="L13" s="21"/>
      <c r="M13" s="27"/>
    </row>
    <row r="14" spans="1:13" s="25" customFormat="1" ht="21" customHeight="1" x14ac:dyDescent="0.3">
      <c r="A14" s="106"/>
      <c r="B14" s="96"/>
      <c r="C14" s="95"/>
      <c r="D14" s="104"/>
      <c r="E14" s="167"/>
      <c r="F14" s="94"/>
      <c r="G14" s="110"/>
      <c r="H14" s="113"/>
      <c r="I14" s="107"/>
      <c r="J14" s="21"/>
      <c r="K14" s="21"/>
      <c r="L14" s="21"/>
      <c r="M14" s="27"/>
    </row>
    <row r="15" spans="1:13" s="25" customFormat="1" ht="21" customHeight="1" x14ac:dyDescent="0.3">
      <c r="A15" s="106"/>
      <c r="B15" s="96"/>
      <c r="C15" s="95"/>
      <c r="D15" s="116"/>
      <c r="E15" s="167"/>
      <c r="F15" s="94"/>
      <c r="G15" s="112"/>
      <c r="H15" s="113"/>
      <c r="I15" s="107"/>
      <c r="J15" s="21"/>
      <c r="K15" s="21"/>
      <c r="L15" s="21"/>
      <c r="M15" s="27"/>
    </row>
    <row r="16" spans="1:13" s="25" customFormat="1" ht="21" customHeight="1" x14ac:dyDescent="0.3">
      <c r="A16" s="117"/>
      <c r="B16" s="96"/>
      <c r="C16" s="95"/>
      <c r="D16" s="99"/>
      <c r="E16" s="167"/>
      <c r="F16" s="94"/>
      <c r="G16" s="110"/>
      <c r="H16" s="118"/>
      <c r="I16" s="119"/>
      <c r="J16" s="22"/>
      <c r="K16" s="22"/>
      <c r="L16" s="22"/>
      <c r="M16" s="27"/>
    </row>
    <row r="17" spans="1:13" s="25" customFormat="1" ht="21" customHeight="1" x14ac:dyDescent="0.3">
      <c r="A17" s="117"/>
      <c r="B17" s="96"/>
      <c r="C17" s="95"/>
      <c r="D17" s="99"/>
      <c r="E17" s="167"/>
      <c r="F17" s="94"/>
      <c r="G17" s="112"/>
      <c r="H17" s="118"/>
      <c r="I17" s="119"/>
      <c r="J17" s="22"/>
      <c r="K17" s="22"/>
      <c r="L17" s="22"/>
      <c r="M17" s="27"/>
    </row>
    <row r="18" spans="1:13" s="25" customFormat="1" ht="21" customHeight="1" x14ac:dyDescent="0.3">
      <c r="A18" s="117"/>
      <c r="B18" s="96"/>
      <c r="C18" s="95"/>
      <c r="D18" s="99"/>
      <c r="E18" s="167"/>
      <c r="F18" s="109"/>
      <c r="G18" s="112"/>
      <c r="H18" s="118"/>
      <c r="I18" s="119"/>
      <c r="J18" s="22"/>
      <c r="K18" s="22"/>
      <c r="L18" s="22"/>
      <c r="M18" s="27"/>
    </row>
    <row r="19" spans="1:13" s="25" customFormat="1" ht="21" customHeight="1" x14ac:dyDescent="0.3">
      <c r="A19" s="120"/>
      <c r="B19" s="121"/>
      <c r="C19" s="122"/>
      <c r="D19" s="123"/>
      <c r="E19" s="168"/>
      <c r="F19" s="124"/>
      <c r="G19" s="125"/>
      <c r="H19" s="126"/>
      <c r="I19" s="127"/>
      <c r="J19" s="23"/>
      <c r="K19" s="23"/>
      <c r="L19" s="23"/>
      <c r="M19" s="84"/>
    </row>
    <row r="20" spans="1:13" s="25" customFormat="1" ht="21" customHeight="1" thickBot="1" x14ac:dyDescent="0.35">
      <c r="A20" s="128"/>
      <c r="B20" s="100"/>
      <c r="C20" s="129"/>
      <c r="D20" s="105" t="s">
        <v>505</v>
      </c>
      <c r="E20" s="556">
        <f>SUM(E6:E19)</f>
        <v>30000</v>
      </c>
      <c r="F20" s="128"/>
      <c r="G20" s="100"/>
      <c r="H20" s="100"/>
      <c r="I20" s="100"/>
      <c r="J20" s="85"/>
      <c r="K20" s="85"/>
      <c r="L20" s="85"/>
      <c r="M20" s="86"/>
    </row>
    <row r="21" spans="1:13" ht="15" thickTop="1" x14ac:dyDescent="0.2"/>
  </sheetData>
  <mergeCells count="12">
    <mergeCell ref="H4:H5"/>
    <mergeCell ref="J4:J5"/>
    <mergeCell ref="A1:M1"/>
    <mergeCell ref="A2:M2"/>
    <mergeCell ref="A3:A5"/>
    <mergeCell ref="B3:B5"/>
    <mergeCell ref="C3:C5"/>
    <mergeCell ref="E3:E5"/>
    <mergeCell ref="F3:F5"/>
    <mergeCell ref="G3:L3"/>
    <mergeCell ref="M3:M5"/>
    <mergeCell ref="G4:G5"/>
  </mergeCells>
  <pageMargins left="0.23622047244094491" right="0.23622047244094491" top="0.74803149606299213" bottom="0.74803149606299213" header="0.31496062992125984" footer="0.31496062992125984"/>
  <pageSetup paperSize="9" fitToWidth="0" fitToHeight="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76"/>
  <sheetViews>
    <sheetView topLeftCell="A67" zoomScale="110" zoomScaleNormal="110" workbookViewId="0">
      <selection sqref="A1:M75"/>
    </sheetView>
  </sheetViews>
  <sheetFormatPr defaultRowHeight="14.25" x14ac:dyDescent="0.2"/>
  <cols>
    <col min="1" max="1" width="5.75" customWidth="1"/>
    <col min="2" max="2" width="35.125" customWidth="1"/>
    <col min="3" max="3" width="13.125" customWidth="1"/>
    <col min="4" max="4" width="12.75" customWidth="1"/>
    <col min="6" max="6" width="15" bestFit="1" customWidth="1"/>
    <col min="7" max="7" width="3.75" bestFit="1" customWidth="1"/>
    <col min="8" max="8" width="4.125" bestFit="1" customWidth="1"/>
    <col min="9" max="9" width="4.75" bestFit="1" customWidth="1"/>
    <col min="10" max="10" width="5.75" bestFit="1" customWidth="1"/>
    <col min="11" max="11" width="5.125" bestFit="1" customWidth="1"/>
    <col min="12" max="12" width="7" bestFit="1" customWidth="1"/>
    <col min="13" max="13" width="9.625" customWidth="1"/>
  </cols>
  <sheetData>
    <row r="1" spans="1:15" s="2" customFormat="1" ht="21" x14ac:dyDescent="0.35">
      <c r="A1" s="926" t="s">
        <v>1307</v>
      </c>
      <c r="B1" s="926"/>
      <c r="C1" s="926"/>
      <c r="D1" s="926"/>
      <c r="E1" s="926"/>
      <c r="F1" s="926"/>
      <c r="G1" s="926"/>
      <c r="H1" s="926"/>
      <c r="I1" s="926"/>
      <c r="J1" s="926"/>
      <c r="K1" s="926"/>
      <c r="L1" s="926"/>
      <c r="M1" s="926"/>
      <c r="N1" s="15"/>
    </row>
    <row r="2" spans="1:15" s="2" customFormat="1" ht="21" x14ac:dyDescent="0.35">
      <c r="A2" s="878" t="s">
        <v>1137</v>
      </c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15"/>
    </row>
    <row r="3" spans="1:15" s="2" customFormat="1" ht="18.75" x14ac:dyDescent="0.3">
      <c r="A3" s="942" t="s">
        <v>1031</v>
      </c>
      <c r="B3" s="940" t="s">
        <v>1</v>
      </c>
      <c r="C3" s="946" t="s">
        <v>504</v>
      </c>
      <c r="D3" s="135"/>
      <c r="E3" s="949" t="s">
        <v>0</v>
      </c>
      <c r="F3" s="940" t="s">
        <v>549</v>
      </c>
      <c r="G3" s="952" t="s">
        <v>553</v>
      </c>
      <c r="H3" s="953"/>
      <c r="I3" s="953"/>
      <c r="J3" s="953"/>
      <c r="K3" s="953"/>
      <c r="L3" s="954"/>
      <c r="M3" s="940" t="s">
        <v>2</v>
      </c>
      <c r="N3" s="15"/>
    </row>
    <row r="4" spans="1:15" s="2" customFormat="1" ht="18.75" x14ac:dyDescent="0.3">
      <c r="A4" s="943"/>
      <c r="B4" s="945"/>
      <c r="C4" s="947"/>
      <c r="D4" s="136" t="s">
        <v>3</v>
      </c>
      <c r="E4" s="950"/>
      <c r="F4" s="945"/>
      <c r="G4" s="942" t="s">
        <v>550</v>
      </c>
      <c r="H4" s="940" t="s">
        <v>551</v>
      </c>
      <c r="I4" s="137" t="s">
        <v>554</v>
      </c>
      <c r="J4" s="940" t="s">
        <v>552</v>
      </c>
      <c r="K4" s="137" t="s">
        <v>555</v>
      </c>
      <c r="L4" s="138" t="s">
        <v>556</v>
      </c>
      <c r="M4" s="945"/>
      <c r="N4" s="15"/>
    </row>
    <row r="5" spans="1:15" s="2" customFormat="1" ht="18.75" x14ac:dyDescent="0.3">
      <c r="A5" s="944"/>
      <c r="B5" s="941"/>
      <c r="C5" s="948"/>
      <c r="D5" s="139" t="s">
        <v>4</v>
      </c>
      <c r="E5" s="951"/>
      <c r="F5" s="941"/>
      <c r="G5" s="944"/>
      <c r="H5" s="941"/>
      <c r="I5" s="140" t="s">
        <v>557</v>
      </c>
      <c r="J5" s="941"/>
      <c r="K5" s="140" t="s">
        <v>558</v>
      </c>
      <c r="L5" s="141" t="s">
        <v>559</v>
      </c>
      <c r="M5" s="941"/>
      <c r="N5" s="15"/>
    </row>
    <row r="6" spans="1:15" s="2" customFormat="1" ht="18.75" x14ac:dyDescent="0.3">
      <c r="A6" s="734"/>
      <c r="B6" s="735" t="s">
        <v>510</v>
      </c>
      <c r="C6" s="736"/>
      <c r="D6" s="737"/>
      <c r="E6" s="736"/>
      <c r="F6" s="738"/>
      <c r="G6" s="738"/>
      <c r="H6" s="738"/>
      <c r="I6" s="738"/>
      <c r="J6" s="738"/>
      <c r="K6" s="738"/>
      <c r="L6" s="738"/>
      <c r="M6" s="738"/>
      <c r="N6" s="15"/>
    </row>
    <row r="7" spans="1:15" s="2" customFormat="1" ht="37.5" x14ac:dyDescent="0.3">
      <c r="A7" s="729">
        <v>1</v>
      </c>
      <c r="B7" s="730" t="s">
        <v>1144</v>
      </c>
      <c r="C7" s="729" t="s">
        <v>1143</v>
      </c>
      <c r="D7" s="731" t="s">
        <v>1145</v>
      </c>
      <c r="E7" s="723">
        <v>3500</v>
      </c>
      <c r="F7" s="732" t="s">
        <v>1201</v>
      </c>
      <c r="G7" s="733"/>
      <c r="H7" s="724"/>
      <c r="I7" s="733" t="s">
        <v>561</v>
      </c>
      <c r="J7" s="724"/>
      <c r="K7" s="724"/>
      <c r="L7" s="724"/>
      <c r="M7" s="732"/>
      <c r="N7" s="15"/>
      <c r="O7" s="725"/>
    </row>
    <row r="8" spans="1:15" s="2" customFormat="1" ht="18.75" x14ac:dyDescent="0.3">
      <c r="A8" s="186"/>
      <c r="B8" s="187"/>
      <c r="C8" s="186"/>
      <c r="D8" s="188"/>
      <c r="E8" s="189"/>
      <c r="F8" s="190"/>
      <c r="G8" s="191"/>
      <c r="H8" s="192"/>
      <c r="I8" s="192"/>
      <c r="J8" s="192"/>
      <c r="K8" s="192"/>
      <c r="L8" s="192"/>
      <c r="M8" s="190"/>
      <c r="N8" s="15"/>
      <c r="O8" s="13"/>
    </row>
    <row r="9" spans="1:15" ht="15" thickBot="1" x14ac:dyDescent="0.25">
      <c r="D9" s="193" t="s">
        <v>505</v>
      </c>
      <c r="E9" s="194">
        <f>SUM(E7:E8)</f>
        <v>3500</v>
      </c>
      <c r="N9">
        <f>E9</f>
        <v>3500</v>
      </c>
    </row>
    <row r="10" spans="1:15" ht="15" thickTop="1" x14ac:dyDescent="0.2"/>
    <row r="11" spans="1:15" s="45" customFormat="1" ht="21" x14ac:dyDescent="0.35">
      <c r="A11" s="726"/>
      <c r="B11" s="43" t="s">
        <v>525</v>
      </c>
      <c r="C11" s="727"/>
      <c r="D11" s="670"/>
      <c r="E11" s="670"/>
      <c r="F11" s="728"/>
      <c r="G11" s="670"/>
      <c r="H11" s="670"/>
      <c r="I11" s="670"/>
      <c r="J11" s="670"/>
      <c r="K11" s="670"/>
      <c r="L11" s="670"/>
      <c r="M11" s="672"/>
    </row>
    <row r="12" spans="1:15" s="3" customFormat="1" ht="18.75" x14ac:dyDescent="0.3">
      <c r="A12" s="721">
        <v>1</v>
      </c>
      <c r="B12" s="722" t="s">
        <v>340</v>
      </c>
      <c r="C12" s="721" t="s">
        <v>448</v>
      </c>
      <c r="D12" s="739" t="s">
        <v>446</v>
      </c>
      <c r="E12" s="740">
        <v>1230</v>
      </c>
      <c r="F12" s="741" t="s">
        <v>90</v>
      </c>
      <c r="G12" s="742" t="s">
        <v>561</v>
      </c>
      <c r="H12" s="721"/>
      <c r="I12" s="5"/>
      <c r="J12" s="5"/>
      <c r="K12" s="5"/>
      <c r="L12" s="5"/>
      <c r="M12" s="18"/>
    </row>
    <row r="13" spans="1:15" s="3" customFormat="1" ht="18.75" x14ac:dyDescent="0.3">
      <c r="A13" s="743">
        <v>2</v>
      </c>
      <c r="B13" s="4" t="s">
        <v>340</v>
      </c>
      <c r="C13" s="743" t="s">
        <v>449</v>
      </c>
      <c r="D13" s="744" t="s">
        <v>446</v>
      </c>
      <c r="E13" s="745">
        <v>1230</v>
      </c>
      <c r="F13" s="746" t="s">
        <v>90</v>
      </c>
      <c r="G13" s="747" t="s">
        <v>561</v>
      </c>
      <c r="H13" s="743"/>
      <c r="I13" s="6"/>
      <c r="J13" s="6"/>
      <c r="K13" s="6"/>
      <c r="L13" s="6"/>
      <c r="M13" s="748"/>
    </row>
    <row r="14" spans="1:15" s="3" customFormat="1" ht="18.75" x14ac:dyDescent="0.3">
      <c r="A14" s="743">
        <v>3</v>
      </c>
      <c r="B14" s="4" t="s">
        <v>340</v>
      </c>
      <c r="C14" s="743" t="s">
        <v>450</v>
      </c>
      <c r="D14" s="744" t="s">
        <v>446</v>
      </c>
      <c r="E14" s="745">
        <v>1230</v>
      </c>
      <c r="F14" s="746" t="s">
        <v>90</v>
      </c>
      <c r="G14" s="747" t="s">
        <v>561</v>
      </c>
      <c r="H14" s="743"/>
      <c r="I14" s="6"/>
      <c r="J14" s="6"/>
      <c r="K14" s="6"/>
      <c r="L14" s="6"/>
      <c r="M14" s="748"/>
    </row>
    <row r="15" spans="1:15" s="3" customFormat="1" ht="18.75" x14ac:dyDescent="0.3">
      <c r="A15" s="743">
        <v>4</v>
      </c>
      <c r="B15" s="4" t="s">
        <v>340</v>
      </c>
      <c r="C15" s="743" t="s">
        <v>451</v>
      </c>
      <c r="D15" s="744" t="s">
        <v>446</v>
      </c>
      <c r="E15" s="745">
        <v>1230</v>
      </c>
      <c r="F15" s="746" t="s">
        <v>25</v>
      </c>
      <c r="G15" s="747" t="s">
        <v>561</v>
      </c>
      <c r="H15" s="743"/>
      <c r="I15" s="6"/>
      <c r="J15" s="6"/>
      <c r="K15" s="6"/>
      <c r="L15" s="6"/>
      <c r="M15" s="748"/>
    </row>
    <row r="16" spans="1:15" s="3" customFormat="1" ht="18.75" x14ac:dyDescent="0.3">
      <c r="A16" s="743">
        <v>5</v>
      </c>
      <c r="B16" s="4" t="s">
        <v>340</v>
      </c>
      <c r="C16" s="743" t="s">
        <v>452</v>
      </c>
      <c r="D16" s="744" t="s">
        <v>446</v>
      </c>
      <c r="E16" s="745">
        <v>1230</v>
      </c>
      <c r="F16" s="746" t="s">
        <v>25</v>
      </c>
      <c r="G16" s="747" t="s">
        <v>561</v>
      </c>
      <c r="H16" s="743"/>
      <c r="I16" s="6"/>
      <c r="J16" s="6"/>
      <c r="K16" s="6"/>
      <c r="L16" s="6"/>
      <c r="M16" s="748"/>
    </row>
    <row r="17" spans="1:14" s="3" customFormat="1" ht="18.75" x14ac:dyDescent="0.3">
      <c r="A17" s="743">
        <v>6</v>
      </c>
      <c r="B17" s="4" t="s">
        <v>340</v>
      </c>
      <c r="C17" s="743" t="s">
        <v>453</v>
      </c>
      <c r="D17" s="744" t="s">
        <v>446</v>
      </c>
      <c r="E17" s="745">
        <v>1230</v>
      </c>
      <c r="F17" s="746" t="s">
        <v>25</v>
      </c>
      <c r="G17" s="747" t="s">
        <v>561</v>
      </c>
      <c r="H17" s="743"/>
      <c r="I17" s="6"/>
      <c r="J17" s="6"/>
      <c r="K17" s="6"/>
      <c r="L17" s="6"/>
      <c r="M17" s="748"/>
    </row>
    <row r="18" spans="1:14" s="3" customFormat="1" ht="18.75" x14ac:dyDescent="0.3">
      <c r="A18" s="743">
        <v>7</v>
      </c>
      <c r="B18" s="4" t="s">
        <v>340</v>
      </c>
      <c r="C18" s="743" t="s">
        <v>454</v>
      </c>
      <c r="D18" s="744" t="s">
        <v>446</v>
      </c>
      <c r="E18" s="745">
        <v>1230</v>
      </c>
      <c r="F18" s="746" t="s">
        <v>103</v>
      </c>
      <c r="G18" s="747" t="s">
        <v>561</v>
      </c>
      <c r="H18" s="743"/>
      <c r="I18" s="6"/>
      <c r="J18" s="6"/>
      <c r="K18" s="6"/>
      <c r="L18" s="6"/>
      <c r="M18" s="748"/>
    </row>
    <row r="19" spans="1:14" s="3" customFormat="1" ht="18.75" x14ac:dyDescent="0.3">
      <c r="A19" s="743">
        <v>8</v>
      </c>
      <c r="B19" s="4" t="s">
        <v>340</v>
      </c>
      <c r="C19" s="743" t="s">
        <v>455</v>
      </c>
      <c r="D19" s="744" t="s">
        <v>446</v>
      </c>
      <c r="E19" s="745">
        <v>1230</v>
      </c>
      <c r="F19" s="746" t="s">
        <v>103</v>
      </c>
      <c r="G19" s="747" t="s">
        <v>561</v>
      </c>
      <c r="H19" s="743"/>
      <c r="I19" s="6"/>
      <c r="J19" s="6"/>
      <c r="K19" s="6"/>
      <c r="L19" s="6"/>
      <c r="M19" s="748"/>
    </row>
    <row r="20" spans="1:14" s="3" customFormat="1" ht="18.75" x14ac:dyDescent="0.3">
      <c r="A20" s="743">
        <v>9</v>
      </c>
      <c r="B20" s="4" t="s">
        <v>340</v>
      </c>
      <c r="C20" s="743" t="s">
        <v>456</v>
      </c>
      <c r="D20" s="744" t="s">
        <v>446</v>
      </c>
      <c r="E20" s="745">
        <v>1230</v>
      </c>
      <c r="F20" s="746" t="s">
        <v>103</v>
      </c>
      <c r="G20" s="747" t="s">
        <v>561</v>
      </c>
      <c r="H20" s="743"/>
      <c r="I20" s="6"/>
      <c r="J20" s="6"/>
      <c r="K20" s="6"/>
      <c r="L20" s="6"/>
      <c r="M20" s="748"/>
    </row>
    <row r="21" spans="1:14" s="3" customFormat="1" ht="18.75" x14ac:dyDescent="0.3">
      <c r="A21" s="743">
        <v>10</v>
      </c>
      <c r="B21" s="4" t="s">
        <v>340</v>
      </c>
      <c r="C21" s="743" t="s">
        <v>457</v>
      </c>
      <c r="D21" s="744" t="s">
        <v>446</v>
      </c>
      <c r="E21" s="745">
        <v>1230</v>
      </c>
      <c r="F21" s="746" t="s">
        <v>21</v>
      </c>
      <c r="G21" s="747" t="s">
        <v>561</v>
      </c>
      <c r="H21" s="743"/>
      <c r="I21" s="6"/>
      <c r="J21" s="6"/>
      <c r="K21" s="6"/>
      <c r="L21" s="6"/>
      <c r="M21" s="748"/>
    </row>
    <row r="22" spans="1:14" s="3" customFormat="1" ht="18.75" x14ac:dyDescent="0.3">
      <c r="A22" s="743">
        <v>11</v>
      </c>
      <c r="B22" s="4" t="s">
        <v>340</v>
      </c>
      <c r="C22" s="743" t="s">
        <v>458</v>
      </c>
      <c r="D22" s="744" t="s">
        <v>446</v>
      </c>
      <c r="E22" s="745">
        <v>1230</v>
      </c>
      <c r="F22" s="746" t="s">
        <v>21</v>
      </c>
      <c r="G22" s="747" t="s">
        <v>561</v>
      </c>
      <c r="H22" s="743"/>
      <c r="I22" s="6"/>
      <c r="J22" s="6"/>
      <c r="K22" s="6"/>
      <c r="L22" s="6"/>
      <c r="M22" s="748"/>
    </row>
    <row r="23" spans="1:14" s="3" customFormat="1" ht="18.75" x14ac:dyDescent="0.3">
      <c r="A23" s="743">
        <v>12</v>
      </c>
      <c r="B23" s="4" t="s">
        <v>340</v>
      </c>
      <c r="C23" s="743" t="s">
        <v>459</v>
      </c>
      <c r="D23" s="744" t="s">
        <v>446</v>
      </c>
      <c r="E23" s="745">
        <v>1230</v>
      </c>
      <c r="F23" s="746" t="s">
        <v>21</v>
      </c>
      <c r="G23" s="747" t="s">
        <v>561</v>
      </c>
      <c r="H23" s="743"/>
      <c r="I23" s="6"/>
      <c r="J23" s="6"/>
      <c r="K23" s="6"/>
      <c r="L23" s="6"/>
      <c r="M23" s="748"/>
    </row>
    <row r="24" spans="1:14" s="3" customFormat="1" ht="18.75" x14ac:dyDescent="0.3">
      <c r="A24" s="743">
        <v>13</v>
      </c>
      <c r="B24" s="4" t="s">
        <v>340</v>
      </c>
      <c r="C24" s="743" t="s">
        <v>460</v>
      </c>
      <c r="D24" s="744" t="s">
        <v>446</v>
      </c>
      <c r="E24" s="745">
        <v>1230</v>
      </c>
      <c r="F24" s="746" t="s">
        <v>21</v>
      </c>
      <c r="G24" s="747" t="s">
        <v>561</v>
      </c>
      <c r="H24" s="743"/>
      <c r="I24" s="6"/>
      <c r="J24" s="6"/>
      <c r="K24" s="6"/>
      <c r="L24" s="6"/>
      <c r="M24" s="748"/>
    </row>
    <row r="25" spans="1:14" s="3" customFormat="1" ht="18.75" x14ac:dyDescent="0.3">
      <c r="A25" s="743">
        <v>14</v>
      </c>
      <c r="B25" s="4" t="s">
        <v>340</v>
      </c>
      <c r="C25" s="743" t="s">
        <v>461</v>
      </c>
      <c r="D25" s="744" t="s">
        <v>446</v>
      </c>
      <c r="E25" s="745">
        <v>1230</v>
      </c>
      <c r="F25" s="746" t="s">
        <v>21</v>
      </c>
      <c r="G25" s="747" t="s">
        <v>561</v>
      </c>
      <c r="H25" s="743"/>
      <c r="I25" s="6"/>
      <c r="J25" s="6"/>
      <c r="K25" s="6"/>
      <c r="L25" s="6"/>
      <c r="M25" s="748"/>
    </row>
    <row r="26" spans="1:14" s="3" customFormat="1" ht="18.75" x14ac:dyDescent="0.3">
      <c r="A26" s="743">
        <v>15</v>
      </c>
      <c r="B26" s="4" t="s">
        <v>340</v>
      </c>
      <c r="C26" s="743" t="s">
        <v>462</v>
      </c>
      <c r="D26" s="744" t="s">
        <v>446</v>
      </c>
      <c r="E26" s="745">
        <v>1230</v>
      </c>
      <c r="F26" s="746" t="s">
        <v>86</v>
      </c>
      <c r="G26" s="747" t="s">
        <v>561</v>
      </c>
      <c r="H26" s="743"/>
      <c r="I26" s="6"/>
      <c r="J26" s="6"/>
      <c r="K26" s="6"/>
      <c r="L26" s="6"/>
      <c r="M26" s="748"/>
      <c r="N26" s="3">
        <v>3290</v>
      </c>
    </row>
    <row r="27" spans="1:14" s="3" customFormat="1" ht="18.75" x14ac:dyDescent="0.3">
      <c r="A27" s="743">
        <v>16</v>
      </c>
      <c r="B27" s="4" t="s">
        <v>340</v>
      </c>
      <c r="C27" s="743" t="s">
        <v>463</v>
      </c>
      <c r="D27" s="744" t="s">
        <v>446</v>
      </c>
      <c r="E27" s="745">
        <v>1230</v>
      </c>
      <c r="F27" s="746" t="s">
        <v>86</v>
      </c>
      <c r="G27" s="747" t="s">
        <v>561</v>
      </c>
      <c r="H27" s="743"/>
      <c r="I27" s="6"/>
      <c r="J27" s="6"/>
      <c r="K27" s="6"/>
      <c r="L27" s="6"/>
      <c r="M27" s="748"/>
      <c r="N27" s="165">
        <f>SUM(E12:E28)</f>
        <v>20910</v>
      </c>
    </row>
    <row r="28" spans="1:14" s="3" customFormat="1" ht="18.75" x14ac:dyDescent="0.3">
      <c r="A28" s="743">
        <v>17</v>
      </c>
      <c r="B28" s="4" t="s">
        <v>340</v>
      </c>
      <c r="C28" s="743" t="s">
        <v>464</v>
      </c>
      <c r="D28" s="744" t="s">
        <v>446</v>
      </c>
      <c r="E28" s="745">
        <v>1230</v>
      </c>
      <c r="F28" s="746" t="s">
        <v>465</v>
      </c>
      <c r="G28" s="747" t="s">
        <v>561</v>
      </c>
      <c r="H28" s="743"/>
      <c r="I28" s="6"/>
      <c r="J28" s="6"/>
      <c r="K28" s="6"/>
      <c r="L28" s="6"/>
      <c r="M28" s="748"/>
      <c r="N28" s="165">
        <f>+N26+N27</f>
        <v>24200</v>
      </c>
    </row>
    <row r="29" spans="1:14" s="3" customFormat="1" ht="18.75" x14ac:dyDescent="0.3">
      <c r="A29" s="743">
        <v>18</v>
      </c>
      <c r="B29" s="722" t="s">
        <v>340</v>
      </c>
      <c r="C29" s="721" t="s">
        <v>466</v>
      </c>
      <c r="D29" s="739" t="s">
        <v>446</v>
      </c>
      <c r="E29" s="740">
        <v>1230</v>
      </c>
      <c r="F29" s="741" t="s">
        <v>465</v>
      </c>
      <c r="G29" s="742" t="s">
        <v>561</v>
      </c>
      <c r="H29" s="721"/>
      <c r="I29" s="5"/>
      <c r="J29" s="5"/>
      <c r="K29" s="5"/>
      <c r="L29" s="5"/>
      <c r="M29" s="18"/>
    </row>
    <row r="30" spans="1:14" s="3" customFormat="1" ht="18.75" x14ac:dyDescent="0.3">
      <c r="A30" s="743">
        <v>19</v>
      </c>
      <c r="B30" s="4" t="s">
        <v>340</v>
      </c>
      <c r="C30" s="743" t="s">
        <v>467</v>
      </c>
      <c r="D30" s="744" t="s">
        <v>446</v>
      </c>
      <c r="E30" s="745">
        <v>1230</v>
      </c>
      <c r="F30" s="746" t="s">
        <v>465</v>
      </c>
      <c r="G30" s="749" t="s">
        <v>561</v>
      </c>
      <c r="H30" s="743"/>
      <c r="I30" s="6"/>
      <c r="J30" s="6"/>
      <c r="K30" s="6"/>
      <c r="L30" s="6"/>
      <c r="M30" s="748"/>
    </row>
    <row r="31" spans="1:14" s="3" customFormat="1" ht="18.75" x14ac:dyDescent="0.3">
      <c r="A31" s="743">
        <v>20</v>
      </c>
      <c r="B31" s="722" t="s">
        <v>340</v>
      </c>
      <c r="C31" s="721" t="s">
        <v>468</v>
      </c>
      <c r="D31" s="739" t="s">
        <v>446</v>
      </c>
      <c r="E31" s="740">
        <v>1230</v>
      </c>
      <c r="F31" s="741" t="s">
        <v>97</v>
      </c>
      <c r="G31" s="742" t="s">
        <v>561</v>
      </c>
      <c r="H31" s="721"/>
      <c r="I31" s="5"/>
      <c r="J31" s="5"/>
      <c r="K31" s="5"/>
      <c r="L31" s="5"/>
      <c r="M31" s="18"/>
    </row>
    <row r="32" spans="1:14" s="3" customFormat="1" ht="18.75" x14ac:dyDescent="0.3">
      <c r="A32" s="743">
        <v>21</v>
      </c>
      <c r="B32" s="4" t="s">
        <v>340</v>
      </c>
      <c r="C32" s="743" t="s">
        <v>469</v>
      </c>
      <c r="D32" s="744" t="s">
        <v>446</v>
      </c>
      <c r="E32" s="745">
        <v>1230</v>
      </c>
      <c r="F32" s="746" t="s">
        <v>97</v>
      </c>
      <c r="G32" s="747" t="s">
        <v>561</v>
      </c>
      <c r="H32" s="743"/>
      <c r="I32" s="6"/>
      <c r="J32" s="6"/>
      <c r="K32" s="6"/>
      <c r="L32" s="6"/>
      <c r="M32" s="748"/>
    </row>
    <row r="33" spans="1:14" s="3" customFormat="1" ht="18.75" x14ac:dyDescent="0.3">
      <c r="A33" s="743">
        <v>22</v>
      </c>
      <c r="B33" s="4" t="s">
        <v>340</v>
      </c>
      <c r="C33" s="743" t="s">
        <v>470</v>
      </c>
      <c r="D33" s="744" t="s">
        <v>446</v>
      </c>
      <c r="E33" s="745">
        <v>1230</v>
      </c>
      <c r="F33" s="746" t="s">
        <v>91</v>
      </c>
      <c r="G33" s="747" t="s">
        <v>561</v>
      </c>
      <c r="H33" s="743"/>
      <c r="I33" s="6"/>
      <c r="J33" s="6"/>
      <c r="K33" s="6"/>
      <c r="L33" s="6"/>
      <c r="M33" s="748"/>
    </row>
    <row r="34" spans="1:14" s="3" customFormat="1" ht="18.75" x14ac:dyDescent="0.3">
      <c r="A34" s="743">
        <v>23</v>
      </c>
      <c r="B34" s="4" t="s">
        <v>340</v>
      </c>
      <c r="C34" s="743" t="s">
        <v>471</v>
      </c>
      <c r="D34" s="744" t="s">
        <v>446</v>
      </c>
      <c r="E34" s="745">
        <v>1230</v>
      </c>
      <c r="F34" s="746" t="s">
        <v>91</v>
      </c>
      <c r="G34" s="747" t="s">
        <v>561</v>
      </c>
      <c r="H34" s="743"/>
      <c r="I34" s="6"/>
      <c r="J34" s="6"/>
      <c r="K34" s="6"/>
      <c r="L34" s="6"/>
      <c r="M34" s="748"/>
    </row>
    <row r="35" spans="1:14" s="3" customFormat="1" ht="18.75" x14ac:dyDescent="0.3">
      <c r="A35" s="743">
        <v>24</v>
      </c>
      <c r="B35" s="4" t="s">
        <v>340</v>
      </c>
      <c r="C35" s="743" t="s">
        <v>472</v>
      </c>
      <c r="D35" s="744" t="s">
        <v>446</v>
      </c>
      <c r="E35" s="745">
        <v>1230</v>
      </c>
      <c r="F35" s="746" t="s">
        <v>91</v>
      </c>
      <c r="G35" s="747" t="s">
        <v>561</v>
      </c>
      <c r="H35" s="743"/>
      <c r="I35" s="6"/>
      <c r="J35" s="6"/>
      <c r="K35" s="6"/>
      <c r="L35" s="6"/>
      <c r="M35" s="748"/>
    </row>
    <row r="36" spans="1:14" s="3" customFormat="1" ht="18.75" x14ac:dyDescent="0.3">
      <c r="A36" s="743">
        <v>25</v>
      </c>
      <c r="B36" s="4" t="s">
        <v>340</v>
      </c>
      <c r="C36" s="743" t="s">
        <v>473</v>
      </c>
      <c r="D36" s="744" t="s">
        <v>446</v>
      </c>
      <c r="E36" s="745">
        <v>1230</v>
      </c>
      <c r="F36" s="746" t="s">
        <v>91</v>
      </c>
      <c r="G36" s="747" t="s">
        <v>561</v>
      </c>
      <c r="H36" s="743"/>
      <c r="I36" s="6"/>
      <c r="J36" s="6"/>
      <c r="K36" s="6"/>
      <c r="L36" s="6"/>
      <c r="M36" s="748"/>
    </row>
    <row r="37" spans="1:14" s="3" customFormat="1" ht="18.75" x14ac:dyDescent="0.3">
      <c r="A37" s="743">
        <v>26</v>
      </c>
      <c r="B37" s="4" t="s">
        <v>477</v>
      </c>
      <c r="C37" s="743" t="s">
        <v>478</v>
      </c>
      <c r="D37" s="744" t="s">
        <v>447</v>
      </c>
      <c r="E37" s="745">
        <v>1030</v>
      </c>
      <c r="F37" s="746" t="s">
        <v>13</v>
      </c>
      <c r="G37" s="747" t="s">
        <v>561</v>
      </c>
      <c r="H37" s="743"/>
      <c r="I37" s="6"/>
      <c r="J37" s="6"/>
      <c r="K37" s="6"/>
      <c r="L37" s="6"/>
      <c r="M37" s="748"/>
    </row>
    <row r="38" spans="1:14" s="3" customFormat="1" ht="18.75" x14ac:dyDescent="0.3">
      <c r="A38" s="743">
        <v>27</v>
      </c>
      <c r="B38" s="4" t="s">
        <v>477</v>
      </c>
      <c r="C38" s="743" t="s">
        <v>479</v>
      </c>
      <c r="D38" s="744" t="s">
        <v>447</v>
      </c>
      <c r="E38" s="745">
        <v>1030</v>
      </c>
      <c r="F38" s="746" t="s">
        <v>13</v>
      </c>
      <c r="G38" s="747" t="s">
        <v>561</v>
      </c>
      <c r="H38" s="743"/>
      <c r="I38" s="6"/>
      <c r="J38" s="6"/>
      <c r="K38" s="6"/>
      <c r="L38" s="6"/>
      <c r="M38" s="748"/>
    </row>
    <row r="39" spans="1:14" s="3" customFormat="1" ht="18.75" x14ac:dyDescent="0.3">
      <c r="A39" s="743">
        <v>28</v>
      </c>
      <c r="B39" s="4" t="s">
        <v>480</v>
      </c>
      <c r="C39" s="743" t="s">
        <v>481</v>
      </c>
      <c r="D39" s="744" t="s">
        <v>447</v>
      </c>
      <c r="E39" s="745">
        <v>1030</v>
      </c>
      <c r="F39" s="746" t="s">
        <v>13</v>
      </c>
      <c r="G39" s="747" t="s">
        <v>561</v>
      </c>
      <c r="H39" s="743"/>
      <c r="I39" s="6"/>
      <c r="J39" s="6"/>
      <c r="K39" s="6"/>
      <c r="L39" s="6"/>
      <c r="M39" s="748"/>
    </row>
    <row r="40" spans="1:14" s="3" customFormat="1" ht="18.75" x14ac:dyDescent="0.3">
      <c r="A40" s="743">
        <v>29</v>
      </c>
      <c r="B40" s="4" t="s">
        <v>480</v>
      </c>
      <c r="C40" s="743" t="s">
        <v>482</v>
      </c>
      <c r="D40" s="744" t="s">
        <v>447</v>
      </c>
      <c r="E40" s="745">
        <v>1030</v>
      </c>
      <c r="F40" s="746" t="s">
        <v>13</v>
      </c>
      <c r="G40" s="747" t="s">
        <v>561</v>
      </c>
      <c r="H40" s="743"/>
      <c r="I40" s="6"/>
      <c r="J40" s="6"/>
      <c r="K40" s="6"/>
      <c r="L40" s="6"/>
      <c r="M40" s="748"/>
      <c r="N40" s="165"/>
    </row>
    <row r="41" spans="1:14" s="3" customFormat="1" ht="18.75" x14ac:dyDescent="0.3">
      <c r="A41" s="743">
        <v>30</v>
      </c>
      <c r="B41" s="4" t="s">
        <v>480</v>
      </c>
      <c r="C41" s="743" t="s">
        <v>483</v>
      </c>
      <c r="D41" s="744" t="s">
        <v>447</v>
      </c>
      <c r="E41" s="745">
        <v>1030</v>
      </c>
      <c r="F41" s="746" t="s">
        <v>13</v>
      </c>
      <c r="G41" s="747" t="s">
        <v>561</v>
      </c>
      <c r="H41" s="743"/>
      <c r="I41" s="6"/>
      <c r="J41" s="6"/>
      <c r="K41" s="6"/>
      <c r="L41" s="6"/>
      <c r="M41" s="748"/>
    </row>
    <row r="42" spans="1:14" s="3" customFormat="1" ht="18.75" x14ac:dyDescent="0.3">
      <c r="A42" s="743">
        <v>31</v>
      </c>
      <c r="B42" s="4" t="s">
        <v>480</v>
      </c>
      <c r="C42" s="743" t="s">
        <v>484</v>
      </c>
      <c r="D42" s="744" t="s">
        <v>447</v>
      </c>
      <c r="E42" s="745">
        <v>1030</v>
      </c>
      <c r="F42" s="746" t="s">
        <v>31</v>
      </c>
      <c r="G42" s="747" t="s">
        <v>561</v>
      </c>
      <c r="H42" s="743"/>
      <c r="I42" s="6"/>
      <c r="J42" s="6"/>
      <c r="K42" s="6"/>
      <c r="L42" s="6"/>
      <c r="M42" s="748"/>
    </row>
    <row r="43" spans="1:14" s="3" customFormat="1" ht="18.75" x14ac:dyDescent="0.3">
      <c r="A43" s="743">
        <v>32</v>
      </c>
      <c r="B43" s="4" t="s">
        <v>480</v>
      </c>
      <c r="C43" s="743" t="s">
        <v>485</v>
      </c>
      <c r="D43" s="744" t="s">
        <v>447</v>
      </c>
      <c r="E43" s="745">
        <v>1030</v>
      </c>
      <c r="F43" s="746" t="s">
        <v>31</v>
      </c>
      <c r="G43" s="747" t="s">
        <v>561</v>
      </c>
      <c r="H43" s="743"/>
      <c r="I43" s="6"/>
      <c r="J43" s="6"/>
      <c r="K43" s="6"/>
      <c r="L43" s="6"/>
      <c r="M43" s="748"/>
    </row>
    <row r="44" spans="1:14" s="3" customFormat="1" ht="18.75" x14ac:dyDescent="0.3">
      <c r="A44" s="743">
        <v>33</v>
      </c>
      <c r="B44" s="4" t="s">
        <v>480</v>
      </c>
      <c r="C44" s="743" t="s">
        <v>486</v>
      </c>
      <c r="D44" s="744" t="s">
        <v>447</v>
      </c>
      <c r="E44" s="745">
        <v>1030</v>
      </c>
      <c r="F44" s="746" t="s">
        <v>31</v>
      </c>
      <c r="G44" s="747" t="s">
        <v>561</v>
      </c>
      <c r="H44" s="743"/>
      <c r="I44" s="6"/>
      <c r="J44" s="6"/>
      <c r="K44" s="6"/>
      <c r="L44" s="6"/>
      <c r="M44" s="748"/>
    </row>
    <row r="45" spans="1:14" s="3" customFormat="1" ht="18.75" x14ac:dyDescent="0.3">
      <c r="A45" s="743">
        <v>34</v>
      </c>
      <c r="B45" s="4" t="s">
        <v>480</v>
      </c>
      <c r="C45" s="743" t="s">
        <v>487</v>
      </c>
      <c r="D45" s="744" t="s">
        <v>447</v>
      </c>
      <c r="E45" s="745">
        <v>1030</v>
      </c>
      <c r="F45" s="746" t="s">
        <v>9</v>
      </c>
      <c r="G45" s="747" t="s">
        <v>561</v>
      </c>
      <c r="H45" s="743"/>
      <c r="I45" s="6"/>
      <c r="J45" s="6"/>
      <c r="K45" s="6"/>
      <c r="L45" s="6"/>
      <c r="M45" s="748"/>
    </row>
    <row r="46" spans="1:14" s="3" customFormat="1" ht="18.75" x14ac:dyDescent="0.3">
      <c r="A46" s="743">
        <v>35</v>
      </c>
      <c r="B46" s="4" t="s">
        <v>480</v>
      </c>
      <c r="C46" s="743" t="s">
        <v>488</v>
      </c>
      <c r="D46" s="744" t="s">
        <v>447</v>
      </c>
      <c r="E46" s="745">
        <v>1030</v>
      </c>
      <c r="F46" s="746" t="s">
        <v>9</v>
      </c>
      <c r="G46" s="747" t="s">
        <v>561</v>
      </c>
      <c r="H46" s="743"/>
      <c r="I46" s="6"/>
      <c r="J46" s="6"/>
      <c r="K46" s="6"/>
      <c r="L46" s="6"/>
      <c r="M46" s="748"/>
    </row>
    <row r="47" spans="1:14" s="3" customFormat="1" ht="18.75" x14ac:dyDescent="0.3">
      <c r="A47" s="743">
        <v>36</v>
      </c>
      <c r="B47" s="4" t="s">
        <v>480</v>
      </c>
      <c r="C47" s="743" t="s">
        <v>489</v>
      </c>
      <c r="D47" s="744" t="s">
        <v>447</v>
      </c>
      <c r="E47" s="745">
        <v>1030</v>
      </c>
      <c r="F47" s="746" t="s">
        <v>9</v>
      </c>
      <c r="G47" s="747" t="s">
        <v>561</v>
      </c>
      <c r="H47" s="743"/>
      <c r="I47" s="6"/>
      <c r="J47" s="6"/>
      <c r="K47" s="6"/>
      <c r="L47" s="6"/>
      <c r="M47" s="748"/>
    </row>
    <row r="48" spans="1:14" s="3" customFormat="1" ht="18.75" x14ac:dyDescent="0.3">
      <c r="A48" s="743">
        <v>37</v>
      </c>
      <c r="B48" s="4" t="s">
        <v>480</v>
      </c>
      <c r="C48" s="743" t="s">
        <v>490</v>
      </c>
      <c r="D48" s="744" t="s">
        <v>447</v>
      </c>
      <c r="E48" s="745">
        <v>1030</v>
      </c>
      <c r="F48" s="746" t="s">
        <v>9</v>
      </c>
      <c r="G48" s="747" t="s">
        <v>561</v>
      </c>
      <c r="H48" s="743"/>
      <c r="I48" s="6"/>
      <c r="J48" s="6"/>
      <c r="K48" s="6"/>
      <c r="L48" s="6"/>
      <c r="M48" s="748"/>
    </row>
    <row r="49" spans="1:39" s="3" customFormat="1" ht="18.75" x14ac:dyDescent="0.3">
      <c r="A49" s="743">
        <v>38</v>
      </c>
      <c r="B49" s="4" t="s">
        <v>480</v>
      </c>
      <c r="C49" s="743" t="s">
        <v>491</v>
      </c>
      <c r="D49" s="744" t="s">
        <v>447</v>
      </c>
      <c r="E49" s="745">
        <v>1030</v>
      </c>
      <c r="F49" s="746" t="s">
        <v>9</v>
      </c>
      <c r="G49" s="747" t="s">
        <v>561</v>
      </c>
      <c r="H49" s="743"/>
      <c r="I49" s="6"/>
      <c r="J49" s="6"/>
      <c r="K49" s="6"/>
      <c r="L49" s="6"/>
      <c r="M49" s="748"/>
    </row>
    <row r="50" spans="1:39" s="3" customFormat="1" ht="18.75" x14ac:dyDescent="0.3">
      <c r="A50" s="743">
        <v>39</v>
      </c>
      <c r="B50" s="4" t="s">
        <v>480</v>
      </c>
      <c r="C50" s="743" t="s">
        <v>492</v>
      </c>
      <c r="D50" s="744" t="s">
        <v>447</v>
      </c>
      <c r="E50" s="745">
        <v>1030</v>
      </c>
      <c r="F50" s="746" t="s">
        <v>11</v>
      </c>
      <c r="G50" s="747" t="s">
        <v>561</v>
      </c>
      <c r="H50" s="743"/>
      <c r="I50" s="6"/>
      <c r="J50" s="6"/>
      <c r="K50" s="6"/>
      <c r="L50" s="6"/>
      <c r="M50" s="748"/>
    </row>
    <row r="51" spans="1:39" s="3" customFormat="1" ht="18.75" x14ac:dyDescent="0.3">
      <c r="A51" s="743">
        <v>40</v>
      </c>
      <c r="B51" s="4" t="s">
        <v>480</v>
      </c>
      <c r="C51" s="743" t="s">
        <v>493</v>
      </c>
      <c r="D51" s="744" t="s">
        <v>447</v>
      </c>
      <c r="E51" s="745">
        <v>1030</v>
      </c>
      <c r="F51" s="746" t="s">
        <v>11</v>
      </c>
      <c r="G51" s="747" t="s">
        <v>561</v>
      </c>
      <c r="H51" s="743"/>
      <c r="I51" s="6"/>
      <c r="J51" s="6"/>
      <c r="K51" s="6"/>
      <c r="L51" s="6"/>
      <c r="M51" s="748"/>
      <c r="N51" s="165">
        <f>SUM(E29:E51)</f>
        <v>25290</v>
      </c>
    </row>
    <row r="52" spans="1:39" s="3" customFormat="1" ht="18.75" x14ac:dyDescent="0.3">
      <c r="A52" s="743">
        <v>41</v>
      </c>
      <c r="B52" s="750" t="s">
        <v>480</v>
      </c>
      <c r="C52" s="751" t="s">
        <v>494</v>
      </c>
      <c r="D52" s="752" t="s">
        <v>447</v>
      </c>
      <c r="E52" s="753">
        <v>1030</v>
      </c>
      <c r="F52" s="754" t="s">
        <v>11</v>
      </c>
      <c r="G52" s="755" t="s">
        <v>561</v>
      </c>
      <c r="H52" s="751"/>
      <c r="I52" s="756"/>
      <c r="J52" s="756"/>
      <c r="K52" s="756"/>
      <c r="L52" s="756"/>
      <c r="M52" s="757"/>
    </row>
    <row r="53" spans="1:39" s="6" customFormat="1" ht="18.75" x14ac:dyDescent="0.3">
      <c r="A53" s="743">
        <v>42</v>
      </c>
      <c r="B53" s="4" t="s">
        <v>480</v>
      </c>
      <c r="C53" s="743" t="s">
        <v>495</v>
      </c>
      <c r="D53" s="744" t="s">
        <v>447</v>
      </c>
      <c r="E53" s="745">
        <v>1030</v>
      </c>
      <c r="F53" s="746" t="s">
        <v>11</v>
      </c>
      <c r="G53" s="749" t="s">
        <v>561</v>
      </c>
      <c r="H53" s="743"/>
      <c r="M53" s="748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s="3" customFormat="1" ht="18.75" x14ac:dyDescent="0.3">
      <c r="A54" s="743">
        <v>43</v>
      </c>
      <c r="B54" s="722" t="s">
        <v>480</v>
      </c>
      <c r="C54" s="721" t="s">
        <v>496</v>
      </c>
      <c r="D54" s="739" t="s">
        <v>447</v>
      </c>
      <c r="E54" s="740">
        <v>1030</v>
      </c>
      <c r="F54" s="741" t="s">
        <v>86</v>
      </c>
      <c r="G54" s="742" t="s">
        <v>561</v>
      </c>
      <c r="H54" s="721"/>
      <c r="I54" s="5"/>
      <c r="J54" s="5"/>
      <c r="K54" s="5"/>
      <c r="L54" s="5"/>
      <c r="M54" s="18"/>
    </row>
    <row r="55" spans="1:39" s="3" customFormat="1" ht="18.75" x14ac:dyDescent="0.3">
      <c r="A55" s="743">
        <v>44</v>
      </c>
      <c r="B55" s="4" t="s">
        <v>480</v>
      </c>
      <c r="C55" s="743" t="s">
        <v>497</v>
      </c>
      <c r="D55" s="744" t="s">
        <v>447</v>
      </c>
      <c r="E55" s="745">
        <v>1030</v>
      </c>
      <c r="F55" s="746" t="s">
        <v>86</v>
      </c>
      <c r="G55" s="747" t="s">
        <v>561</v>
      </c>
      <c r="H55" s="743"/>
      <c r="I55" s="6"/>
      <c r="J55" s="6"/>
      <c r="K55" s="6"/>
      <c r="L55" s="6"/>
      <c r="M55" s="748"/>
    </row>
    <row r="56" spans="1:39" s="3" customFormat="1" ht="18.75" x14ac:dyDescent="0.3">
      <c r="A56" s="743">
        <v>45</v>
      </c>
      <c r="B56" s="4" t="s">
        <v>480</v>
      </c>
      <c r="C56" s="743" t="s">
        <v>498</v>
      </c>
      <c r="D56" s="744" t="s">
        <v>447</v>
      </c>
      <c r="E56" s="745">
        <v>1030</v>
      </c>
      <c r="F56" s="746" t="s">
        <v>86</v>
      </c>
      <c r="G56" s="747" t="s">
        <v>561</v>
      </c>
      <c r="H56" s="743"/>
      <c r="I56" s="6"/>
      <c r="J56" s="6"/>
      <c r="K56" s="6"/>
      <c r="L56" s="6"/>
      <c r="M56" s="748"/>
    </row>
    <row r="57" spans="1:39" s="3" customFormat="1" ht="18.75" x14ac:dyDescent="0.3">
      <c r="A57" s="743">
        <v>46</v>
      </c>
      <c r="B57" s="4" t="s">
        <v>480</v>
      </c>
      <c r="C57" s="743" t="s">
        <v>499</v>
      </c>
      <c r="D57" s="744" t="s">
        <v>447</v>
      </c>
      <c r="E57" s="745">
        <v>1030</v>
      </c>
      <c r="F57" s="746" t="s">
        <v>90</v>
      </c>
      <c r="G57" s="747" t="s">
        <v>561</v>
      </c>
      <c r="H57" s="743"/>
      <c r="I57" s="6"/>
      <c r="J57" s="6"/>
      <c r="K57" s="6"/>
      <c r="L57" s="6"/>
      <c r="M57" s="748"/>
    </row>
    <row r="58" spans="1:39" s="3" customFormat="1" ht="18.75" x14ac:dyDescent="0.3">
      <c r="A58" s="743">
        <v>47</v>
      </c>
      <c r="B58" s="4" t="s">
        <v>480</v>
      </c>
      <c r="C58" s="743" t="s">
        <v>500</v>
      </c>
      <c r="D58" s="744" t="s">
        <v>447</v>
      </c>
      <c r="E58" s="745">
        <v>1030</v>
      </c>
      <c r="F58" s="746" t="s">
        <v>90</v>
      </c>
      <c r="G58" s="747" t="s">
        <v>561</v>
      </c>
      <c r="H58" s="743"/>
      <c r="I58" s="6"/>
      <c r="J58" s="6"/>
      <c r="K58" s="6"/>
      <c r="L58" s="6"/>
      <c r="M58" s="748"/>
    </row>
    <row r="59" spans="1:39" s="3" customFormat="1" ht="18.75" x14ac:dyDescent="0.3">
      <c r="A59" s="743">
        <v>48</v>
      </c>
      <c r="B59" s="4" t="s">
        <v>480</v>
      </c>
      <c r="C59" s="743" t="s">
        <v>501</v>
      </c>
      <c r="D59" s="744" t="s">
        <v>447</v>
      </c>
      <c r="E59" s="745">
        <v>1030</v>
      </c>
      <c r="F59" s="746" t="s">
        <v>90</v>
      </c>
      <c r="G59" s="747" t="s">
        <v>561</v>
      </c>
      <c r="H59" s="743"/>
      <c r="I59" s="6"/>
      <c r="J59" s="6"/>
      <c r="K59" s="6"/>
      <c r="L59" s="6"/>
      <c r="M59" s="748"/>
    </row>
    <row r="60" spans="1:39" s="3" customFormat="1" ht="18.75" x14ac:dyDescent="0.3">
      <c r="A60" s="743">
        <v>49</v>
      </c>
      <c r="B60" s="4" t="s">
        <v>480</v>
      </c>
      <c r="C60" s="743" t="s">
        <v>502</v>
      </c>
      <c r="D60" s="744" t="s">
        <v>447</v>
      </c>
      <c r="E60" s="745">
        <v>1030</v>
      </c>
      <c r="F60" s="746" t="s">
        <v>94</v>
      </c>
      <c r="G60" s="747" t="s">
        <v>561</v>
      </c>
      <c r="H60" s="743"/>
      <c r="I60" s="6"/>
      <c r="J60" s="6"/>
      <c r="K60" s="6"/>
      <c r="L60" s="6"/>
      <c r="M60" s="748"/>
    </row>
    <row r="61" spans="1:39" s="3" customFormat="1" ht="21" customHeight="1" x14ac:dyDescent="0.3">
      <c r="A61" s="743">
        <v>50</v>
      </c>
      <c r="B61" s="8" t="s">
        <v>480</v>
      </c>
      <c r="C61" s="758" t="s">
        <v>503</v>
      </c>
      <c r="D61" s="759" t="s">
        <v>447</v>
      </c>
      <c r="E61" s="760">
        <v>1030</v>
      </c>
      <c r="F61" s="746" t="s">
        <v>94</v>
      </c>
      <c r="G61" s="747" t="s">
        <v>561</v>
      </c>
      <c r="H61" s="758"/>
      <c r="I61" s="6"/>
      <c r="J61" s="6"/>
      <c r="K61" s="6"/>
      <c r="L61" s="6"/>
      <c r="M61" s="748"/>
    </row>
    <row r="62" spans="1:39" s="3" customFormat="1" ht="18.75" x14ac:dyDescent="0.3">
      <c r="A62" s="743">
        <v>51</v>
      </c>
      <c r="B62" s="4" t="s">
        <v>474</v>
      </c>
      <c r="C62" s="743" t="s">
        <v>536</v>
      </c>
      <c r="D62" s="744" t="s">
        <v>447</v>
      </c>
      <c r="E62" s="745">
        <v>1150</v>
      </c>
      <c r="F62" s="746" t="s">
        <v>475</v>
      </c>
      <c r="G62" s="747" t="s">
        <v>561</v>
      </c>
      <c r="H62" s="743"/>
      <c r="I62" s="6"/>
      <c r="J62" s="6"/>
      <c r="K62" s="6"/>
      <c r="L62" s="6"/>
      <c r="M62" s="748"/>
    </row>
    <row r="63" spans="1:39" s="3" customFormat="1" ht="18.75" x14ac:dyDescent="0.3">
      <c r="A63" s="743">
        <v>52</v>
      </c>
      <c r="B63" s="4" t="s">
        <v>474</v>
      </c>
      <c r="C63" s="743" t="s">
        <v>537</v>
      </c>
      <c r="D63" s="744" t="s">
        <v>447</v>
      </c>
      <c r="E63" s="745">
        <v>1150</v>
      </c>
      <c r="F63" s="746" t="s">
        <v>475</v>
      </c>
      <c r="G63" s="747" t="s">
        <v>561</v>
      </c>
      <c r="H63" s="743"/>
      <c r="I63" s="6"/>
      <c r="J63" s="6"/>
      <c r="K63" s="6"/>
      <c r="L63" s="6"/>
      <c r="M63" s="748"/>
    </row>
    <row r="64" spans="1:39" s="3" customFormat="1" ht="18.75" x14ac:dyDescent="0.3">
      <c r="A64" s="743">
        <v>53</v>
      </c>
      <c r="B64" s="4" t="s">
        <v>474</v>
      </c>
      <c r="C64" s="743" t="s">
        <v>538</v>
      </c>
      <c r="D64" s="744" t="s">
        <v>447</v>
      </c>
      <c r="E64" s="745">
        <v>1150</v>
      </c>
      <c r="F64" s="746" t="s">
        <v>475</v>
      </c>
      <c r="G64" s="747" t="s">
        <v>561</v>
      </c>
      <c r="H64" s="743"/>
      <c r="I64" s="6"/>
      <c r="J64" s="6"/>
      <c r="K64" s="6"/>
      <c r="L64" s="6"/>
      <c r="M64" s="748"/>
    </row>
    <row r="65" spans="1:39" s="3" customFormat="1" ht="18.75" x14ac:dyDescent="0.3">
      <c r="A65" s="743">
        <v>54</v>
      </c>
      <c r="B65" s="4" t="s">
        <v>474</v>
      </c>
      <c r="C65" s="743" t="s">
        <v>539</v>
      </c>
      <c r="D65" s="744" t="s">
        <v>447</v>
      </c>
      <c r="E65" s="745">
        <v>1150</v>
      </c>
      <c r="F65" s="746" t="s">
        <v>475</v>
      </c>
      <c r="G65" s="747" t="s">
        <v>561</v>
      </c>
      <c r="H65" s="743"/>
      <c r="I65" s="6"/>
      <c r="J65" s="6"/>
      <c r="K65" s="6"/>
      <c r="L65" s="6"/>
      <c r="M65" s="748"/>
    </row>
    <row r="66" spans="1:39" s="3" customFormat="1" ht="18.75" x14ac:dyDescent="0.3">
      <c r="A66" s="743">
        <v>55</v>
      </c>
      <c r="B66" s="4" t="s">
        <v>474</v>
      </c>
      <c r="C66" s="743" t="s">
        <v>540</v>
      </c>
      <c r="D66" s="744" t="s">
        <v>447</v>
      </c>
      <c r="E66" s="745">
        <v>1150</v>
      </c>
      <c r="F66" s="746" t="s">
        <v>475</v>
      </c>
      <c r="G66" s="747" t="s">
        <v>561</v>
      </c>
      <c r="H66" s="743"/>
      <c r="I66" s="6"/>
      <c r="J66" s="6"/>
      <c r="K66" s="6"/>
      <c r="L66" s="6"/>
      <c r="M66" s="748"/>
    </row>
    <row r="67" spans="1:39" s="3" customFormat="1" ht="18.75" x14ac:dyDescent="0.3">
      <c r="A67" s="743">
        <v>56</v>
      </c>
      <c r="B67" s="4" t="s">
        <v>474</v>
      </c>
      <c r="C67" s="743" t="s">
        <v>541</v>
      </c>
      <c r="D67" s="744" t="s">
        <v>447</v>
      </c>
      <c r="E67" s="745">
        <v>1150</v>
      </c>
      <c r="F67" s="746" t="s">
        <v>475</v>
      </c>
      <c r="G67" s="747" t="s">
        <v>561</v>
      </c>
      <c r="H67" s="743"/>
      <c r="I67" s="6"/>
      <c r="J67" s="6"/>
      <c r="K67" s="6"/>
      <c r="L67" s="6"/>
      <c r="M67" s="748"/>
    </row>
    <row r="68" spans="1:39" s="3" customFormat="1" ht="18.75" x14ac:dyDescent="0.3">
      <c r="A68" s="743">
        <v>57</v>
      </c>
      <c r="B68" s="4" t="s">
        <v>474</v>
      </c>
      <c r="C68" s="743" t="s">
        <v>542</v>
      </c>
      <c r="D68" s="744" t="s">
        <v>447</v>
      </c>
      <c r="E68" s="745">
        <v>1150</v>
      </c>
      <c r="F68" s="746" t="s">
        <v>475</v>
      </c>
      <c r="G68" s="747" t="s">
        <v>561</v>
      </c>
      <c r="H68" s="743"/>
      <c r="I68" s="6"/>
      <c r="J68" s="6"/>
      <c r="K68" s="6"/>
      <c r="L68" s="6"/>
      <c r="M68" s="748"/>
    </row>
    <row r="69" spans="1:39" s="3" customFormat="1" ht="18.75" x14ac:dyDescent="0.3">
      <c r="A69" s="743">
        <v>58</v>
      </c>
      <c r="B69" s="4" t="s">
        <v>474</v>
      </c>
      <c r="C69" s="743" t="s">
        <v>543</v>
      </c>
      <c r="D69" s="744" t="s">
        <v>447</v>
      </c>
      <c r="E69" s="745">
        <v>1150</v>
      </c>
      <c r="F69" s="746" t="s">
        <v>475</v>
      </c>
      <c r="G69" s="747" t="s">
        <v>561</v>
      </c>
      <c r="H69" s="743"/>
      <c r="I69" s="6"/>
      <c r="J69" s="6"/>
      <c r="K69" s="6"/>
      <c r="L69" s="6"/>
      <c r="M69" s="748"/>
    </row>
    <row r="70" spans="1:39" s="3" customFormat="1" ht="18.75" x14ac:dyDescent="0.3">
      <c r="A70" s="743">
        <v>59</v>
      </c>
      <c r="B70" s="4" t="s">
        <v>476</v>
      </c>
      <c r="C70" s="743" t="s">
        <v>544</v>
      </c>
      <c r="D70" s="744" t="s">
        <v>447</v>
      </c>
      <c r="E70" s="745">
        <v>950</v>
      </c>
      <c r="F70" s="746" t="s">
        <v>475</v>
      </c>
      <c r="G70" s="747" t="s">
        <v>561</v>
      </c>
      <c r="H70" s="743"/>
      <c r="I70" s="6"/>
      <c r="J70" s="6"/>
      <c r="K70" s="6"/>
      <c r="L70" s="6"/>
      <c r="M70" s="748"/>
    </row>
    <row r="71" spans="1:39" s="3" customFormat="1" ht="18.75" x14ac:dyDescent="0.3">
      <c r="A71" s="743">
        <v>60</v>
      </c>
      <c r="B71" s="4" t="s">
        <v>476</v>
      </c>
      <c r="C71" s="743" t="s">
        <v>545</v>
      </c>
      <c r="D71" s="759" t="s">
        <v>447</v>
      </c>
      <c r="E71" s="745">
        <v>950</v>
      </c>
      <c r="F71" s="746" t="s">
        <v>475</v>
      </c>
      <c r="G71" s="747" t="s">
        <v>561</v>
      </c>
      <c r="H71" s="743"/>
      <c r="I71" s="6"/>
      <c r="J71" s="6"/>
      <c r="K71" s="6"/>
      <c r="L71" s="6"/>
      <c r="M71" s="748"/>
    </row>
    <row r="72" spans="1:39" s="3" customFormat="1" ht="18.75" x14ac:dyDescent="0.3">
      <c r="A72" s="743">
        <v>61</v>
      </c>
      <c r="B72" s="4" t="s">
        <v>476</v>
      </c>
      <c r="C72" s="743" t="s">
        <v>546</v>
      </c>
      <c r="D72" s="744" t="s">
        <v>447</v>
      </c>
      <c r="E72" s="745">
        <v>950</v>
      </c>
      <c r="F72" s="746" t="s">
        <v>475</v>
      </c>
      <c r="G72" s="747" t="s">
        <v>561</v>
      </c>
      <c r="H72" s="743"/>
      <c r="I72" s="6"/>
      <c r="J72" s="6"/>
      <c r="K72" s="6"/>
      <c r="L72" s="6"/>
      <c r="M72" s="748"/>
    </row>
    <row r="73" spans="1:39" s="3" customFormat="1" ht="18.75" x14ac:dyDescent="0.3">
      <c r="A73" s="758">
        <v>62</v>
      </c>
      <c r="B73" s="8" t="s">
        <v>476</v>
      </c>
      <c r="C73" s="758" t="s">
        <v>547</v>
      </c>
      <c r="D73" s="744" t="s">
        <v>447</v>
      </c>
      <c r="E73" s="745">
        <v>950</v>
      </c>
      <c r="F73" s="746" t="s">
        <v>475</v>
      </c>
      <c r="G73" s="747" t="s">
        <v>561</v>
      </c>
      <c r="H73" s="743"/>
      <c r="I73" s="6"/>
      <c r="J73" s="6"/>
      <c r="K73" s="6"/>
      <c r="L73" s="6"/>
      <c r="M73" s="748"/>
      <c r="N73" s="165">
        <f>SUM(E52:E73)</f>
        <v>23300</v>
      </c>
    </row>
    <row r="74" spans="1:39" s="230" customFormat="1" ht="21.75" thickBot="1" x14ac:dyDescent="0.4">
      <c r="A74" s="557"/>
      <c r="B74" s="225"/>
      <c r="C74" s="558"/>
      <c r="D74" s="271" t="s">
        <v>505</v>
      </c>
      <c r="E74" s="559">
        <f>SUM(E12:E73)</f>
        <v>69500</v>
      </c>
      <c r="F74" s="560"/>
      <c r="G74" s="225"/>
      <c r="H74" s="225"/>
      <c r="I74" s="225"/>
      <c r="J74" s="225"/>
      <c r="K74" s="225"/>
      <c r="L74" s="225"/>
      <c r="M74" s="272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</row>
    <row r="75" spans="1:39" s="563" customFormat="1" ht="22.5" thickTop="1" thickBot="1" x14ac:dyDescent="0.4">
      <c r="A75" s="419"/>
      <c r="B75" s="561"/>
      <c r="C75" s="562"/>
      <c r="D75" s="271" t="s">
        <v>1202</v>
      </c>
      <c r="E75" s="559">
        <f>+E9+E74</f>
        <v>73000</v>
      </c>
      <c r="F75" s="561"/>
      <c r="G75" s="561"/>
      <c r="H75" s="561"/>
      <c r="I75" s="561"/>
      <c r="J75" s="561"/>
      <c r="K75" s="561"/>
      <c r="L75" s="561"/>
      <c r="M75" s="561"/>
      <c r="N75" s="561"/>
      <c r="O75" s="561"/>
      <c r="P75" s="561"/>
      <c r="Q75" s="561"/>
      <c r="R75" s="561"/>
      <c r="S75" s="561"/>
      <c r="T75" s="561"/>
      <c r="U75" s="561"/>
      <c r="V75" s="561"/>
      <c r="W75" s="561"/>
      <c r="X75" s="561"/>
      <c r="Y75" s="561"/>
      <c r="Z75" s="561"/>
      <c r="AA75" s="561"/>
      <c r="AB75" s="561"/>
      <c r="AC75" s="561"/>
      <c r="AD75" s="561"/>
      <c r="AE75" s="561"/>
      <c r="AF75" s="561"/>
      <c r="AG75" s="561"/>
      <c r="AH75" s="561"/>
      <c r="AI75" s="561"/>
      <c r="AJ75" s="561"/>
      <c r="AK75" s="561"/>
      <c r="AL75" s="561"/>
      <c r="AM75" s="561"/>
    </row>
    <row r="76" spans="1:39" ht="15" thickTop="1" x14ac:dyDescent="0.2"/>
  </sheetData>
  <mergeCells count="12">
    <mergeCell ref="H4:H5"/>
    <mergeCell ref="J4:J5"/>
    <mergeCell ref="A1:M1"/>
    <mergeCell ref="A2:M2"/>
    <mergeCell ref="A3:A5"/>
    <mergeCell ref="B3:B5"/>
    <mergeCell ref="C3:C5"/>
    <mergeCell ref="E3:E5"/>
    <mergeCell ref="F3:F5"/>
    <mergeCell ref="G3:L3"/>
    <mergeCell ref="M3:M5"/>
    <mergeCell ref="G4:G5"/>
  </mergeCells>
  <pageMargins left="0.31496062992125984" right="0.31496062992125984" top="0.55118110236220474" bottom="0.35433070866141736" header="0.31496062992125984" footer="0.31496062992125984"/>
  <pageSetup paperSize="9" orientation="landscape" horizontalDpi="0" verticalDpi="0" r:id="rId1"/>
  <headerFooter>
    <oddFooter>&amp;R&amp;P/&amp;N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topLeftCell="A9" workbookViewId="0">
      <selection activeCell="E26" sqref="E26"/>
    </sheetView>
  </sheetViews>
  <sheetFormatPr defaultRowHeight="21" customHeight="1" x14ac:dyDescent="0.2"/>
  <cols>
    <col min="1" max="1" width="31.125" customWidth="1"/>
    <col min="2" max="2" width="11.375" customWidth="1"/>
    <col min="3" max="3" width="14.25" customWidth="1"/>
    <col min="4" max="4" width="9.25" customWidth="1"/>
    <col min="5" max="5" width="13.625" customWidth="1"/>
    <col min="7" max="7" width="10.25" bestFit="1" customWidth="1"/>
  </cols>
  <sheetData>
    <row r="1" spans="1:5" ht="21" customHeight="1" x14ac:dyDescent="0.35">
      <c r="A1" s="903" t="s">
        <v>864</v>
      </c>
      <c r="B1" s="903"/>
      <c r="C1" s="903"/>
      <c r="D1" s="903"/>
      <c r="E1" s="903"/>
    </row>
    <row r="2" spans="1:5" ht="21" customHeight="1" x14ac:dyDescent="0.35">
      <c r="A2" s="903" t="s">
        <v>900</v>
      </c>
      <c r="B2" s="903"/>
      <c r="C2" s="903"/>
      <c r="D2" s="903"/>
      <c r="E2" s="903"/>
    </row>
    <row r="3" spans="1:5" ht="21" customHeight="1" x14ac:dyDescent="0.35">
      <c r="A3" s="955" t="s">
        <v>865</v>
      </c>
      <c r="B3" s="955"/>
      <c r="C3" s="955"/>
      <c r="D3" s="955"/>
      <c r="E3" s="955"/>
    </row>
    <row r="4" spans="1:5" ht="21" customHeight="1" x14ac:dyDescent="0.35">
      <c r="A4" s="956" t="s">
        <v>866</v>
      </c>
      <c r="B4" s="958" t="s">
        <v>867</v>
      </c>
      <c r="C4" s="958"/>
      <c r="D4" s="959" t="s">
        <v>868</v>
      </c>
      <c r="E4" s="959"/>
    </row>
    <row r="5" spans="1:5" ht="21" customHeight="1" x14ac:dyDescent="0.35">
      <c r="A5" s="957"/>
      <c r="B5" s="28" t="s">
        <v>1</v>
      </c>
      <c r="C5" s="29" t="s">
        <v>869</v>
      </c>
      <c r="D5" s="28" t="s">
        <v>1</v>
      </c>
      <c r="E5" s="29" t="s">
        <v>869</v>
      </c>
    </row>
    <row r="6" spans="1:5" ht="21" customHeight="1" x14ac:dyDescent="0.35">
      <c r="A6" s="48" t="s">
        <v>880</v>
      </c>
      <c r="B6" s="55"/>
      <c r="C6" s="60"/>
      <c r="D6" s="49"/>
      <c r="E6" s="50"/>
    </row>
    <row r="7" spans="1:5" s="53" customFormat="1" ht="21" customHeight="1" x14ac:dyDescent="0.35">
      <c r="A7" s="54" t="s">
        <v>881</v>
      </c>
      <c r="B7" s="31">
        <v>6</v>
      </c>
      <c r="C7" s="61">
        <v>1263061</v>
      </c>
      <c r="D7" s="51"/>
      <c r="E7" s="52"/>
    </row>
    <row r="8" spans="1:5" s="53" customFormat="1" ht="21" customHeight="1" x14ac:dyDescent="0.35">
      <c r="A8" s="54" t="s">
        <v>882</v>
      </c>
      <c r="B8" s="31">
        <v>13</v>
      </c>
      <c r="C8" s="61">
        <v>537200</v>
      </c>
      <c r="D8" s="51"/>
      <c r="E8" s="52"/>
    </row>
    <row r="9" spans="1:5" ht="21" customHeight="1" x14ac:dyDescent="0.35">
      <c r="A9" s="46" t="s">
        <v>870</v>
      </c>
      <c r="B9" s="56"/>
      <c r="C9" s="62"/>
      <c r="D9" s="47"/>
      <c r="E9" s="37"/>
    </row>
    <row r="10" spans="1:5" ht="21" customHeight="1" x14ac:dyDescent="0.35">
      <c r="A10" s="57" t="s">
        <v>883</v>
      </c>
      <c r="B10" s="31">
        <v>2</v>
      </c>
      <c r="C10" s="62">
        <v>935000</v>
      </c>
      <c r="D10" s="47"/>
      <c r="E10" s="37"/>
    </row>
    <row r="11" spans="1:5" ht="21" customHeight="1" x14ac:dyDescent="0.35">
      <c r="A11" s="30" t="s">
        <v>871</v>
      </c>
      <c r="B11" s="31">
        <v>10</v>
      </c>
      <c r="C11" s="61">
        <v>40800</v>
      </c>
      <c r="D11" s="31"/>
      <c r="E11" s="33"/>
    </row>
    <row r="12" spans="1:5" ht="21" customHeight="1" x14ac:dyDescent="0.35">
      <c r="A12" s="30" t="s">
        <v>872</v>
      </c>
      <c r="B12" s="31">
        <v>9</v>
      </c>
      <c r="C12" s="61">
        <v>12500</v>
      </c>
      <c r="D12" s="31"/>
      <c r="E12" s="33"/>
    </row>
    <row r="13" spans="1:5" ht="21" customHeight="1" x14ac:dyDescent="0.35">
      <c r="A13" s="30" t="s">
        <v>873</v>
      </c>
      <c r="B13" s="31">
        <v>14</v>
      </c>
      <c r="C13" s="61">
        <v>48200</v>
      </c>
      <c r="D13" s="32"/>
      <c r="E13" s="33"/>
    </row>
    <row r="14" spans="1:5" ht="21" customHeight="1" x14ac:dyDescent="0.35">
      <c r="A14" s="30" t="s">
        <v>884</v>
      </c>
      <c r="B14" s="31">
        <v>2</v>
      </c>
      <c r="C14" s="61">
        <v>13000</v>
      </c>
      <c r="D14" s="32"/>
      <c r="E14" s="33"/>
    </row>
    <row r="15" spans="1:5" ht="21" customHeight="1" x14ac:dyDescent="0.35">
      <c r="A15" s="30" t="s">
        <v>874</v>
      </c>
      <c r="B15" s="31">
        <v>4</v>
      </c>
      <c r="C15" s="61">
        <v>117000</v>
      </c>
      <c r="D15" s="32"/>
      <c r="E15" s="33"/>
    </row>
    <row r="16" spans="1:5" ht="21" customHeight="1" x14ac:dyDescent="0.35">
      <c r="A16" s="30" t="s">
        <v>877</v>
      </c>
      <c r="B16" s="31">
        <v>1</v>
      </c>
      <c r="C16" s="61">
        <v>34775</v>
      </c>
      <c r="D16" s="32"/>
      <c r="E16" s="33"/>
    </row>
    <row r="17" spans="1:8" ht="21" customHeight="1" x14ac:dyDescent="0.35">
      <c r="A17" s="30" t="s">
        <v>875</v>
      </c>
      <c r="B17" s="31">
        <v>1</v>
      </c>
      <c r="C17" s="61">
        <v>9450</v>
      </c>
      <c r="D17" s="32"/>
      <c r="E17" s="33"/>
    </row>
    <row r="18" spans="1:8" ht="21" customHeight="1" x14ac:dyDescent="0.35">
      <c r="A18" s="30" t="s">
        <v>885</v>
      </c>
      <c r="B18" s="31">
        <v>2</v>
      </c>
      <c r="C18" s="61">
        <v>2260</v>
      </c>
      <c r="D18" s="32"/>
      <c r="E18" s="34"/>
    </row>
    <row r="19" spans="1:8" ht="21" customHeight="1" x14ac:dyDescent="0.35">
      <c r="A19" s="35" t="s">
        <v>891</v>
      </c>
      <c r="B19" s="56"/>
      <c r="C19" s="62"/>
      <c r="D19" s="37"/>
      <c r="E19" s="36"/>
    </row>
    <row r="20" spans="1:8" ht="21" customHeight="1" x14ac:dyDescent="0.35">
      <c r="A20" s="30" t="s">
        <v>892</v>
      </c>
      <c r="B20" s="31">
        <v>3</v>
      </c>
      <c r="C20" s="62">
        <v>72540</v>
      </c>
      <c r="D20" s="37"/>
      <c r="E20" s="36"/>
    </row>
    <row r="21" spans="1:8" ht="21" customHeight="1" x14ac:dyDescent="0.35">
      <c r="A21" s="30" t="s">
        <v>893</v>
      </c>
      <c r="B21" s="31">
        <v>5</v>
      </c>
      <c r="C21" s="62">
        <v>29190</v>
      </c>
      <c r="D21" s="37">
        <v>8</v>
      </c>
      <c r="E21" s="36">
        <v>7650</v>
      </c>
    </row>
    <row r="22" spans="1:8" ht="21" customHeight="1" x14ac:dyDescent="0.35">
      <c r="A22" s="30" t="s">
        <v>894</v>
      </c>
      <c r="B22" s="31">
        <v>6</v>
      </c>
      <c r="C22" s="62">
        <v>2700</v>
      </c>
      <c r="D22" s="37"/>
      <c r="E22" s="36"/>
    </row>
    <row r="23" spans="1:8" ht="21" customHeight="1" x14ac:dyDescent="0.35">
      <c r="A23" s="30" t="s">
        <v>895</v>
      </c>
      <c r="B23" s="31">
        <v>16</v>
      </c>
      <c r="C23" s="62">
        <v>104900</v>
      </c>
      <c r="D23" s="37">
        <v>12</v>
      </c>
      <c r="E23" s="36">
        <v>6810</v>
      </c>
    </row>
    <row r="24" spans="1:8" ht="21" customHeight="1" x14ac:dyDescent="0.35">
      <c r="A24" s="30" t="s">
        <v>896</v>
      </c>
      <c r="B24" s="31">
        <v>437</v>
      </c>
      <c r="C24" s="62">
        <v>516280</v>
      </c>
      <c r="D24" s="37">
        <v>67</v>
      </c>
      <c r="E24" s="36">
        <v>69500</v>
      </c>
    </row>
    <row r="25" spans="1:8" ht="21" customHeight="1" x14ac:dyDescent="0.35">
      <c r="A25" s="30" t="s">
        <v>897</v>
      </c>
      <c r="B25" s="31">
        <v>1</v>
      </c>
      <c r="C25" s="62">
        <v>15000</v>
      </c>
      <c r="D25" s="37"/>
      <c r="E25" s="36"/>
    </row>
    <row r="26" spans="1:8" ht="21" customHeight="1" x14ac:dyDescent="0.35">
      <c r="A26" s="30" t="s">
        <v>898</v>
      </c>
      <c r="B26" s="31">
        <v>6</v>
      </c>
      <c r="C26" s="62">
        <v>84000</v>
      </c>
      <c r="D26" s="37"/>
      <c r="E26" s="36"/>
    </row>
    <row r="27" spans="1:8" ht="21" customHeight="1" x14ac:dyDescent="0.35">
      <c r="A27" s="30" t="s">
        <v>781</v>
      </c>
      <c r="B27" s="31">
        <v>65</v>
      </c>
      <c r="C27" s="62">
        <v>1006500</v>
      </c>
      <c r="D27" s="37"/>
      <c r="E27" s="36"/>
    </row>
    <row r="28" spans="1:8" ht="21" customHeight="1" x14ac:dyDescent="0.35">
      <c r="A28" s="30" t="s">
        <v>899</v>
      </c>
      <c r="B28" s="31">
        <v>34</v>
      </c>
      <c r="C28" s="62">
        <v>40470</v>
      </c>
      <c r="D28" s="37"/>
      <c r="E28" s="36"/>
      <c r="G28" s="58"/>
    </row>
    <row r="29" spans="1:8" ht="21" customHeight="1" x14ac:dyDescent="0.35">
      <c r="A29" s="35" t="s">
        <v>886</v>
      </c>
      <c r="B29" s="31"/>
      <c r="C29" s="62"/>
      <c r="D29" s="37"/>
      <c r="E29" s="36"/>
    </row>
    <row r="30" spans="1:8" ht="21" customHeight="1" x14ac:dyDescent="0.35">
      <c r="A30" s="30" t="s">
        <v>888</v>
      </c>
      <c r="B30" s="31">
        <v>3</v>
      </c>
      <c r="C30" s="62">
        <v>205900</v>
      </c>
      <c r="D30" s="37"/>
      <c r="E30" s="36"/>
      <c r="H30">
        <v>3</v>
      </c>
    </row>
    <row r="31" spans="1:8" ht="21" customHeight="1" x14ac:dyDescent="0.35">
      <c r="A31" s="30" t="s">
        <v>889</v>
      </c>
      <c r="B31" s="31">
        <v>3</v>
      </c>
      <c r="C31" s="62">
        <v>179500</v>
      </c>
      <c r="D31" s="37"/>
      <c r="E31" s="36"/>
    </row>
    <row r="32" spans="1:8" ht="21" customHeight="1" x14ac:dyDescent="0.35">
      <c r="A32" s="30" t="s">
        <v>890</v>
      </c>
      <c r="B32" s="31">
        <v>2</v>
      </c>
      <c r="C32" s="62">
        <v>62100</v>
      </c>
      <c r="D32" s="37"/>
      <c r="E32" s="36"/>
    </row>
    <row r="33" spans="1:5" ht="21" customHeight="1" x14ac:dyDescent="0.35">
      <c r="A33" s="35" t="s">
        <v>878</v>
      </c>
      <c r="B33" s="37"/>
      <c r="C33" s="63"/>
      <c r="D33" s="37"/>
      <c r="E33" s="38"/>
    </row>
    <row r="34" spans="1:5" ht="21" customHeight="1" x14ac:dyDescent="0.35">
      <c r="A34" s="39" t="s">
        <v>879</v>
      </c>
      <c r="B34" s="40">
        <v>21</v>
      </c>
      <c r="C34" s="59">
        <v>175821.24</v>
      </c>
      <c r="D34" s="40">
        <v>3</v>
      </c>
      <c r="E34" s="41">
        <v>1200</v>
      </c>
    </row>
    <row r="35" spans="1:5" ht="21" customHeight="1" x14ac:dyDescent="0.35">
      <c r="A35" s="42" t="s">
        <v>505</v>
      </c>
      <c r="B35" s="43"/>
      <c r="C35" s="64">
        <f>SUM(C7:C34)</f>
        <v>5508147.2400000002</v>
      </c>
      <c r="D35" s="43"/>
      <c r="E35" s="44">
        <f>SUM(E6:E34)</f>
        <v>85160</v>
      </c>
    </row>
    <row r="36" spans="1:5" ht="21" customHeight="1" x14ac:dyDescent="0.35">
      <c r="A36" s="45"/>
      <c r="B36" s="45"/>
      <c r="C36" s="45"/>
      <c r="D36" s="45"/>
      <c r="E36" s="45"/>
    </row>
  </sheetData>
  <mergeCells count="6">
    <mergeCell ref="A1:E1"/>
    <mergeCell ref="A2:E2"/>
    <mergeCell ref="A3:E3"/>
    <mergeCell ref="A4:A5"/>
    <mergeCell ref="B4:C4"/>
    <mergeCell ref="D4:E4"/>
  </mergeCells>
  <pageMargins left="0.31496062992125984" right="0.31496062992125984" top="0.35433070866141736" bottom="0.35433070866141736" header="0.31496062992125984" footer="0.31496062992125984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7"/>
  <sheetViews>
    <sheetView workbookViewId="0">
      <selection activeCell="D36" sqref="D36"/>
    </sheetView>
  </sheetViews>
  <sheetFormatPr defaultColWidth="8.75" defaultRowHeight="18" x14ac:dyDescent="0.25"/>
  <cols>
    <col min="1" max="1" width="19.25" style="66" customWidth="1"/>
    <col min="2" max="2" width="11.75" style="66" customWidth="1"/>
    <col min="3" max="3" width="10.125" style="66" customWidth="1"/>
    <col min="4" max="5" width="9.75" style="66" customWidth="1"/>
    <col min="6" max="6" width="10.625" style="66" customWidth="1"/>
    <col min="7" max="7" width="11.5" style="66" customWidth="1"/>
    <col min="8" max="16384" width="8.75" style="66"/>
  </cols>
  <sheetData>
    <row r="1" spans="1:9" ht="18.75" x14ac:dyDescent="0.3">
      <c r="A1" s="76" t="s">
        <v>866</v>
      </c>
      <c r="B1" s="65" t="s">
        <v>901</v>
      </c>
      <c r="C1" s="16" t="s">
        <v>902</v>
      </c>
      <c r="D1" s="80" t="s">
        <v>903</v>
      </c>
      <c r="E1" s="16" t="s">
        <v>904</v>
      </c>
      <c r="F1" s="83" t="s">
        <v>905</v>
      </c>
      <c r="G1" s="16" t="s">
        <v>906</v>
      </c>
      <c r="H1" s="82" t="s">
        <v>909</v>
      </c>
      <c r="I1" s="3"/>
    </row>
    <row r="2" spans="1:9" ht="18.75" x14ac:dyDescent="0.3">
      <c r="A2" s="67" t="s">
        <v>880</v>
      </c>
      <c r="B2" s="68"/>
      <c r="C2" s="78"/>
      <c r="D2" s="10"/>
      <c r="E2" s="79"/>
      <c r="F2" s="10"/>
      <c r="G2" s="79"/>
      <c r="H2" s="10"/>
      <c r="I2" s="3"/>
    </row>
    <row r="3" spans="1:9" ht="18.75" x14ac:dyDescent="0.3">
      <c r="A3" s="14" t="s">
        <v>881</v>
      </c>
      <c r="B3" s="69">
        <v>1263061</v>
      </c>
      <c r="C3" s="79"/>
      <c r="D3" s="10"/>
      <c r="E3" s="79"/>
      <c r="F3" s="10"/>
      <c r="G3" s="79"/>
      <c r="H3" s="10"/>
      <c r="I3" s="3"/>
    </row>
    <row r="4" spans="1:9" ht="18.75" x14ac:dyDescent="0.3">
      <c r="A4" s="14" t="s">
        <v>882</v>
      </c>
      <c r="B4" s="69">
        <v>537200</v>
      </c>
      <c r="C4" s="79"/>
      <c r="D4" s="10"/>
      <c r="E4" s="79"/>
      <c r="F4" s="10"/>
      <c r="G4" s="79"/>
      <c r="H4" s="10"/>
      <c r="I4" s="3"/>
    </row>
    <row r="5" spans="1:9" ht="18.75" x14ac:dyDescent="0.3">
      <c r="A5" s="70" t="s">
        <v>870</v>
      </c>
      <c r="B5" s="71"/>
      <c r="C5" s="79"/>
      <c r="D5" s="10"/>
      <c r="E5" s="79"/>
      <c r="F5" s="10"/>
      <c r="G5" s="79"/>
      <c r="H5" s="10"/>
      <c r="I5" s="3"/>
    </row>
    <row r="6" spans="1:9" ht="18.75" x14ac:dyDescent="0.3">
      <c r="A6" s="18" t="s">
        <v>883</v>
      </c>
      <c r="B6" s="71">
        <v>935000</v>
      </c>
      <c r="C6" s="79"/>
      <c r="D6" s="10"/>
      <c r="E6" s="79"/>
      <c r="F6" s="10"/>
      <c r="G6" s="79"/>
      <c r="H6" s="10"/>
      <c r="I6" s="3"/>
    </row>
    <row r="7" spans="1:9" ht="18.75" x14ac:dyDescent="0.3">
      <c r="A7" s="4" t="s">
        <v>871</v>
      </c>
      <c r="B7" s="69">
        <v>40800</v>
      </c>
      <c r="C7" s="79">
        <v>28700</v>
      </c>
      <c r="D7" s="10">
        <v>8600</v>
      </c>
      <c r="E7" s="79">
        <v>11200</v>
      </c>
      <c r="F7" s="10">
        <v>1900</v>
      </c>
      <c r="G7" s="79">
        <v>18300</v>
      </c>
      <c r="H7" s="10"/>
      <c r="I7" s="3"/>
    </row>
    <row r="8" spans="1:9" ht="18.75" x14ac:dyDescent="0.3">
      <c r="A8" s="4" t="s">
        <v>872</v>
      </c>
      <c r="B8" s="69">
        <v>12500</v>
      </c>
      <c r="C8" s="79">
        <v>14750</v>
      </c>
      <c r="D8" s="10"/>
      <c r="E8" s="79">
        <v>2500</v>
      </c>
      <c r="F8" s="10">
        <v>3500</v>
      </c>
      <c r="G8" s="79"/>
      <c r="H8" s="10"/>
      <c r="I8" s="3"/>
    </row>
    <row r="9" spans="1:9" ht="18.75" x14ac:dyDescent="0.3">
      <c r="A9" s="4" t="s">
        <v>873</v>
      </c>
      <c r="B9" s="69">
        <v>48200</v>
      </c>
      <c r="C9" s="79">
        <v>26450</v>
      </c>
      <c r="D9" s="10">
        <v>20750</v>
      </c>
      <c r="E9" s="79">
        <v>28100</v>
      </c>
      <c r="F9" s="10">
        <v>6800</v>
      </c>
      <c r="G9" s="79">
        <v>37500</v>
      </c>
      <c r="H9" s="10"/>
      <c r="I9" s="3"/>
    </row>
    <row r="10" spans="1:9" ht="18.75" x14ac:dyDescent="0.3">
      <c r="A10" s="4" t="s">
        <v>908</v>
      </c>
      <c r="B10" s="69"/>
      <c r="C10" s="79"/>
      <c r="D10" s="10"/>
      <c r="E10" s="79">
        <v>8500</v>
      </c>
      <c r="F10" s="10"/>
      <c r="G10" s="79"/>
      <c r="H10" s="10"/>
      <c r="I10" s="3"/>
    </row>
    <row r="11" spans="1:9" ht="18.75" x14ac:dyDescent="0.3">
      <c r="A11" s="4" t="s">
        <v>884</v>
      </c>
      <c r="B11" s="69">
        <v>13000</v>
      </c>
      <c r="C11" s="79"/>
      <c r="D11" s="10"/>
      <c r="E11" s="79"/>
      <c r="F11" s="10"/>
      <c r="G11" s="79"/>
      <c r="H11" s="10"/>
      <c r="I11" s="3"/>
    </row>
    <row r="12" spans="1:9" ht="18.75" x14ac:dyDescent="0.3">
      <c r="A12" s="4" t="s">
        <v>874</v>
      </c>
      <c r="B12" s="69">
        <v>117000</v>
      </c>
      <c r="C12" s="79">
        <v>397890</v>
      </c>
      <c r="D12" s="10"/>
      <c r="E12" s="79"/>
      <c r="F12" s="10"/>
      <c r="G12" s="79"/>
      <c r="H12" s="10"/>
      <c r="I12" s="3"/>
    </row>
    <row r="13" spans="1:9" ht="18.75" x14ac:dyDescent="0.3">
      <c r="A13" s="4" t="s">
        <v>907</v>
      </c>
      <c r="B13" s="69"/>
      <c r="C13" s="79"/>
      <c r="D13" s="10">
        <v>20000</v>
      </c>
      <c r="E13" s="79"/>
      <c r="F13" s="10"/>
      <c r="G13" s="79"/>
      <c r="H13" s="10"/>
      <c r="I13" s="3"/>
    </row>
    <row r="14" spans="1:9" ht="18.75" x14ac:dyDescent="0.3">
      <c r="A14" s="4" t="s">
        <v>876</v>
      </c>
      <c r="B14" s="69"/>
      <c r="C14" s="79">
        <v>4100</v>
      </c>
      <c r="D14" s="10">
        <v>2500</v>
      </c>
      <c r="E14" s="79"/>
      <c r="F14" s="10"/>
      <c r="G14" s="79"/>
      <c r="H14" s="10"/>
      <c r="I14" s="3"/>
    </row>
    <row r="15" spans="1:9" ht="18.75" x14ac:dyDescent="0.3">
      <c r="A15" s="4" t="s">
        <v>877</v>
      </c>
      <c r="B15" s="69">
        <v>34775</v>
      </c>
      <c r="C15" s="79"/>
      <c r="D15" s="10"/>
      <c r="E15" s="79"/>
      <c r="F15" s="10"/>
      <c r="G15" s="79"/>
      <c r="H15" s="10"/>
      <c r="I15" s="3"/>
    </row>
    <row r="16" spans="1:9" ht="18.75" x14ac:dyDescent="0.3">
      <c r="A16" s="4" t="s">
        <v>875</v>
      </c>
      <c r="B16" s="69">
        <v>9450</v>
      </c>
      <c r="C16" s="79">
        <v>11600</v>
      </c>
      <c r="D16" s="10"/>
      <c r="E16" s="79"/>
      <c r="F16" s="10"/>
      <c r="G16" s="79"/>
      <c r="H16" s="10"/>
      <c r="I16" s="3"/>
    </row>
    <row r="17" spans="1:9" ht="18.75" x14ac:dyDescent="0.3">
      <c r="A17" s="4" t="s">
        <v>885</v>
      </c>
      <c r="B17" s="69">
        <v>2260</v>
      </c>
      <c r="C17" s="79"/>
      <c r="D17" s="10"/>
      <c r="E17" s="79"/>
      <c r="F17" s="10"/>
      <c r="G17" s="79"/>
      <c r="H17" s="10"/>
      <c r="I17" s="3"/>
    </row>
    <row r="18" spans="1:9" ht="18.75" x14ac:dyDescent="0.3">
      <c r="A18" s="7" t="s">
        <v>891</v>
      </c>
      <c r="B18" s="71"/>
      <c r="C18" s="79"/>
      <c r="D18" s="10"/>
      <c r="E18" s="79"/>
      <c r="F18" s="10"/>
      <c r="G18" s="79"/>
      <c r="H18" s="10"/>
      <c r="I18" s="3"/>
    </row>
    <row r="19" spans="1:9" ht="18.75" x14ac:dyDescent="0.3">
      <c r="A19" s="4" t="s">
        <v>892</v>
      </c>
      <c r="B19" s="71">
        <v>72540</v>
      </c>
      <c r="C19" s="79"/>
      <c r="D19" s="10"/>
      <c r="E19" s="79"/>
      <c r="F19" s="10"/>
      <c r="G19" s="79"/>
      <c r="H19" s="10"/>
      <c r="I19" s="3"/>
    </row>
    <row r="20" spans="1:9" ht="18.75" x14ac:dyDescent="0.3">
      <c r="A20" s="4" t="s">
        <v>893</v>
      </c>
      <c r="B20" s="71">
        <v>29190</v>
      </c>
      <c r="C20" s="79"/>
      <c r="D20" s="10"/>
      <c r="E20" s="79"/>
      <c r="F20" s="10"/>
      <c r="G20" s="79"/>
      <c r="H20" s="10"/>
      <c r="I20" s="3"/>
    </row>
    <row r="21" spans="1:9" ht="18.75" x14ac:dyDescent="0.3">
      <c r="A21" s="4" t="s">
        <v>894</v>
      </c>
      <c r="B21" s="71">
        <v>2700</v>
      </c>
      <c r="C21" s="79"/>
      <c r="D21" s="10"/>
      <c r="E21" s="79"/>
      <c r="F21" s="10"/>
      <c r="G21" s="79"/>
      <c r="H21" s="10"/>
      <c r="I21" s="3"/>
    </row>
    <row r="22" spans="1:9" ht="18.75" x14ac:dyDescent="0.3">
      <c r="A22" s="4" t="s">
        <v>895</v>
      </c>
      <c r="B22" s="71">
        <v>104900</v>
      </c>
      <c r="C22" s="79"/>
      <c r="D22" s="10"/>
      <c r="E22" s="79"/>
      <c r="F22" s="10"/>
      <c r="G22" s="79"/>
      <c r="H22" s="10"/>
      <c r="I22" s="3"/>
    </row>
    <row r="23" spans="1:9" ht="18.75" x14ac:dyDescent="0.3">
      <c r="A23" s="4" t="s">
        <v>896</v>
      </c>
      <c r="B23" s="71">
        <v>516280</v>
      </c>
      <c r="C23" s="79"/>
      <c r="D23" s="10"/>
      <c r="E23" s="79"/>
      <c r="F23" s="10"/>
      <c r="G23" s="79"/>
      <c r="H23" s="10"/>
      <c r="I23" s="3"/>
    </row>
    <row r="24" spans="1:9" ht="18.75" x14ac:dyDescent="0.3">
      <c r="A24" s="4" t="s">
        <v>897</v>
      </c>
      <c r="B24" s="71">
        <v>15000</v>
      </c>
      <c r="C24" s="79"/>
      <c r="D24" s="10"/>
      <c r="E24" s="79"/>
      <c r="F24" s="10"/>
      <c r="G24" s="79"/>
      <c r="H24" s="10"/>
      <c r="I24" s="3"/>
    </row>
    <row r="25" spans="1:9" ht="18.75" x14ac:dyDescent="0.3">
      <c r="A25" s="4" t="s">
        <v>898</v>
      </c>
      <c r="B25" s="71">
        <v>84000</v>
      </c>
      <c r="C25" s="79"/>
      <c r="D25" s="10"/>
      <c r="E25" s="79"/>
      <c r="F25" s="10"/>
      <c r="G25" s="79"/>
      <c r="H25" s="10"/>
      <c r="I25" s="3"/>
    </row>
    <row r="26" spans="1:9" ht="18.75" x14ac:dyDescent="0.3">
      <c r="A26" s="4" t="s">
        <v>781</v>
      </c>
      <c r="B26" s="71">
        <v>1006500</v>
      </c>
      <c r="C26" s="79"/>
      <c r="D26" s="10"/>
      <c r="E26" s="79"/>
      <c r="F26" s="10"/>
      <c r="G26" s="79"/>
      <c r="H26" s="10"/>
      <c r="I26" s="3"/>
    </row>
    <row r="27" spans="1:9" ht="18.75" x14ac:dyDescent="0.3">
      <c r="A27" s="4" t="s">
        <v>899</v>
      </c>
      <c r="B27" s="71">
        <v>40470</v>
      </c>
      <c r="C27" s="79"/>
      <c r="D27" s="10"/>
      <c r="E27" s="79"/>
      <c r="F27" s="10"/>
      <c r="G27" s="79"/>
      <c r="H27" s="10"/>
      <c r="I27" s="3"/>
    </row>
    <row r="28" spans="1:9" ht="18.75" x14ac:dyDescent="0.3">
      <c r="A28" s="7" t="s">
        <v>886</v>
      </c>
      <c r="B28" s="71"/>
      <c r="C28" s="79"/>
      <c r="D28" s="10"/>
      <c r="E28" s="79"/>
      <c r="F28" s="10"/>
      <c r="G28" s="79"/>
      <c r="H28" s="10"/>
      <c r="I28" s="3"/>
    </row>
    <row r="29" spans="1:9" ht="18.75" x14ac:dyDescent="0.3">
      <c r="A29" s="4" t="s">
        <v>887</v>
      </c>
      <c r="B29" s="71">
        <v>3388157</v>
      </c>
      <c r="C29" s="79"/>
      <c r="D29" s="10"/>
      <c r="E29" s="79"/>
      <c r="F29" s="10"/>
      <c r="G29" s="79"/>
      <c r="H29" s="10"/>
      <c r="I29" s="3"/>
    </row>
    <row r="30" spans="1:9" ht="18.75" x14ac:dyDescent="0.3">
      <c r="A30" s="4" t="s">
        <v>888</v>
      </c>
      <c r="B30" s="71">
        <v>205900</v>
      </c>
      <c r="C30" s="79"/>
      <c r="D30" s="10"/>
      <c r="E30" s="79"/>
      <c r="F30" s="10"/>
      <c r="G30" s="79"/>
      <c r="H30" s="10"/>
      <c r="I30" s="3"/>
    </row>
    <row r="31" spans="1:9" ht="18.75" x14ac:dyDescent="0.3">
      <c r="A31" s="4" t="s">
        <v>889</v>
      </c>
      <c r="B31" s="71">
        <v>179500</v>
      </c>
      <c r="C31" s="79"/>
      <c r="D31" s="10"/>
      <c r="E31" s="79"/>
      <c r="F31" s="10"/>
      <c r="G31" s="79"/>
      <c r="H31" s="10"/>
      <c r="I31" s="3"/>
    </row>
    <row r="32" spans="1:9" ht="18.75" x14ac:dyDescent="0.3">
      <c r="A32" s="4" t="s">
        <v>890</v>
      </c>
      <c r="B32" s="71">
        <v>62100</v>
      </c>
      <c r="C32" s="79"/>
      <c r="D32" s="10"/>
      <c r="E32" s="79"/>
      <c r="F32" s="10"/>
      <c r="G32" s="79"/>
      <c r="H32" s="10"/>
      <c r="I32" s="3"/>
    </row>
    <row r="33" spans="1:9" ht="18.75" x14ac:dyDescent="0.3">
      <c r="A33" s="7" t="s">
        <v>878</v>
      </c>
      <c r="B33" s="72"/>
      <c r="C33" s="79"/>
      <c r="D33" s="10"/>
      <c r="E33" s="79"/>
      <c r="F33" s="10"/>
      <c r="G33" s="79"/>
      <c r="H33" s="10"/>
      <c r="I33" s="3"/>
    </row>
    <row r="34" spans="1:9" ht="18.75" x14ac:dyDescent="0.3">
      <c r="A34" s="8" t="s">
        <v>879</v>
      </c>
      <c r="B34" s="73">
        <v>175821.24</v>
      </c>
      <c r="C34" s="79">
        <v>218040</v>
      </c>
      <c r="D34" s="10">
        <v>62100</v>
      </c>
      <c r="E34" s="79">
        <v>60930</v>
      </c>
      <c r="F34" s="10">
        <v>123040</v>
      </c>
      <c r="G34" s="79">
        <v>2371832</v>
      </c>
      <c r="H34" s="10"/>
      <c r="I34" s="3"/>
    </row>
    <row r="35" spans="1:9" ht="18.75" x14ac:dyDescent="0.3">
      <c r="A35" s="74" t="s">
        <v>505</v>
      </c>
      <c r="B35" s="75">
        <f>SUM(B3:B34)</f>
        <v>8896304.2400000002</v>
      </c>
      <c r="C35" s="75">
        <f t="shared" ref="C35:H35" si="0">SUM(C3:C34)</f>
        <v>701530</v>
      </c>
      <c r="D35" s="81">
        <f t="shared" si="0"/>
        <v>113950</v>
      </c>
      <c r="E35" s="75">
        <f t="shared" si="0"/>
        <v>111230</v>
      </c>
      <c r="F35" s="81">
        <f t="shared" si="0"/>
        <v>135240</v>
      </c>
      <c r="G35" s="75">
        <f t="shared" si="0"/>
        <v>2427632</v>
      </c>
      <c r="H35" s="77">
        <f t="shared" si="0"/>
        <v>0</v>
      </c>
      <c r="I35" s="3"/>
    </row>
    <row r="36" spans="1:9" ht="18.75" x14ac:dyDescent="0.3">
      <c r="C36" s="3"/>
      <c r="D36" s="3"/>
      <c r="E36" s="3"/>
      <c r="F36" s="3"/>
      <c r="G36" s="3"/>
      <c r="H36" s="3"/>
      <c r="I36" s="3"/>
    </row>
    <row r="37" spans="1:9" ht="18.75" x14ac:dyDescent="0.3">
      <c r="C37" s="3"/>
      <c r="D37" s="3"/>
      <c r="E37" s="3"/>
      <c r="F37" s="3"/>
      <c r="G37" s="3"/>
      <c r="H37" s="3"/>
      <c r="I37" s="3"/>
    </row>
  </sheetData>
  <pageMargins left="0" right="0.11811023622047245" top="0.35433070866141736" bottom="0.15748031496062992" header="0.31496062992125984" footer="0.31496062992125984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21"/>
  <sheetViews>
    <sheetView workbookViewId="0">
      <selection activeCell="F1" sqref="F1:F1048576"/>
    </sheetView>
  </sheetViews>
  <sheetFormatPr defaultRowHeight="14.25" x14ac:dyDescent="0.2"/>
  <cols>
    <col min="2" max="2" width="42.25" customWidth="1"/>
    <col min="3" max="3" width="19.75" customWidth="1"/>
  </cols>
  <sheetData>
    <row r="2" spans="1:4" ht="23.45" customHeight="1" x14ac:dyDescent="0.35">
      <c r="A2" s="45"/>
      <c r="B2" s="761" t="s">
        <v>1272</v>
      </c>
      <c r="C2" s="45"/>
      <c r="D2" s="45"/>
    </row>
    <row r="3" spans="1:4" ht="22.9" customHeight="1" x14ac:dyDescent="0.35">
      <c r="A3" s="45" t="s">
        <v>1273</v>
      </c>
      <c r="B3" s="45"/>
      <c r="C3" s="45"/>
      <c r="D3" s="45"/>
    </row>
    <row r="5" spans="1:4" ht="21" x14ac:dyDescent="0.35">
      <c r="A5" s="727"/>
      <c r="B5" s="43" t="s">
        <v>514</v>
      </c>
      <c r="C5" s="727" t="s">
        <v>504</v>
      </c>
    </row>
    <row r="6" spans="1:4" ht="21" x14ac:dyDescent="0.35">
      <c r="A6" s="289">
        <v>1</v>
      </c>
      <c r="B6" s="243" t="s">
        <v>75</v>
      </c>
      <c r="C6" s="289" t="s">
        <v>77</v>
      </c>
    </row>
    <row r="7" spans="1:4" ht="21" x14ac:dyDescent="0.35">
      <c r="A7" s="282"/>
      <c r="B7" s="269" t="s">
        <v>78</v>
      </c>
      <c r="C7" s="282"/>
    </row>
    <row r="8" spans="1:4" ht="21" x14ac:dyDescent="0.35">
      <c r="A8" s="762">
        <v>2</v>
      </c>
      <c r="B8" s="243" t="s">
        <v>75</v>
      </c>
      <c r="C8" s="372" t="s">
        <v>1061</v>
      </c>
    </row>
    <row r="9" spans="1:4" ht="21" x14ac:dyDescent="0.35">
      <c r="A9" s="409"/>
      <c r="B9" s="269" t="s">
        <v>1073</v>
      </c>
      <c r="C9" s="434"/>
    </row>
    <row r="10" spans="1:4" ht="21" x14ac:dyDescent="0.35">
      <c r="A10" s="762">
        <v>3</v>
      </c>
      <c r="B10" s="243" t="s">
        <v>75</v>
      </c>
      <c r="C10" s="372" t="s">
        <v>1062</v>
      </c>
    </row>
    <row r="11" spans="1:4" ht="21" x14ac:dyDescent="0.35">
      <c r="A11" s="409"/>
      <c r="B11" s="269" t="s">
        <v>1073</v>
      </c>
      <c r="C11" s="434"/>
    </row>
    <row r="12" spans="1:4" ht="21" x14ac:dyDescent="0.35">
      <c r="A12" s="762">
        <v>4</v>
      </c>
      <c r="B12" s="243" t="s">
        <v>75</v>
      </c>
      <c r="C12" s="372" t="s">
        <v>1058</v>
      </c>
    </row>
    <row r="13" spans="1:4" ht="21" x14ac:dyDescent="0.35">
      <c r="A13" s="409"/>
      <c r="B13" s="269" t="s">
        <v>1060</v>
      </c>
      <c r="C13" s="434"/>
    </row>
    <row r="14" spans="1:4" ht="21" x14ac:dyDescent="0.35">
      <c r="A14" s="762">
        <v>5</v>
      </c>
      <c r="B14" s="243" t="s">
        <v>75</v>
      </c>
      <c r="C14" s="372" t="s">
        <v>1059</v>
      </c>
    </row>
    <row r="15" spans="1:4" ht="21" x14ac:dyDescent="0.35">
      <c r="A15" s="409"/>
      <c r="B15" s="269" t="s">
        <v>1060</v>
      </c>
      <c r="C15" s="434"/>
    </row>
    <row r="16" spans="1:4" ht="21" x14ac:dyDescent="0.35">
      <c r="A16" s="762">
        <v>6</v>
      </c>
      <c r="B16" s="243" t="s">
        <v>75</v>
      </c>
      <c r="C16" s="372" t="s">
        <v>1133</v>
      </c>
    </row>
    <row r="17" spans="1:3" ht="21" x14ac:dyDescent="0.35">
      <c r="A17" s="409"/>
      <c r="B17" s="269" t="s">
        <v>1075</v>
      </c>
      <c r="C17" s="361"/>
    </row>
    <row r="18" spans="1:3" ht="21" x14ac:dyDescent="0.35">
      <c r="A18" s="762">
        <v>7</v>
      </c>
      <c r="B18" s="243" t="s">
        <v>1185</v>
      </c>
      <c r="C18" s="372" t="s">
        <v>1186</v>
      </c>
    </row>
    <row r="19" spans="1:3" ht="21" x14ac:dyDescent="0.35">
      <c r="A19" s="409"/>
      <c r="B19" s="269" t="s">
        <v>1184</v>
      </c>
      <c r="C19" s="361"/>
    </row>
    <row r="20" spans="1:3" ht="21" x14ac:dyDescent="0.35">
      <c r="A20" s="322">
        <v>8</v>
      </c>
      <c r="B20" s="262" t="s">
        <v>1185</v>
      </c>
      <c r="C20" s="37" t="s">
        <v>1188</v>
      </c>
    </row>
    <row r="21" spans="1:3" ht="21" x14ac:dyDescent="0.35">
      <c r="A21" s="395"/>
      <c r="B21" s="269" t="s">
        <v>1184</v>
      </c>
      <c r="C21" s="36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10</vt:i4>
      </vt:variant>
      <vt:variant>
        <vt:lpstr>ช่วงที่มีชื่อ</vt:lpstr>
      </vt:variant>
      <vt:variant>
        <vt:i4>6</vt:i4>
      </vt:variant>
    </vt:vector>
  </HeadingPairs>
  <TitlesOfParts>
    <vt:vector size="16" baseType="lpstr">
      <vt:lpstr>ค่าที่ดิน</vt:lpstr>
      <vt:lpstr>1.สำนักงาน</vt:lpstr>
      <vt:lpstr>2.ไฟฟ้า</vt:lpstr>
      <vt:lpstr>3.โฆษณา</vt:lpstr>
      <vt:lpstr>5.คอมพิวเตอร์</vt:lpstr>
      <vt:lpstr>6.ยานพาหนะ</vt:lpstr>
      <vt:lpstr>ต่ำกว่าเกณฑ์ </vt:lpstr>
      <vt:lpstr>Sheet1</vt:lpstr>
      <vt:lpstr>Sheet2</vt:lpstr>
      <vt:lpstr>Sheet3</vt:lpstr>
      <vt:lpstr>'1.สำนักงาน'!Print_Titles</vt:lpstr>
      <vt:lpstr>'2.ไฟฟ้า'!Print_Titles</vt:lpstr>
      <vt:lpstr>'3.โฆษณา'!Print_Titles</vt:lpstr>
      <vt:lpstr>'5.คอมพิวเตอร์'!Print_Titles</vt:lpstr>
      <vt:lpstr>ค่าที่ดิน!Print_Titles</vt:lpstr>
      <vt:lpstr>'ต่ำกว่าเกณฑ์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Lampangcity003</cp:lastModifiedBy>
  <cp:lastPrinted>2024-11-04T07:45:59Z</cp:lastPrinted>
  <dcterms:created xsi:type="dcterms:W3CDTF">2015-07-09T01:24:36Z</dcterms:created>
  <dcterms:modified xsi:type="dcterms:W3CDTF">2024-11-28T09:57:15Z</dcterms:modified>
</cp:coreProperties>
</file>