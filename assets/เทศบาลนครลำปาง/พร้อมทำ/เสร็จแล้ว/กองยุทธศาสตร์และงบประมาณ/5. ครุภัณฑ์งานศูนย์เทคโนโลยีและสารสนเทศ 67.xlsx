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เครื่องเก่า\E\UBONTAI งานต่าง ๆ\ครุภัณฑ์ 2567\"/>
    </mc:Choice>
  </mc:AlternateContent>
  <xr:revisionPtr revIDLastSave="0" documentId="13_ncr:1_{28BF57DB-2637-476F-8C4E-0A7AB77D7B28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สำนักงาน" sheetId="7" r:id="rId1"/>
    <sheet name="คอมพิวเตอร์" sheetId="8" r:id="rId2"/>
    <sheet name="ต่ำกว่าเกณฑ์" sheetId="9" r:id="rId3"/>
  </sheets>
  <definedNames>
    <definedName name="_xlnm.Print_Titles" localSheetId="1">คอมพิวเตอร์!$4:$5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8" i="8" l="1"/>
  <c r="E13" i="7"/>
  <c r="N56" i="8"/>
  <c r="N33" i="8"/>
  <c r="O51" i="8"/>
  <c r="E39" i="7"/>
  <c r="E62" i="8" l="1"/>
  <c r="N44" i="8" l="1"/>
  <c r="N22" i="8"/>
  <c r="N58" i="8" l="1"/>
  <c r="E8" i="9" l="1"/>
  <c r="E30" i="7"/>
</calcChain>
</file>

<file path=xl/sharedStrings.xml><?xml version="1.0" encoding="utf-8"?>
<sst xmlns="http://schemas.openxmlformats.org/spreadsheetml/2006/main" count="433" uniqueCount="223">
  <si>
    <t>ตู้เก็บเอกสารชนิดบานเลื่อนขนาด 5 ฟุต พร้อมฐาน</t>
  </si>
  <si>
    <t>ลำดับที่</t>
  </si>
  <si>
    <t>รายการ</t>
  </si>
  <si>
    <t>หมายเลขครุภัณฑ์</t>
  </si>
  <si>
    <t>ราคา</t>
  </si>
  <si>
    <t>สถานที่ใช้งาน</t>
  </si>
  <si>
    <t>ใช้ได้</t>
  </si>
  <si>
    <t>ชำรุด</t>
  </si>
  <si>
    <t>เสื่อมสภาพ</t>
  </si>
  <si>
    <t>สูญหาย</t>
  </si>
  <si>
    <t>เก็บไว้นาน</t>
  </si>
  <si>
    <t>หมดความจำเป็น</t>
  </si>
  <si>
    <t>หมายเหตุ</t>
  </si>
  <si>
    <t>สภาพครุภัณฑ์</t>
  </si>
  <si>
    <t>406-47-1139</t>
  </si>
  <si>
    <t>406-30-0389</t>
  </si>
  <si>
    <t>วัน เดือน ปี</t>
  </si>
  <si>
    <t>ที่ได้มา</t>
  </si>
  <si>
    <t>ü</t>
  </si>
  <si>
    <t>29 เม.ย. 2551</t>
  </si>
  <si>
    <t xml:space="preserve">ตู้เก็บเอกสารชนิดบานเลื่อน </t>
  </si>
  <si>
    <t xml:space="preserve">โต๊ะทำงาน ระดับ 3-6 </t>
  </si>
  <si>
    <t>416-50-0528</t>
  </si>
  <si>
    <t>UPS SYDOME SZ - pro Series</t>
  </si>
  <si>
    <t>เครื่องคอมพิวเตอร์ NotBook ยี่ห้อ HP</t>
  </si>
  <si>
    <t>416-54-0672</t>
  </si>
  <si>
    <t>9 มี.ค. 2554</t>
  </si>
  <si>
    <t>23 พ.ค. 2559</t>
  </si>
  <si>
    <t>416-60-1292</t>
  </si>
  <si>
    <t>รวม</t>
  </si>
  <si>
    <t xml:space="preserve">โต๊ะทำงานระดับ 3-6 </t>
  </si>
  <si>
    <t>400-36-3170</t>
  </si>
  <si>
    <t>406-37-0659</t>
  </si>
  <si>
    <t>406-41-0933</t>
  </si>
  <si>
    <t>406-41-0934</t>
  </si>
  <si>
    <t xml:space="preserve">โต๊ะวางคอมพิวเตอร์ </t>
  </si>
  <si>
    <t>400-45-4516</t>
  </si>
  <si>
    <t>400-45-4515</t>
  </si>
  <si>
    <t>406-45-1035</t>
  </si>
  <si>
    <t>400-46-5365</t>
  </si>
  <si>
    <t xml:space="preserve">ตู้เก็บเอกสารชนิดบานเลื่อน (กระจกใส) </t>
  </si>
  <si>
    <t xml:space="preserve">CPU  HP Compag intel  Pentium D </t>
  </si>
  <si>
    <t>416-50-0349</t>
  </si>
  <si>
    <t>416-51-0438</t>
  </si>
  <si>
    <t>เครื่องคอมพิวเตอร์ AcerVERITON M6410G</t>
  </si>
  <si>
    <t>416-55-0705</t>
  </si>
  <si>
    <t>จอภาพ Acer V203HL</t>
  </si>
  <si>
    <t>416-55-0704</t>
  </si>
  <si>
    <t>เก้าอี้สำนักงาน ชนิดหนัง มีที่วางแขนปรับสูงต่ำ</t>
  </si>
  <si>
    <t>ด้วยโช้คไฮโดรลิกมีล้อเลื่อน ขนาด 117-127 ซม.</t>
  </si>
  <si>
    <t>401-57-0820 (ต)</t>
  </si>
  <si>
    <t>12 ก.ย. 2558</t>
  </si>
  <si>
    <t>ขนาด 34.3X16X72 ซม.</t>
  </si>
  <si>
    <t>ขนาด 34.3X16X72 ซม</t>
  </si>
  <si>
    <t xml:space="preserve">ตู้เก็บเอกสารชนิดบานเลื่อน  1 ประตู 4 ลิ้นชัก </t>
  </si>
  <si>
    <t>ขนาด 1486X406X876 มม.</t>
  </si>
  <si>
    <t>ตู้เหล็กเก็บเอกสารชนิดบานเลื่อนทึบ</t>
  </si>
  <si>
    <t>Core i5-2320@3.00GHz RAM 4 GB</t>
  </si>
  <si>
    <t>Server ยี่ห้อ HP Proliant DL 380 G5</t>
  </si>
  <si>
    <t>416-50-0526</t>
  </si>
  <si>
    <t>UPS ยี่ห้อ APC Smart  APC 1500</t>
  </si>
  <si>
    <t>416-50-0527</t>
  </si>
  <si>
    <t>จอคอมพิวเตอร์ 17 นิ้ว  รุ่น HP L710</t>
  </si>
  <si>
    <t>416-51-0363</t>
  </si>
  <si>
    <t>UPS ยี่ห้อ APC Smart  UPS 2200</t>
  </si>
  <si>
    <t>416-51-0501</t>
  </si>
  <si>
    <t>นายเฉลิมเกียรติ  ไชยแก้ว</t>
  </si>
  <si>
    <t>416-51-0515</t>
  </si>
  <si>
    <t>อุปกรณ์กระจายสัญญาณ (L3 Switch)</t>
  </si>
  <si>
    <t>416-57-0798</t>
  </si>
  <si>
    <t>อุปกรณ์กระจายสัญญาณ (L2 Switch)</t>
  </si>
  <si>
    <t>416-57-0799</t>
  </si>
  <si>
    <t>416-57-0800</t>
  </si>
  <si>
    <t>416-57-0801</t>
  </si>
  <si>
    <t>416-57-0802</t>
  </si>
  <si>
    <t>416-57-0803</t>
  </si>
  <si>
    <t>416-57-0804</t>
  </si>
  <si>
    <t>เครื่อง Loq File ยี่ห้อ SRAN</t>
  </si>
  <si>
    <t>416-57-0805</t>
  </si>
  <si>
    <t>เครื่องคอมพิวเตอร์ แม่ข่าย แบบ 2 (server)</t>
  </si>
  <si>
    <t>ยี่ห้อ HP Proliant Dl 380P G8</t>
  </si>
  <si>
    <t>416-58-0826</t>
  </si>
  <si>
    <t>จอภาพแบบ LCD ขนาดไม่น้อยกว่า 17 นิ้ว ยี่ห้อ HP</t>
  </si>
  <si>
    <t>416-58-0827</t>
  </si>
  <si>
    <t>เครื่องพิมพ์ Multifunction ชนิดเลเซอร์/ชนิด LED สี</t>
  </si>
  <si>
    <t>416-57-0806</t>
  </si>
  <si>
    <t xml:space="preserve">คอมพิวเตอร์ ACER VERITON </t>
  </si>
  <si>
    <t>416-59-0877</t>
  </si>
  <si>
    <t>416-59-0878</t>
  </si>
  <si>
    <t>จอภาพ ACER</t>
  </si>
  <si>
    <t>10 ส.ค. 2555</t>
  </si>
  <si>
    <t>ตู้เหล็กเก็บเอกสารบานเลื่อน (กระจกใส)</t>
  </si>
  <si>
    <t>406-41-0937</t>
  </si>
  <si>
    <t>400-52-5926</t>
  </si>
  <si>
    <t>416-51-0365</t>
  </si>
  <si>
    <t xml:space="preserve">นางสนันตน์ชินา </t>
  </si>
  <si>
    <t>โต๊ะ (400)</t>
  </si>
  <si>
    <t>21 มี.ค 45</t>
  </si>
  <si>
    <t xml:space="preserve">นายเฉลิมเกียรติฯ </t>
  </si>
  <si>
    <t>พัฒนาเว็บไซต์เทศบาลนครลำปาง 4  ภาษา</t>
  </si>
  <si>
    <t>ในห้องพี่น้อง</t>
  </si>
  <si>
    <t>ห้องงานจัดการฯ (สำหรับงานซ่อมฯ)</t>
  </si>
  <si>
    <t>งานจัดการฯ (พี่น้อง)</t>
  </si>
  <si>
    <t>โต๊ะวางคอมพิวเตอร์</t>
  </si>
  <si>
    <t>15 ก.ค. 52</t>
  </si>
  <si>
    <t>30 มิ.ย. 46</t>
  </si>
  <si>
    <t>2 ก.ค. 30</t>
  </si>
  <si>
    <t>11 ม.ค. 37</t>
  </si>
  <si>
    <t>28 ต.ค. 41</t>
  </si>
  <si>
    <t>28 ก.ค. 41</t>
  </si>
  <si>
    <t>9 มี.ค 45</t>
  </si>
  <si>
    <t>29 พ.ค. 2551</t>
  </si>
  <si>
    <t>15 ธ.ค. 2557</t>
  </si>
  <si>
    <t>30 มิ.ย. 2558</t>
  </si>
  <si>
    <t>เครื่องพิมพ์เลเซอร์</t>
  </si>
  <si>
    <t>416-63-1711</t>
  </si>
  <si>
    <t>เครื่องสำรองไฟ 1 KVA Syndome</t>
  </si>
  <si>
    <t>416-63-1413</t>
  </si>
  <si>
    <t>อุปกรณฺป้องกันการบุกรุก (IPS) Meraki MX100</t>
  </si>
  <si>
    <t>416-63-1450</t>
  </si>
  <si>
    <t>เครื่องคอมพิวเตอร์โน็ตบุ๊คสำหรับประมวลผล</t>
  </si>
  <si>
    <t>416-65-1958</t>
  </si>
  <si>
    <t>416-65-1959</t>
  </si>
  <si>
    <t>416-65-1994</t>
  </si>
  <si>
    <t>เครื่องสำรองไฟฟ้า ขนาด 1 kVA</t>
  </si>
  <si>
    <t>เครื่องสำรองไฟฟ้า ขนาด 3 kVA</t>
  </si>
  <si>
    <t>416-65-1997</t>
  </si>
  <si>
    <t>416-65-1998</t>
  </si>
  <si>
    <t>416-65-1999</t>
  </si>
  <si>
    <t>อุปกรณ์กระจายสัญญาณ (L2 Switch) ขนาด 24 ช่อง</t>
  </si>
  <si>
    <t>อุปกรณ์กระจายสัญญาณ (L2 Switch) ขนาด 16 ช่อง</t>
  </si>
  <si>
    <t>อุปกรณ์กระจายสัญญาณแบบไร้สาย แบบที่2</t>
  </si>
  <si>
    <t>416-65-2000</t>
  </si>
  <si>
    <t xml:space="preserve">คอมพิวเตอร์ชนิดพกพา (Note Book) ยี่ห้อ ASUS </t>
  </si>
  <si>
    <t>416-66-2229</t>
  </si>
  <si>
    <t>คอมพิวเตอร์แท็บเล็ต (Tablet) ยี่ห้อ SAMSUNG</t>
  </si>
  <si>
    <t>416-66-2230</t>
  </si>
  <si>
    <t>เครื่องพิมพ์แบบฉีดหมึก ยี่ห้อ brother รุ่น T720DW</t>
  </si>
  <si>
    <t>416-66-2235</t>
  </si>
  <si>
    <t>เครื่องพิมพ์ เลเซอร์ หรือ LED ขาวดำ brother</t>
  </si>
  <si>
    <t>416-66-2236</t>
  </si>
  <si>
    <t>416-66-2237</t>
  </si>
  <si>
    <t>416-66-2238</t>
  </si>
  <si>
    <t>เครื่องสแกนเนอร์ brother รุ่น ADS-4900W</t>
  </si>
  <si>
    <t>เครื่องสำรองไฟขนาด 1 KVA ยี่ห้อ Cleanline</t>
  </si>
  <si>
    <t>400-40-3714</t>
  </si>
  <si>
    <t>400-48-5666</t>
  </si>
  <si>
    <t>12 ต.ค. 48</t>
  </si>
  <si>
    <t>งานศูนย์เทคโนโลยีสารสนเทศและการสื่อสาร   ฝ่ายบริการและเผยแพร่วิชาการ  กองยุทธศาสตร์และงบประมาณ</t>
  </si>
  <si>
    <t>18 ต.ค. 2550</t>
  </si>
  <si>
    <t>15 เม.ย. 2560</t>
  </si>
  <si>
    <t>8 ต.ค. 2563</t>
  </si>
  <si>
    <t>25 มิ.ย. 2563</t>
  </si>
  <si>
    <t>15 ต.ค.2563</t>
  </si>
  <si>
    <t>6 มิ.ย. 2565</t>
  </si>
  <si>
    <t>28 ส.ค. 2566</t>
  </si>
  <si>
    <t>7 ก.ย. 2566</t>
  </si>
  <si>
    <t>งานศูนย์เทคโนโลยีฯ</t>
  </si>
  <si>
    <t>นางพรพิมล  อินเตชะ</t>
  </si>
  <si>
    <t>นางสาวนารี  เมืองมูล</t>
  </si>
  <si>
    <t>ห้องศูนย์เทคโนโลยีฯ ห้อง Server</t>
  </si>
  <si>
    <t>นายสันติ  การินตา</t>
  </si>
  <si>
    <t>นางสุพรรณิการ์  ละฟู่</t>
  </si>
  <si>
    <t>นางสาววรลักษณ์  เมธาจารย์</t>
  </si>
  <si>
    <t>โรงเก็บพัสดุ รร เทศบาล 7</t>
  </si>
  <si>
    <t>พี่ต้อม</t>
  </si>
  <si>
    <t xml:space="preserve">นายเฉลิมเกียรติ </t>
  </si>
  <si>
    <t xml:space="preserve">หน้าโต๊ะนายเฉลิมเกียรติ </t>
  </si>
  <si>
    <t>นายธนวัฒน์  จิระอรรถวรากุล</t>
  </si>
  <si>
    <t>พี่ต้อม รับโอนมาจาก สน. ช่าง</t>
  </si>
  <si>
    <t>อาคารเวียงละกอน รร. เทศบาล 7</t>
  </si>
  <si>
    <t>ทะเบียนรายงานผลการตรวจนับครุภัณฑ์คอมพิวเตอร์ (416)  ประจำปี 2567</t>
  </si>
  <si>
    <t>ห้อง server (Log Server) ชั้น 2</t>
  </si>
  <si>
    <t>ห้อง server ชั้น 2</t>
  </si>
  <si>
    <t>รอจำหน่าย</t>
  </si>
  <si>
    <t>กองคลัง ชั้น 1 น.ส. ผ่องศรี โสติน</t>
  </si>
  <si>
    <t>กองสาธารณสุข ชั้น 2 น.ส.นันธิดา คำแก้ว</t>
  </si>
  <si>
    <t>ข้างโต๊ะนายเฉลิมเกียรติ  ไชยแก้ว</t>
  </si>
  <si>
    <t xml:space="preserve">นายธนวัฒน์ </t>
  </si>
  <si>
    <t>ห้องธุรการเทศกิจ นางรุ่งพร อนันต์พัฒนา</t>
  </si>
  <si>
    <t>งานเทศกิจห้องหัวหน้าชาติ</t>
  </si>
  <si>
    <t>สำนักปลัดชั้น 3 ห้องเก็บของ</t>
  </si>
  <si>
    <t>หน้าห้องน้ำห้องประชุมสภา</t>
  </si>
  <si>
    <t>ข้างโต๊ะนางสนันตน์ชินา</t>
  </si>
  <si>
    <t>นางสนันตน์ชินา</t>
  </si>
  <si>
    <t>นายเฉลิมเกียรติ</t>
  </si>
  <si>
    <t>อยู่ห้อง Server ชั้น 2</t>
  </si>
  <si>
    <t>นายเฉลิมเกียรติฯ (ในตู้)</t>
  </si>
  <si>
    <t>416-66-2390</t>
  </si>
  <si>
    <t>15 พ.ย. 2566</t>
  </si>
  <si>
    <t>416-66-2394</t>
  </si>
  <si>
    <t>14 พ.ย. 2566</t>
  </si>
  <si>
    <t>416-66-2395</t>
  </si>
  <si>
    <t>นางสาวญาดา ณ วงค์จันทร์</t>
  </si>
  <si>
    <t>นางสนันตน์ชินา วงค์ลาวัลย์</t>
  </si>
  <si>
    <t>416-66-2396</t>
  </si>
  <si>
    <t>416-66-2400</t>
  </si>
  <si>
    <t>416-67-2488</t>
  </si>
  <si>
    <t>16 ม.ค. 2567</t>
  </si>
  <si>
    <t>ข้างโต๊ะนางสนันตน์ชินา วงค์ลาวัลย์</t>
  </si>
  <si>
    <t>หน้าห้อง ผอ. กองยุทธศาสตร์ฯ</t>
  </si>
  <si>
    <t>ด้านหลัง นางภัทราวดี นะคะมุระ</t>
  </si>
  <si>
    <t>ทะเบียนรายงานผลการตรวจนับครุภัณฑ์สำนักงาน รายการตู้ (406)  ประจำปี 2567</t>
  </si>
  <si>
    <t>ทะเบียนรายงานผลการตรวจนับครุภัณฑ์สำนักงาน ประจำปี 2567</t>
  </si>
  <si>
    <t>ทะเบียนรายงานผลการตรวจนับครุภัณฑ์สำนักงาน เครื่องปรับอากาศ (420)  ประจำปี 2567</t>
  </si>
  <si>
    <t>เครื่องปรับอากาศ ยี่ห้อ FOCUS  รุ่น  AFT2559/CSE 2559</t>
  </si>
  <si>
    <t>11 มิ.ย 67</t>
  </si>
  <si>
    <t>ทะเบียนรายงานผลการตรวจนับครุภัณฑ์สำนักงานต่ำกว่ามาตรฐาน  ประจำปี 2567</t>
  </si>
  <si>
    <t>จอแสดงภาพขนาด 23.8 นิ้ว ยี่ห้อ Acer รุ่น Veriton M200</t>
  </si>
  <si>
    <t>เครื่องคอมพิวเตอร์สำหรับประมวลผลแบบที่ 2 ยี่ห้อ Acer รุ่น Veriton 52690G</t>
  </si>
  <si>
    <t>จอแสดงภาพขนาด 23.8 นิ้ว แบบที่ 2 ยี่ห้อ Acer รุ่น Veriton 52690G</t>
  </si>
  <si>
    <t>เครื่องคอมพิวเตอร์สำหรับงานสำนักงาน  Acer รุ่น Veriton M200</t>
  </si>
  <si>
    <t>เครื่องสำรองไฟฟ้า 800VA Chuphotic รุ่น PT 1000 HOE</t>
  </si>
  <si>
    <t>420-67-0486</t>
  </si>
  <si>
    <t>เครื่องปรับอากาศ  420</t>
  </si>
  <si>
    <t>ตู้ (406)</t>
  </si>
  <si>
    <t>คอมพิวเตอร์ (416)</t>
  </si>
  <si>
    <t>ระบบจัดเก็บเอกสารอิเล็กทรอนิกส์ (e-Documet)</t>
  </si>
  <si>
    <t>ระบบการเชื่อมโยงข้อมูลขนาดใหญ่ (Big data) และระบบคลังข้อมูล</t>
  </si>
  <si>
    <t>416-67-2516</t>
  </si>
  <si>
    <t>4 ก.ย. 2567</t>
  </si>
  <si>
    <t>ระบบ Cloud</t>
  </si>
  <si>
    <t>อยู่ใน Sever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</si>
</sst>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31" x14ac:knownFonts="1">
    <font>
      <sz val="11"/>
      <color theme="1"/>
      <name val="Tahoma"/>
      <family val="2"/>
      <charset val="222"/>
      <scheme val="minor"/>
    </font>
    <font>
      <b/>
      <sz val="14"/>
      <name val="TH SarabunPSK"/>
      <family val="2"/>
    </font>
    <font>
      <sz val="14"/>
      <name val="TH SarabunPSK"/>
      <family val="2"/>
    </font>
    <font>
      <sz val="14"/>
      <name val="Wingdings"/>
      <charset val="2"/>
    </font>
    <font>
      <sz val="13"/>
      <name val="TH SarabunPSK"/>
      <family val="2"/>
    </font>
    <font>
      <sz val="11"/>
      <color indexed="8"/>
      <name val="Tahoma"/>
      <family val="2"/>
      <charset val="222"/>
    </font>
    <font>
      <sz val="14"/>
      <color indexed="8"/>
      <name val="TH SarabunPSK"/>
      <family val="2"/>
    </font>
    <font>
      <sz val="14"/>
      <color indexed="10"/>
      <name val="TH SarabunPSK"/>
      <family val="2"/>
    </font>
    <font>
      <b/>
      <sz val="14"/>
      <color indexed="10"/>
      <name val="TH SarabunPSK"/>
      <family val="2"/>
    </font>
    <font>
      <b/>
      <sz val="14"/>
      <color indexed="8"/>
      <name val="TH SarabunPSK"/>
      <family val="2"/>
    </font>
    <font>
      <b/>
      <sz val="11"/>
      <color indexed="8"/>
      <name val="TH SarabunPSK"/>
      <family val="2"/>
    </font>
    <font>
      <sz val="14"/>
      <color indexed="8"/>
      <name val="Cordia New"/>
      <family val="2"/>
      <charset val="222"/>
    </font>
    <font>
      <sz val="14"/>
      <name val="Cordia New"/>
      <family val="2"/>
      <charset val="222"/>
    </font>
    <font>
      <sz val="14"/>
      <name val="TH SarabunIT๙"/>
      <family val="2"/>
    </font>
    <font>
      <sz val="14"/>
      <color indexed="8"/>
      <name val="TH SarabunPSK"/>
      <family val="2"/>
    </font>
    <font>
      <sz val="14"/>
      <color indexed="8"/>
      <name val="TH SarabunIT๙"/>
      <family val="2"/>
    </font>
    <font>
      <sz val="8"/>
      <name val="Tahoma"/>
      <family val="2"/>
      <charset val="222"/>
    </font>
    <font>
      <b/>
      <sz val="14"/>
      <name val="Cordia New"/>
      <family val="2"/>
    </font>
    <font>
      <b/>
      <sz val="14"/>
      <color indexed="8"/>
      <name val="Cordia New"/>
      <family val="2"/>
    </font>
    <font>
      <sz val="14"/>
      <color rgb="FFFF0000"/>
      <name val="TH SarabunPSK"/>
      <family val="2"/>
    </font>
    <font>
      <sz val="16"/>
      <name val="TH SarabunPSK"/>
      <family val="2"/>
    </font>
    <font>
      <sz val="8"/>
      <name val="Tahoma"/>
      <family val="2"/>
      <charset val="222"/>
      <scheme val="minor"/>
    </font>
    <font>
      <sz val="16"/>
      <color indexed="8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  <charset val="222"/>
    </font>
    <font>
      <sz val="16"/>
      <color indexed="8"/>
      <name val="TH SarabunPSK"/>
      <family val="2"/>
      <charset val="222"/>
    </font>
    <font>
      <sz val="16"/>
      <name val="Wingdings"/>
      <charset val="2"/>
    </font>
    <font>
      <b/>
      <sz val="16"/>
      <color indexed="8"/>
      <name val="TH SarabunPSK"/>
      <family val="2"/>
    </font>
    <font>
      <sz val="16"/>
      <color theme="1"/>
      <name val="TH SarabunPSK"/>
      <family val="2"/>
    </font>
    <font>
      <b/>
      <sz val="16"/>
      <color indexed="10"/>
      <name val="TH SarabunPSK"/>
      <family val="2"/>
    </font>
    <font>
      <sz val="16"/>
      <color theme="1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40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87" fontId="6" fillId="0" borderId="0" xfId="1" applyNumberFormat="1" applyFont="1" applyBorder="1"/>
    <xf numFmtId="0" fontId="2" fillId="0" borderId="2" xfId="0" applyFont="1" applyBorder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187" fontId="12" fillId="0" borderId="0" xfId="1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13" fillId="0" borderId="0" xfId="0" applyFont="1"/>
    <xf numFmtId="49" fontId="2" fillId="0" borderId="0" xfId="0" applyNumberFormat="1" applyFont="1" applyAlignment="1">
      <alignment horizontal="center"/>
    </xf>
    <xf numFmtId="0" fontId="2" fillId="0" borderId="2" xfId="0" applyFont="1" applyBorder="1"/>
    <xf numFmtId="49" fontId="9" fillId="0" borderId="4" xfId="0" applyNumberFormat="1" applyFont="1" applyBorder="1" applyAlignment="1">
      <alignment horizontal="center"/>
    </xf>
    <xf numFmtId="0" fontId="14" fillId="0" borderId="0" xfId="0" applyFont="1"/>
    <xf numFmtId="187" fontId="2" fillId="0" borderId="0" xfId="1" applyNumberFormat="1" applyFont="1" applyBorder="1" applyAlignment="1">
      <alignment horizontal="right"/>
    </xf>
    <xf numFmtId="0" fontId="1" fillId="0" borderId="0" xfId="0" applyFont="1"/>
    <xf numFmtId="0" fontId="15" fillId="0" borderId="0" xfId="0" applyFont="1"/>
    <xf numFmtId="187" fontId="13" fillId="0" borderId="0" xfId="1" applyNumberFormat="1" applyFont="1" applyBorder="1" applyAlignment="1">
      <alignment horizontal="right"/>
    </xf>
    <xf numFmtId="0" fontId="13" fillId="0" borderId="0" xfId="0" applyFont="1" applyAlignment="1">
      <alignment horizontal="center"/>
    </xf>
    <xf numFmtId="187" fontId="12" fillId="0" borderId="0" xfId="1" applyNumberFormat="1" applyFont="1" applyBorder="1" applyAlignment="1">
      <alignment horizontal="right"/>
    </xf>
    <xf numFmtId="0" fontId="8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49" fontId="2" fillId="0" borderId="4" xfId="0" applyNumberFormat="1" applyFont="1" applyBorder="1"/>
    <xf numFmtId="0" fontId="2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49" fontId="13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187" fontId="2" fillId="0" borderId="4" xfId="1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7" xfId="0" applyFont="1" applyBorder="1"/>
    <xf numFmtId="0" fontId="2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/>
    </xf>
    <xf numFmtId="187" fontId="1" fillId="0" borderId="0" xfId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87" fontId="2" fillId="0" borderId="0" xfId="0" applyNumberFormat="1" applyFont="1"/>
    <xf numFmtId="187" fontId="19" fillId="0" borderId="0" xfId="0" applyNumberFormat="1" applyFont="1"/>
    <xf numFmtId="0" fontId="2" fillId="0" borderId="4" xfId="0" applyFont="1" applyBorder="1" applyAlignment="1">
      <alignment horizontal="left"/>
    </xf>
    <xf numFmtId="187" fontId="17" fillId="0" borderId="18" xfId="1" applyNumberFormat="1" applyFont="1" applyBorder="1" applyAlignment="1">
      <alignment horizontal="right"/>
    </xf>
    <xf numFmtId="0" fontId="19" fillId="0" borderId="0" xfId="0" applyFont="1"/>
    <xf numFmtId="49" fontId="19" fillId="0" borderId="0" xfId="0" applyNumberFormat="1" applyFont="1" applyAlignment="1">
      <alignment horizontal="center"/>
    </xf>
    <xf numFmtId="187" fontId="19" fillId="0" borderId="0" xfId="1" applyNumberFormat="1" applyFont="1" applyBorder="1" applyAlignment="1">
      <alignment horizontal="right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5" fontId="19" fillId="0" borderId="0" xfId="0" applyNumberFormat="1" applyFont="1" applyAlignment="1">
      <alignment horizontal="center" vertical="center"/>
    </xf>
    <xf numFmtId="187" fontId="19" fillId="0" borderId="0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187" fontId="7" fillId="0" borderId="0" xfId="0" applyNumberFormat="1" applyFont="1"/>
    <xf numFmtId="187" fontId="6" fillId="0" borderId="0" xfId="0" applyNumberFormat="1" applyFont="1"/>
    <xf numFmtId="0" fontId="7" fillId="2" borderId="0" xfId="0" applyFont="1" applyFill="1"/>
    <xf numFmtId="0" fontId="2" fillId="0" borderId="1" xfId="0" applyFont="1" applyBorder="1" applyAlignment="1">
      <alignment horizontal="left" wrapText="1"/>
    </xf>
    <xf numFmtId="0" fontId="9" fillId="0" borderId="2" xfId="0" applyFont="1" applyBorder="1" applyAlignment="1">
      <alignment horizontal="center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/>
    </xf>
    <xf numFmtId="0" fontId="8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0" fillId="2" borderId="19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  <xf numFmtId="187" fontId="2" fillId="0" borderId="0" xfId="0" applyNumberFormat="1" applyFont="1" applyAlignment="1">
      <alignment vertical="top"/>
    </xf>
    <xf numFmtId="0" fontId="20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top"/>
    </xf>
    <xf numFmtId="0" fontId="20" fillId="0" borderId="2" xfId="0" applyFont="1" applyBorder="1" applyAlignment="1">
      <alignment horizontal="center" vertical="top"/>
    </xf>
    <xf numFmtId="0" fontId="20" fillId="0" borderId="3" xfId="0" applyFont="1" applyBorder="1" applyAlignment="1">
      <alignment horizontal="center" vertical="top"/>
    </xf>
    <xf numFmtId="0" fontId="20" fillId="0" borderId="4" xfId="0" applyFont="1" applyBorder="1" applyAlignment="1">
      <alignment horizontal="center" vertical="top"/>
    </xf>
    <xf numFmtId="0" fontId="20" fillId="0" borderId="2" xfId="0" applyFont="1" applyBorder="1" applyAlignment="1">
      <alignment horizontal="left"/>
    </xf>
    <xf numFmtId="49" fontId="22" fillId="0" borderId="2" xfId="0" applyNumberFormat="1" applyFont="1" applyBorder="1" applyAlignment="1">
      <alignment horizontal="center" vertical="center"/>
    </xf>
    <xf numFmtId="187" fontId="22" fillId="0" borderId="2" xfId="1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top" wrapText="1"/>
    </xf>
    <xf numFmtId="49" fontId="22" fillId="0" borderId="1" xfId="0" applyNumberFormat="1" applyFont="1" applyBorder="1" applyAlignment="1">
      <alignment horizontal="center" vertical="top"/>
    </xf>
    <xf numFmtId="187" fontId="22" fillId="0" borderId="1" xfId="1" applyNumberFormat="1" applyFont="1" applyBorder="1" applyAlignment="1">
      <alignment horizontal="center" vertical="top"/>
    </xf>
    <xf numFmtId="0" fontId="20" fillId="0" borderId="2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49" fontId="22" fillId="0" borderId="6" xfId="0" applyNumberFormat="1" applyFont="1" applyBorder="1" applyAlignment="1">
      <alignment horizontal="center" vertical="top"/>
    </xf>
    <xf numFmtId="187" fontId="22" fillId="0" borderId="14" xfId="1" applyNumberFormat="1" applyFont="1" applyBorder="1" applyAlignment="1">
      <alignment horizontal="center" vertical="top"/>
    </xf>
    <xf numFmtId="0" fontId="20" fillId="0" borderId="7" xfId="0" applyFont="1" applyBorder="1" applyAlignment="1">
      <alignment horizontal="left" vertical="top" wrapText="1"/>
    </xf>
    <xf numFmtId="49" fontId="22" fillId="0" borderId="7" xfId="0" applyNumberFormat="1" applyFont="1" applyBorder="1" applyAlignment="1">
      <alignment horizontal="center" vertical="top"/>
    </xf>
    <xf numFmtId="187" fontId="22" fillId="0" borderId="13" xfId="1" applyNumberFormat="1" applyFont="1" applyBorder="1" applyAlignment="1">
      <alignment horizontal="center" vertical="top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187" fontId="22" fillId="0" borderId="12" xfId="1" applyNumberFormat="1" applyFont="1" applyBorder="1" applyAlignment="1">
      <alignment horizontal="center" vertical="top"/>
    </xf>
    <xf numFmtId="0" fontId="20" fillId="0" borderId="1" xfId="0" applyFont="1" applyBorder="1" applyAlignment="1">
      <alignment horizontal="left" vertical="top"/>
    </xf>
    <xf numFmtId="187" fontId="22" fillId="0" borderId="2" xfId="1" applyNumberFormat="1" applyFont="1" applyBorder="1" applyAlignment="1">
      <alignment horizontal="center" vertical="top"/>
    </xf>
    <xf numFmtId="187" fontId="23" fillId="0" borderId="17" xfId="1" applyNumberFormat="1" applyFont="1" applyBorder="1"/>
    <xf numFmtId="0" fontId="20" fillId="0" borderId="9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49" fontId="27" fillId="0" borderId="2" xfId="0" applyNumberFormat="1" applyFont="1" applyBorder="1" applyAlignment="1">
      <alignment horizontal="center"/>
    </xf>
    <xf numFmtId="187" fontId="27" fillId="0" borderId="9" xfId="1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49" fontId="27" fillId="0" borderId="3" xfId="0" applyNumberFormat="1" applyFont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left"/>
    </xf>
    <xf numFmtId="0" fontId="28" fillId="2" borderId="1" xfId="0" applyFont="1" applyFill="1" applyBorder="1" applyAlignment="1">
      <alignment horizontal="center" vertical="center"/>
    </xf>
    <xf numFmtId="15" fontId="20" fillId="2" borderId="3" xfId="0" applyNumberFormat="1" applyFont="1" applyFill="1" applyBorder="1" applyAlignment="1">
      <alignment horizontal="center" vertical="center"/>
    </xf>
    <xf numFmtId="187" fontId="20" fillId="2" borderId="1" xfId="1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left" vertical="center"/>
    </xf>
    <xf numFmtId="49" fontId="20" fillId="2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 wrapText="1"/>
    </xf>
    <xf numFmtId="49" fontId="20" fillId="2" borderId="1" xfId="0" applyNumberFormat="1" applyFont="1" applyFill="1" applyBorder="1" applyAlignment="1">
      <alignment horizontal="center" vertical="center"/>
    </xf>
    <xf numFmtId="187" fontId="20" fillId="2" borderId="2" xfId="1" applyNumberFormat="1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/>
    </xf>
    <xf numFmtId="0" fontId="29" fillId="2" borderId="2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49" fontId="20" fillId="0" borderId="2" xfId="0" applyNumberFormat="1" applyFont="1" applyBorder="1" applyAlignment="1">
      <alignment horizontal="center"/>
    </xf>
    <xf numFmtId="187" fontId="20" fillId="0" borderId="2" xfId="1" applyNumberFormat="1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0" fillId="0" borderId="2" xfId="0" applyFont="1" applyBorder="1" applyAlignment="1">
      <alignment horizontal="left" vertical="center"/>
    </xf>
    <xf numFmtId="187" fontId="23" fillId="0" borderId="18" xfId="1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49" fontId="20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0" fillId="0" borderId="0" xfId="0" applyFont="1"/>
    <xf numFmtId="0" fontId="27" fillId="0" borderId="4" xfId="0" applyFont="1" applyBorder="1" applyAlignment="1">
      <alignment horizontal="center" vertical="center"/>
    </xf>
    <xf numFmtId="49" fontId="27" fillId="0" borderId="4" xfId="0" applyNumberFormat="1" applyFont="1" applyBorder="1" applyAlignment="1">
      <alignment horizontal="center"/>
    </xf>
    <xf numFmtId="187" fontId="27" fillId="0" borderId="4" xfId="1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 wrapText="1"/>
    </xf>
    <xf numFmtId="49" fontId="27" fillId="0" borderId="1" xfId="0" applyNumberFormat="1" applyFont="1" applyBorder="1" applyAlignment="1">
      <alignment horizontal="center"/>
    </xf>
    <xf numFmtId="187" fontId="27" fillId="0" borderId="1" xfId="1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top"/>
    </xf>
    <xf numFmtId="0" fontId="23" fillId="0" borderId="1" xfId="0" applyFont="1" applyBorder="1" applyAlignment="1">
      <alignment horizontal="center" vertical="top"/>
    </xf>
    <xf numFmtId="0" fontId="23" fillId="0" borderId="11" xfId="0" applyFont="1" applyBorder="1" applyAlignment="1">
      <alignment horizontal="center" vertical="top"/>
    </xf>
    <xf numFmtId="0" fontId="23" fillId="0" borderId="10" xfId="0" applyFont="1" applyBorder="1" applyAlignment="1">
      <alignment horizontal="center" vertical="top"/>
    </xf>
    <xf numFmtId="0" fontId="26" fillId="0" borderId="8" xfId="0" applyFont="1" applyBorder="1" applyAlignment="1">
      <alignment horizontal="center" vertical="top"/>
    </xf>
    <xf numFmtId="0" fontId="23" fillId="0" borderId="8" xfId="0" applyFont="1" applyBorder="1" applyAlignment="1">
      <alignment horizontal="center" vertical="top"/>
    </xf>
    <xf numFmtId="0" fontId="23" fillId="0" borderId="6" xfId="0" applyFont="1" applyBorder="1" applyAlignment="1">
      <alignment horizontal="center" vertical="top"/>
    </xf>
    <xf numFmtId="0" fontId="23" fillId="0" borderId="2" xfId="0" applyFont="1" applyBorder="1" applyAlignment="1">
      <alignment horizontal="center" vertical="top"/>
    </xf>
    <xf numFmtId="0" fontId="20" fillId="0" borderId="2" xfId="0" applyFont="1" applyBorder="1" applyAlignment="1">
      <alignment horizontal="left" vertical="top"/>
    </xf>
    <xf numFmtId="0" fontId="20" fillId="0" borderId="5" xfId="0" applyFont="1" applyBorder="1" applyAlignment="1">
      <alignment horizontal="center" vertical="top" wrapText="1"/>
    </xf>
    <xf numFmtId="0" fontId="23" fillId="0" borderId="5" xfId="0" applyFont="1" applyBorder="1" applyAlignment="1">
      <alignment horizontal="center" vertical="top"/>
    </xf>
    <xf numFmtId="0" fontId="23" fillId="0" borderId="7" xfId="0" applyFont="1" applyBorder="1" applyAlignment="1">
      <alignment horizontal="center" vertical="top"/>
    </xf>
    <xf numFmtId="0" fontId="23" fillId="0" borderId="3" xfId="0" applyFont="1" applyBorder="1" applyAlignment="1">
      <alignment horizontal="center" vertical="top"/>
    </xf>
    <xf numFmtId="0" fontId="20" fillId="0" borderId="3" xfId="0" applyFont="1" applyBorder="1" applyAlignment="1">
      <alignment horizontal="left" vertical="top"/>
    </xf>
    <xf numFmtId="0" fontId="23" fillId="0" borderId="4" xfId="0" applyFont="1" applyBorder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20" fillId="0" borderId="4" xfId="0" applyFont="1" applyBorder="1" applyAlignment="1">
      <alignment horizontal="left" vertical="top"/>
    </xf>
    <xf numFmtId="0" fontId="20" fillId="0" borderId="2" xfId="0" applyFont="1" applyBorder="1" applyAlignment="1">
      <alignment horizontal="center" vertical="top" wrapText="1"/>
    </xf>
    <xf numFmtId="0" fontId="30" fillId="0" borderId="6" xfId="0" applyFont="1" applyBorder="1" applyAlignment="1">
      <alignment vertical="top"/>
    </xf>
    <xf numFmtId="0" fontId="30" fillId="0" borderId="2" xfId="0" applyFont="1" applyBorder="1" applyAlignment="1">
      <alignment vertical="top"/>
    </xf>
    <xf numFmtId="0" fontId="20" fillId="0" borderId="3" xfId="0" applyFont="1" applyBorder="1" applyAlignment="1">
      <alignment horizontal="center" vertical="top" wrapText="1"/>
    </xf>
    <xf numFmtId="0" fontId="30" fillId="0" borderId="7" xfId="0" applyFont="1" applyBorder="1" applyAlignment="1">
      <alignment vertical="top"/>
    </xf>
    <xf numFmtId="0" fontId="30" fillId="0" borderId="3" xfId="0" applyFont="1" applyBorder="1" applyAlignment="1">
      <alignment vertical="top"/>
    </xf>
    <xf numFmtId="0" fontId="26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center" vertical="top" wrapText="1"/>
    </xf>
    <xf numFmtId="0" fontId="30" fillId="0" borderId="10" xfId="0" applyFont="1" applyBorder="1" applyAlignment="1">
      <alignment vertical="top"/>
    </xf>
    <xf numFmtId="0" fontId="30" fillId="0" borderId="1" xfId="0" applyFont="1" applyBorder="1" applyAlignment="1">
      <alignment vertical="top"/>
    </xf>
    <xf numFmtId="0" fontId="20" fillId="0" borderId="1" xfId="0" applyFont="1" applyBorder="1"/>
    <xf numFmtId="187" fontId="20" fillId="0" borderId="0" xfId="1" applyNumberFormat="1" applyFont="1" applyBorder="1"/>
    <xf numFmtId="0" fontId="22" fillId="0" borderId="0" xfId="0" applyFont="1"/>
    <xf numFmtId="187" fontId="20" fillId="0" borderId="0" xfId="1" applyNumberFormat="1" applyFont="1" applyBorder="1" applyAlignment="1">
      <alignment horizontal="right"/>
    </xf>
    <xf numFmtId="0" fontId="27" fillId="0" borderId="4" xfId="0" applyFont="1" applyBorder="1" applyAlignment="1">
      <alignment horizontal="center"/>
    </xf>
    <xf numFmtId="0" fontId="27" fillId="0" borderId="4" xfId="0" applyFont="1" applyBorder="1" applyAlignment="1">
      <alignment horizontal="center" wrapText="1"/>
    </xf>
    <xf numFmtId="0" fontId="27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center" vertical="top"/>
    </xf>
    <xf numFmtId="49" fontId="25" fillId="0" borderId="2" xfId="0" applyNumberFormat="1" applyFont="1" applyBorder="1" applyAlignment="1">
      <alignment horizontal="center" vertical="top"/>
    </xf>
    <xf numFmtId="0" fontId="25" fillId="2" borderId="1" xfId="0" applyFont="1" applyFill="1" applyBorder="1" applyAlignment="1">
      <alignment horizontal="left" vertical="top"/>
    </xf>
    <xf numFmtId="43" fontId="25" fillId="0" borderId="2" xfId="1" applyFont="1" applyBorder="1" applyAlignment="1">
      <alignment horizontal="center" vertical="top"/>
    </xf>
    <xf numFmtId="43" fontId="23" fillId="0" borderId="17" xfId="1" applyFont="1" applyBorder="1"/>
    <xf numFmtId="49" fontId="9" fillId="2" borderId="2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/>
    </xf>
    <xf numFmtId="187" fontId="10" fillId="2" borderId="3" xfId="1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3" fillId="2" borderId="3" xfId="0" applyFont="1" applyFill="1" applyBorder="1"/>
    <xf numFmtId="0" fontId="8" fillId="2" borderId="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2" fillId="2" borderId="1" xfId="0" applyFont="1" applyFill="1" applyBorder="1"/>
    <xf numFmtId="0" fontId="7" fillId="2" borderId="1" xfId="0" applyFont="1" applyFill="1" applyBorder="1"/>
    <xf numFmtId="0" fontId="9" fillId="2" borderId="8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7" fillId="2" borderId="3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7" fillId="2" borderId="13" xfId="0" applyFont="1" applyFill="1" applyBorder="1"/>
    <xf numFmtId="0" fontId="6" fillId="2" borderId="8" xfId="0" applyFont="1" applyFill="1" applyBorder="1" applyAlignment="1">
      <alignment horizontal="center" vertical="center"/>
    </xf>
    <xf numFmtId="0" fontId="7" fillId="2" borderId="14" xfId="0" applyFont="1" applyFill="1" applyBorder="1"/>
    <xf numFmtId="187" fontId="7" fillId="2" borderId="3" xfId="0" applyNumberFormat="1" applyFont="1" applyFill="1" applyBorder="1"/>
    <xf numFmtId="0" fontId="6" fillId="2" borderId="5" xfId="0" applyFont="1" applyFill="1" applyBorder="1" applyAlignment="1">
      <alignment horizontal="center" vertical="center"/>
    </xf>
    <xf numFmtId="0" fontId="4" fillId="2" borderId="11" xfId="0" applyFont="1" applyFill="1" applyBorder="1"/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2" borderId="1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87" fontId="6" fillId="2" borderId="1" xfId="1" applyNumberFormat="1" applyFont="1" applyFill="1" applyBorder="1"/>
    <xf numFmtId="0" fontId="6" fillId="2" borderId="1" xfId="0" applyFont="1" applyFill="1" applyBorder="1"/>
    <xf numFmtId="49" fontId="27" fillId="0" borderId="3" xfId="0" applyNumberFormat="1" applyFont="1" applyBorder="1" applyAlignment="1">
      <alignment horizontal="center" vertical="top"/>
    </xf>
    <xf numFmtId="49" fontId="27" fillId="0" borderId="4" xfId="0" applyNumberFormat="1" applyFont="1" applyBorder="1" applyAlignment="1">
      <alignment horizontal="center" vertical="top"/>
    </xf>
    <xf numFmtId="187" fontId="23" fillId="0" borderId="0" xfId="1" applyNumberFormat="1" applyFont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26" fillId="0" borderId="0" xfId="0" applyFont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27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left"/>
    </xf>
    <xf numFmtId="49" fontId="20" fillId="2" borderId="3" xfId="0" applyNumberFormat="1" applyFont="1" applyFill="1" applyBorder="1" applyAlignment="1">
      <alignment horizontal="center"/>
    </xf>
    <xf numFmtId="49" fontId="22" fillId="2" borderId="3" xfId="0" applyNumberFormat="1" applyFont="1" applyFill="1" applyBorder="1" applyAlignment="1">
      <alignment horizontal="center" vertical="center"/>
    </xf>
    <xf numFmtId="43" fontId="22" fillId="2" borderId="3" xfId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/>
    </xf>
    <xf numFmtId="43" fontId="22" fillId="2" borderId="1" xfId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left" vertical="center"/>
    </xf>
    <xf numFmtId="49" fontId="22" fillId="2" borderId="2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left" vertical="top" wrapText="1"/>
    </xf>
    <xf numFmtId="43" fontId="20" fillId="2" borderId="1" xfId="1" applyFont="1" applyFill="1" applyBorder="1" applyAlignment="1">
      <alignment horizontal="center"/>
    </xf>
    <xf numFmtId="0" fontId="22" fillId="2" borderId="1" xfId="0" applyFont="1" applyFill="1" applyBorder="1" applyAlignment="1">
      <alignment horizontal="left" vertical="center"/>
    </xf>
    <xf numFmtId="0" fontId="20" fillId="2" borderId="1" xfId="0" applyFont="1" applyFill="1" applyBorder="1"/>
    <xf numFmtId="0" fontId="20" fillId="2" borderId="4" xfId="0" applyFont="1" applyFill="1" applyBorder="1" applyAlignment="1">
      <alignment horizontal="center"/>
    </xf>
    <xf numFmtId="49" fontId="20" fillId="2" borderId="1" xfId="0" applyNumberFormat="1" applyFont="1" applyFill="1" applyBorder="1" applyAlignment="1">
      <alignment horizontal="left"/>
    </xf>
    <xf numFmtId="0" fontId="20" fillId="2" borderId="15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 vertical="center"/>
    </xf>
    <xf numFmtId="49" fontId="20" fillId="2" borderId="8" xfId="0" applyNumberFormat="1" applyFont="1" applyFill="1" applyBorder="1" applyAlignment="1">
      <alignment horizontal="left"/>
    </xf>
    <xf numFmtId="0" fontId="20" fillId="2" borderId="2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left" vertical="center"/>
    </xf>
    <xf numFmtId="49" fontId="20" fillId="2" borderId="5" xfId="0" applyNumberFormat="1" applyFont="1" applyFill="1" applyBorder="1" applyAlignment="1">
      <alignment horizontal="left"/>
    </xf>
    <xf numFmtId="0" fontId="20" fillId="2" borderId="3" xfId="0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/>
    </xf>
    <xf numFmtId="49" fontId="20" fillId="2" borderId="2" xfId="0" applyNumberFormat="1" applyFont="1" applyFill="1" applyBorder="1" applyAlignment="1">
      <alignment horizontal="center"/>
    </xf>
    <xf numFmtId="0" fontId="20" fillId="2" borderId="5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vertical="center"/>
    </xf>
    <xf numFmtId="43" fontId="20" fillId="2" borderId="1" xfId="1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left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center" vertical="top"/>
    </xf>
    <xf numFmtId="49" fontId="20" fillId="2" borderId="1" xfId="0" applyNumberFormat="1" applyFont="1" applyFill="1" applyBorder="1" applyAlignment="1">
      <alignment horizontal="center" vertical="top"/>
    </xf>
    <xf numFmtId="43" fontId="20" fillId="2" borderId="1" xfId="1" applyFont="1" applyFill="1" applyBorder="1" applyAlignment="1">
      <alignment horizontal="center" vertical="top"/>
    </xf>
    <xf numFmtId="0" fontId="22" fillId="2" borderId="5" xfId="0" applyFont="1" applyFill="1" applyBorder="1" applyAlignment="1">
      <alignment horizontal="left" vertical="top"/>
    </xf>
    <xf numFmtId="0" fontId="22" fillId="2" borderId="9" xfId="0" applyFont="1" applyFill="1" applyBorder="1" applyAlignment="1">
      <alignment horizontal="left" vertical="top"/>
    </xf>
    <xf numFmtId="0" fontId="20" fillId="2" borderId="3" xfId="0" applyFont="1" applyFill="1" applyBorder="1" applyAlignment="1">
      <alignment horizontal="center" vertical="top"/>
    </xf>
    <xf numFmtId="187" fontId="23" fillId="2" borderId="1" xfId="1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49" fontId="20" fillId="3" borderId="1" xfId="0" applyNumberFormat="1" applyFont="1" applyFill="1" applyBorder="1" applyAlignment="1">
      <alignment horizontal="center"/>
    </xf>
    <xf numFmtId="43" fontId="20" fillId="3" borderId="1" xfId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3" xfId="0" applyFont="1" applyFill="1" applyBorder="1" applyAlignment="1">
      <alignment vertical="center"/>
    </xf>
    <xf numFmtId="0" fontId="22" fillId="3" borderId="1" xfId="0" applyFont="1" applyFill="1" applyBorder="1" applyAlignment="1">
      <alignment horizontal="center" vertical="top"/>
    </xf>
    <xf numFmtId="0" fontId="20" fillId="3" borderId="1" xfId="0" applyFont="1" applyFill="1" applyBorder="1" applyAlignment="1">
      <alignment horizontal="left" vertical="top" wrapText="1"/>
    </xf>
    <xf numFmtId="0" fontId="20" fillId="3" borderId="1" xfId="0" applyFont="1" applyFill="1" applyBorder="1" applyAlignment="1">
      <alignment horizontal="center" vertical="top"/>
    </xf>
    <xf numFmtId="49" fontId="20" fillId="3" borderId="1" xfId="0" applyNumberFormat="1" applyFont="1" applyFill="1" applyBorder="1" applyAlignment="1">
      <alignment horizontal="center" vertical="top"/>
    </xf>
    <xf numFmtId="43" fontId="20" fillId="3" borderId="1" xfId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3" fillId="0" borderId="11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49" fontId="23" fillId="0" borderId="0" xfId="0" applyNumberFormat="1" applyFont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187" fontId="27" fillId="0" borderId="2" xfId="1" applyNumberFormat="1" applyFont="1" applyBorder="1" applyAlignment="1">
      <alignment horizontal="center" vertical="center"/>
    </xf>
    <xf numFmtId="187" fontId="27" fillId="0" borderId="3" xfId="1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7" fillId="0" borderId="4" xfId="0" applyFont="1" applyBorder="1" applyAlignment="1">
      <alignment horizontal="center" vertical="center"/>
    </xf>
    <xf numFmtId="187" fontId="27" fillId="0" borderId="4" xfId="1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187" fontId="27" fillId="0" borderId="9" xfId="1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49" fontId="23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187" fontId="9" fillId="2" borderId="2" xfId="1" applyNumberFormat="1" applyFont="1" applyFill="1" applyBorder="1" applyAlignment="1">
      <alignment horizontal="center" vertical="center"/>
    </xf>
    <xf numFmtId="187" fontId="10" fillId="2" borderId="3" xfId="1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left" vertical="center"/>
    </xf>
    <xf numFmtId="49" fontId="20" fillId="2" borderId="2" xfId="0" applyNumberFormat="1" applyFont="1" applyFill="1" applyBorder="1" applyAlignment="1">
      <alignment horizontal="center" vertical="center"/>
    </xf>
    <xf numFmtId="49" fontId="20" fillId="2" borderId="4" xfId="0" applyNumberFormat="1" applyFont="1" applyFill="1" applyBorder="1" applyAlignment="1">
      <alignment horizontal="center" vertical="center"/>
    </xf>
    <xf numFmtId="49" fontId="20" fillId="2" borderId="3" xfId="0" applyNumberFormat="1" applyFont="1" applyFill="1" applyBorder="1" applyAlignment="1">
      <alignment horizontal="center" vertical="center"/>
    </xf>
    <xf numFmtId="43" fontId="20" fillId="2" borderId="2" xfId="1" applyFont="1" applyFill="1" applyBorder="1" applyAlignment="1">
      <alignment horizontal="center" vertical="center"/>
    </xf>
    <xf numFmtId="43" fontId="20" fillId="2" borderId="4" xfId="1" applyFont="1" applyFill="1" applyBorder="1" applyAlignment="1">
      <alignment horizontal="center" vertical="center"/>
    </xf>
    <xf numFmtId="43" fontId="20" fillId="2" borderId="3" xfId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20" fillId="2" borderId="1" xfId="0" applyNumberFormat="1" applyFont="1" applyFill="1" applyBorder="1" applyAlignment="1">
      <alignment horizontal="center" vertical="center"/>
    </xf>
    <xf numFmtId="43" fontId="20" fillId="2" borderId="1" xfId="1" applyFont="1" applyFill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9" fillId="0" borderId="4" xfId="0" applyFont="1" applyBorder="1" applyAlignment="1">
      <alignment horizontal="center" vertical="center"/>
    </xf>
    <xf numFmtId="187" fontId="9" fillId="0" borderId="2" xfId="1" applyNumberFormat="1" applyFont="1" applyBorder="1" applyAlignment="1">
      <alignment horizontal="center" vertical="center"/>
    </xf>
    <xf numFmtId="187" fontId="10" fillId="0" borderId="4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colors>
    <mruColors>
      <color rgb="FF66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14</xdr:row>
      <xdr:rowOff>0</xdr:rowOff>
    </xdr:from>
    <xdr:ext cx="184731" cy="2625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372475" y="628650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10</xdr:col>
      <xdr:colOff>304800</xdr:colOff>
      <xdr:row>38</xdr:row>
      <xdr:rowOff>0</xdr:rowOff>
    </xdr:from>
    <xdr:ext cx="184731" cy="2625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181850" y="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10</xdr:col>
      <xdr:colOff>304800</xdr:colOff>
      <xdr:row>14</xdr:row>
      <xdr:rowOff>0</xdr:rowOff>
    </xdr:from>
    <xdr:ext cx="184731" cy="26257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479280" y="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10</xdr:col>
      <xdr:colOff>304800</xdr:colOff>
      <xdr:row>14</xdr:row>
      <xdr:rowOff>0</xdr:rowOff>
    </xdr:from>
    <xdr:ext cx="184731" cy="2625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479280" y="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10</xdr:col>
      <xdr:colOff>304800</xdr:colOff>
      <xdr:row>0</xdr:row>
      <xdr:rowOff>0</xdr:rowOff>
    </xdr:from>
    <xdr:ext cx="184731" cy="2625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153400" y="624840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10</xdr:col>
      <xdr:colOff>304800</xdr:colOff>
      <xdr:row>0</xdr:row>
      <xdr:rowOff>0</xdr:rowOff>
    </xdr:from>
    <xdr:ext cx="184731" cy="2625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153400" y="624840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10</xdr:col>
      <xdr:colOff>304800</xdr:colOff>
      <xdr:row>0</xdr:row>
      <xdr:rowOff>0</xdr:rowOff>
    </xdr:from>
    <xdr:ext cx="184731" cy="2625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153400" y="624840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10</xdr:col>
      <xdr:colOff>304800</xdr:colOff>
      <xdr:row>31</xdr:row>
      <xdr:rowOff>0</xdr:rowOff>
    </xdr:from>
    <xdr:ext cx="184731" cy="262572"/>
    <xdr:sp macro="" textlink="">
      <xdr:nvSpPr>
        <xdr:cNvPr id="9" name="TextBox 1">
          <a:extLst>
            <a:ext uri="{FF2B5EF4-FFF2-40B4-BE49-F238E27FC236}">
              <a16:creationId xmlns:a16="http://schemas.microsoft.com/office/drawing/2014/main" id="{A2242589-ADC0-4329-8FC7-157F0413B145}"/>
            </a:ext>
          </a:extLst>
        </xdr:cNvPr>
        <xdr:cNvSpPr txBox="1"/>
      </xdr:nvSpPr>
      <xdr:spPr>
        <a:xfrm>
          <a:off x="7972425" y="6810375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10</xdr:col>
      <xdr:colOff>304800</xdr:colOff>
      <xdr:row>31</xdr:row>
      <xdr:rowOff>0</xdr:rowOff>
    </xdr:from>
    <xdr:ext cx="184731" cy="262572"/>
    <xdr:sp macro="" textlink="">
      <xdr:nvSpPr>
        <xdr:cNvPr id="10" name="TextBox 3">
          <a:extLst>
            <a:ext uri="{FF2B5EF4-FFF2-40B4-BE49-F238E27FC236}">
              <a16:creationId xmlns:a16="http://schemas.microsoft.com/office/drawing/2014/main" id="{A205682F-2957-4CD5-94EE-7C521B19437C}"/>
            </a:ext>
          </a:extLst>
        </xdr:cNvPr>
        <xdr:cNvSpPr txBox="1"/>
      </xdr:nvSpPr>
      <xdr:spPr>
        <a:xfrm>
          <a:off x="7972425" y="6810375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10</xdr:col>
      <xdr:colOff>304800</xdr:colOff>
      <xdr:row>31</xdr:row>
      <xdr:rowOff>0</xdr:rowOff>
    </xdr:from>
    <xdr:ext cx="184731" cy="262572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76117733-6DF3-4E39-A259-CA4664F296A5}"/>
            </a:ext>
          </a:extLst>
        </xdr:cNvPr>
        <xdr:cNvSpPr txBox="1"/>
      </xdr:nvSpPr>
      <xdr:spPr>
        <a:xfrm>
          <a:off x="7972425" y="6810375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th-TH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0</xdr:rowOff>
    </xdr:from>
    <xdr:ext cx="184731" cy="2625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401050" y="5991225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th-TH"/>
        </a:p>
      </xdr:txBody>
    </xdr:sp>
    <xdr:clientData/>
  </xdr:oneCellAnchor>
  <xdr:twoCellAnchor>
    <xdr:from>
      <xdr:col>4</xdr:col>
      <xdr:colOff>66675</xdr:colOff>
      <xdr:row>16</xdr:row>
      <xdr:rowOff>142875</xdr:rowOff>
    </xdr:from>
    <xdr:to>
      <xdr:col>4</xdr:col>
      <xdr:colOff>133350</xdr:colOff>
      <xdr:row>18</xdr:row>
      <xdr:rowOff>0</xdr:rowOff>
    </xdr:to>
    <xdr:sp macro="" textlink="">
      <xdr:nvSpPr>
        <xdr:cNvPr id="3" name="วงเล็บปีกกาขวา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600575" y="31156275"/>
          <a:ext cx="66675" cy="5048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4</xdr:col>
      <xdr:colOff>125731</xdr:colOff>
      <xdr:row>31</xdr:row>
      <xdr:rowOff>104775</xdr:rowOff>
    </xdr:from>
    <xdr:to>
      <xdr:col>4</xdr:col>
      <xdr:colOff>171450</xdr:colOff>
      <xdr:row>32</xdr:row>
      <xdr:rowOff>180975</xdr:rowOff>
    </xdr:to>
    <xdr:sp macro="" textlink="">
      <xdr:nvSpPr>
        <xdr:cNvPr id="4" name="วงเล็บปีกกาขวา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659631" y="35404425"/>
          <a:ext cx="45719" cy="3143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oneCellAnchor>
    <xdr:from>
      <xdr:col>10</xdr:col>
      <xdr:colOff>304800</xdr:colOff>
      <xdr:row>0</xdr:row>
      <xdr:rowOff>0</xdr:rowOff>
    </xdr:from>
    <xdr:ext cx="184731" cy="2625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8031480" y="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th-TH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0</xdr:rowOff>
    </xdr:from>
    <xdr:ext cx="184731" cy="2625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401050" y="5991225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th-TH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"/>
  <sheetViews>
    <sheetView showWhiteSpace="0" topLeftCell="A28" zoomScale="120" zoomScaleNormal="120" zoomScalePageLayoutView="89" workbookViewId="0">
      <selection activeCell="A32" sqref="A32:M39"/>
    </sheetView>
  </sheetViews>
  <sheetFormatPr defaultColWidth="19.75" defaultRowHeight="21.75" x14ac:dyDescent="0.5"/>
  <cols>
    <col min="1" max="1" width="5.375" style="16" customWidth="1"/>
    <col min="2" max="2" width="37.875" style="17" customWidth="1"/>
    <col min="3" max="3" width="14.25" style="17" bestFit="1" customWidth="1"/>
    <col min="4" max="4" width="9.875" style="38" customWidth="1"/>
    <col min="5" max="5" width="10.375" style="18" bestFit="1" customWidth="1"/>
    <col min="6" max="6" width="26.375" style="19" bestFit="1" customWidth="1"/>
    <col min="7" max="7" width="5.5" style="19" customWidth="1"/>
    <col min="8" max="8" width="5.25" style="17" customWidth="1"/>
    <col min="9" max="9" width="9.625" style="17" customWidth="1"/>
    <col min="10" max="10" width="7" style="17" customWidth="1"/>
    <col min="11" max="11" width="6.625" style="17" customWidth="1"/>
    <col min="12" max="12" width="10.5" style="17" customWidth="1"/>
    <col min="13" max="13" width="15.375" style="17" customWidth="1"/>
    <col min="14" max="16384" width="19.75" style="17"/>
  </cols>
  <sheetData>
    <row r="1" spans="1:15" s="20" customFormat="1" ht="21" x14ac:dyDescent="0.35">
      <c r="A1" s="298" t="s">
        <v>203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</row>
    <row r="2" spans="1:15" s="20" customFormat="1" ht="21" x14ac:dyDescent="0.35">
      <c r="A2" s="298" t="s">
        <v>148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</row>
    <row r="3" spans="1:15" s="6" customFormat="1" ht="21" x14ac:dyDescent="0.35">
      <c r="A3" s="309" t="s">
        <v>1</v>
      </c>
      <c r="B3" s="309" t="s">
        <v>2</v>
      </c>
      <c r="C3" s="306" t="s">
        <v>3</v>
      </c>
      <c r="D3" s="105" t="s">
        <v>16</v>
      </c>
      <c r="E3" s="310" t="s">
        <v>4</v>
      </c>
      <c r="F3" s="309" t="s">
        <v>5</v>
      </c>
      <c r="G3" s="303" t="s">
        <v>13</v>
      </c>
      <c r="H3" s="303"/>
      <c r="I3" s="303"/>
      <c r="J3" s="303"/>
      <c r="K3" s="303"/>
      <c r="L3" s="303"/>
      <c r="M3" s="309" t="s">
        <v>12</v>
      </c>
    </row>
    <row r="4" spans="1:15" s="6" customFormat="1" ht="42" x14ac:dyDescent="0.3">
      <c r="A4" s="309"/>
      <c r="B4" s="309"/>
      <c r="C4" s="306"/>
      <c r="D4" s="230" t="s">
        <v>17</v>
      </c>
      <c r="E4" s="310"/>
      <c r="F4" s="309"/>
      <c r="G4" s="180" t="s">
        <v>6</v>
      </c>
      <c r="H4" s="180" t="s">
        <v>7</v>
      </c>
      <c r="I4" s="180" t="s">
        <v>8</v>
      </c>
      <c r="J4" s="180" t="s">
        <v>9</v>
      </c>
      <c r="K4" s="181" t="s">
        <v>10</v>
      </c>
      <c r="L4" s="181" t="s">
        <v>11</v>
      </c>
      <c r="M4" s="309"/>
    </row>
    <row r="5" spans="1:15" s="6" customFormat="1" ht="21" x14ac:dyDescent="0.35">
      <c r="A5" s="306" t="s">
        <v>96</v>
      </c>
      <c r="B5" s="307"/>
      <c r="C5" s="104"/>
      <c r="D5" s="145"/>
      <c r="E5" s="106"/>
      <c r="F5" s="103"/>
      <c r="G5" s="107"/>
      <c r="H5" s="107"/>
      <c r="I5" s="107"/>
      <c r="J5" s="107"/>
      <c r="K5" s="107"/>
      <c r="L5" s="107"/>
      <c r="M5" s="103"/>
    </row>
    <row r="6" spans="1:15" s="3" customFormat="1" ht="21" x14ac:dyDescent="0.35">
      <c r="A6" s="109">
        <v>1</v>
      </c>
      <c r="B6" s="110" t="s">
        <v>30</v>
      </c>
      <c r="C6" s="111" t="s">
        <v>31</v>
      </c>
      <c r="D6" s="112">
        <v>13413</v>
      </c>
      <c r="E6" s="113">
        <v>2300</v>
      </c>
      <c r="F6" s="73" t="s">
        <v>164</v>
      </c>
      <c r="G6" s="114"/>
      <c r="H6" s="115"/>
      <c r="I6" s="114" t="s">
        <v>18</v>
      </c>
      <c r="J6" s="116"/>
      <c r="K6" s="116"/>
      <c r="L6" s="116"/>
      <c r="M6" s="117"/>
      <c r="N6" s="34" t="s">
        <v>166</v>
      </c>
      <c r="O6" s="3" t="s">
        <v>165</v>
      </c>
    </row>
    <row r="7" spans="1:15" s="61" customFormat="1" ht="21" x14ac:dyDescent="0.35">
      <c r="A7" s="109">
        <v>2</v>
      </c>
      <c r="B7" s="110" t="s">
        <v>30</v>
      </c>
      <c r="C7" s="111" t="s">
        <v>145</v>
      </c>
      <c r="D7" s="112">
        <v>14967</v>
      </c>
      <c r="E7" s="113">
        <v>2300</v>
      </c>
      <c r="F7" s="73" t="s">
        <v>164</v>
      </c>
      <c r="G7" s="114"/>
      <c r="H7" s="115"/>
      <c r="I7" s="114" t="s">
        <v>18</v>
      </c>
      <c r="J7" s="116"/>
      <c r="K7" s="116"/>
      <c r="L7" s="116"/>
      <c r="M7" s="117"/>
      <c r="N7" s="34" t="s">
        <v>167</v>
      </c>
      <c r="O7" s="3" t="s">
        <v>169</v>
      </c>
    </row>
    <row r="8" spans="1:15" s="3" customFormat="1" ht="21" x14ac:dyDescent="0.35">
      <c r="A8" s="109">
        <v>3</v>
      </c>
      <c r="B8" s="110" t="s">
        <v>103</v>
      </c>
      <c r="C8" s="111" t="s">
        <v>37</v>
      </c>
      <c r="D8" s="118" t="s">
        <v>97</v>
      </c>
      <c r="E8" s="113">
        <v>3200</v>
      </c>
      <c r="F8" s="110" t="s">
        <v>170</v>
      </c>
      <c r="G8" s="114"/>
      <c r="H8" s="115"/>
      <c r="I8" s="114" t="s">
        <v>18</v>
      </c>
      <c r="J8" s="116"/>
      <c r="K8" s="116"/>
      <c r="L8" s="116"/>
      <c r="M8" s="119"/>
      <c r="N8" s="13" t="s">
        <v>158</v>
      </c>
    </row>
    <row r="9" spans="1:15" s="3" customFormat="1" ht="21" x14ac:dyDescent="0.35">
      <c r="A9" s="109">
        <v>4</v>
      </c>
      <c r="B9" s="110" t="s">
        <v>35</v>
      </c>
      <c r="C9" s="111" t="s">
        <v>36</v>
      </c>
      <c r="D9" s="118" t="s">
        <v>97</v>
      </c>
      <c r="E9" s="113">
        <v>3200</v>
      </c>
      <c r="F9" s="110" t="s">
        <v>170</v>
      </c>
      <c r="G9" s="114"/>
      <c r="H9" s="115"/>
      <c r="I9" s="114" t="s">
        <v>18</v>
      </c>
      <c r="J9" s="116"/>
      <c r="K9" s="116"/>
      <c r="L9" s="116"/>
      <c r="M9" s="120"/>
      <c r="N9" s="62" t="s">
        <v>159</v>
      </c>
    </row>
    <row r="10" spans="1:15" s="3" customFormat="1" ht="21" x14ac:dyDescent="0.35">
      <c r="A10" s="109">
        <v>5</v>
      </c>
      <c r="B10" s="110" t="s">
        <v>21</v>
      </c>
      <c r="C10" s="111" t="s">
        <v>39</v>
      </c>
      <c r="D10" s="121" t="s">
        <v>105</v>
      </c>
      <c r="E10" s="113">
        <v>2600</v>
      </c>
      <c r="F10" s="73" t="s">
        <v>164</v>
      </c>
      <c r="G10" s="114"/>
      <c r="H10" s="115"/>
      <c r="I10" s="114" t="s">
        <v>18</v>
      </c>
      <c r="J10" s="116"/>
      <c r="K10" s="116"/>
      <c r="L10" s="116"/>
      <c r="M10" s="117"/>
      <c r="N10" s="34" t="s">
        <v>95</v>
      </c>
      <c r="O10" s="3" t="s">
        <v>165</v>
      </c>
    </row>
    <row r="11" spans="1:15" s="61" customFormat="1" ht="21" x14ac:dyDescent="0.35">
      <c r="A11" s="109">
        <v>6</v>
      </c>
      <c r="B11" s="110" t="s">
        <v>21</v>
      </c>
      <c r="C11" s="111" t="s">
        <v>146</v>
      </c>
      <c r="D11" s="121" t="s">
        <v>147</v>
      </c>
      <c r="E11" s="122">
        <v>2600</v>
      </c>
      <c r="F11" s="73" t="s">
        <v>164</v>
      </c>
      <c r="G11" s="114"/>
      <c r="H11" s="123"/>
      <c r="I11" s="114" t="s">
        <v>18</v>
      </c>
      <c r="J11" s="124"/>
      <c r="K11" s="124"/>
      <c r="L11" s="124"/>
      <c r="M11" s="125"/>
      <c r="N11" s="66" t="s">
        <v>168</v>
      </c>
      <c r="O11" s="3" t="s">
        <v>169</v>
      </c>
    </row>
    <row r="12" spans="1:15" s="3" customFormat="1" ht="21" x14ac:dyDescent="0.35">
      <c r="A12" s="126">
        <v>7</v>
      </c>
      <c r="B12" s="81" t="s">
        <v>35</v>
      </c>
      <c r="C12" s="127" t="s">
        <v>93</v>
      </c>
      <c r="D12" s="128" t="s">
        <v>104</v>
      </c>
      <c r="E12" s="129">
        <v>2000</v>
      </c>
      <c r="F12" s="119" t="s">
        <v>170</v>
      </c>
      <c r="G12" s="130"/>
      <c r="H12" s="131"/>
      <c r="I12" s="130" t="s">
        <v>18</v>
      </c>
      <c r="J12" s="132"/>
      <c r="K12" s="132"/>
      <c r="L12" s="132"/>
      <c r="M12" s="133"/>
      <c r="N12" s="34" t="s">
        <v>100</v>
      </c>
    </row>
    <row r="13" spans="1:15" s="6" customFormat="1" thickBot="1" x14ac:dyDescent="0.4">
      <c r="A13" s="296" t="s">
        <v>29</v>
      </c>
      <c r="B13" s="297"/>
      <c r="C13" s="297"/>
      <c r="D13" s="308"/>
      <c r="E13" s="134">
        <f>SUM(E6:E12)</f>
        <v>18200</v>
      </c>
      <c r="F13" s="117"/>
      <c r="G13" s="102"/>
      <c r="H13" s="126"/>
      <c r="I13" s="135"/>
      <c r="J13" s="135"/>
      <c r="K13" s="135"/>
      <c r="L13" s="135"/>
      <c r="M13" s="117"/>
    </row>
    <row r="14" spans="1:15" s="6" customFormat="1" thickTop="1" x14ac:dyDescent="0.35">
      <c r="A14" s="138"/>
      <c r="B14" s="138"/>
      <c r="C14" s="138"/>
      <c r="D14" s="138"/>
      <c r="E14" s="232"/>
      <c r="F14" s="233"/>
      <c r="G14" s="234"/>
      <c r="H14" s="136"/>
      <c r="I14" s="138"/>
      <c r="J14" s="138"/>
      <c r="K14" s="138"/>
      <c r="L14" s="138"/>
      <c r="M14" s="233"/>
    </row>
    <row r="15" spans="1:15" s="6" customFormat="1" ht="21" x14ac:dyDescent="0.35">
      <c r="A15" s="298" t="s">
        <v>202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298"/>
      <c r="M15" s="298"/>
    </row>
    <row r="16" spans="1:15" s="20" customFormat="1" ht="21" x14ac:dyDescent="0.35">
      <c r="A16" s="298" t="s">
        <v>148</v>
      </c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8"/>
      <c r="M16" s="298"/>
    </row>
    <row r="17" spans="1:14" s="20" customFormat="1" ht="21" x14ac:dyDescent="0.35">
      <c r="A17" s="299" t="s">
        <v>1</v>
      </c>
      <c r="B17" s="299" t="s">
        <v>2</v>
      </c>
      <c r="C17" s="299" t="s">
        <v>3</v>
      </c>
      <c r="D17" s="105" t="s">
        <v>16</v>
      </c>
      <c r="E17" s="301" t="s">
        <v>4</v>
      </c>
      <c r="F17" s="299" t="s">
        <v>5</v>
      </c>
      <c r="G17" s="303" t="s">
        <v>13</v>
      </c>
      <c r="H17" s="303"/>
      <c r="I17" s="303"/>
      <c r="J17" s="303"/>
      <c r="K17" s="303"/>
      <c r="L17" s="303"/>
      <c r="M17" s="299" t="s">
        <v>12</v>
      </c>
    </row>
    <row r="18" spans="1:14" s="6" customFormat="1" ht="42" x14ac:dyDescent="0.3">
      <c r="A18" s="304"/>
      <c r="B18" s="304"/>
      <c r="C18" s="304"/>
      <c r="D18" s="231" t="s">
        <v>17</v>
      </c>
      <c r="E18" s="305"/>
      <c r="F18" s="304"/>
      <c r="G18" s="180" t="s">
        <v>6</v>
      </c>
      <c r="H18" s="180" t="s">
        <v>7</v>
      </c>
      <c r="I18" s="180" t="s">
        <v>8</v>
      </c>
      <c r="J18" s="180" t="s">
        <v>9</v>
      </c>
      <c r="K18" s="181" t="s">
        <v>10</v>
      </c>
      <c r="L18" s="181" t="s">
        <v>11</v>
      </c>
      <c r="M18" s="304"/>
    </row>
    <row r="19" spans="1:14" s="6" customFormat="1" ht="21" x14ac:dyDescent="0.35">
      <c r="A19" s="103"/>
      <c r="B19" s="103" t="s">
        <v>215</v>
      </c>
      <c r="C19" s="103"/>
      <c r="D19" s="145"/>
      <c r="E19" s="146"/>
      <c r="F19" s="103"/>
      <c r="G19" s="143"/>
      <c r="H19" s="143"/>
      <c r="I19" s="143"/>
      <c r="J19" s="143"/>
      <c r="K19" s="143"/>
      <c r="L19" s="144"/>
      <c r="M19" s="140"/>
    </row>
    <row r="20" spans="1:14" s="6" customFormat="1" ht="21" x14ac:dyDescent="0.35">
      <c r="A20" s="78">
        <v>1</v>
      </c>
      <c r="B20" s="155" t="s">
        <v>20</v>
      </c>
      <c r="C20" s="76" t="s">
        <v>15</v>
      </c>
      <c r="D20" s="82" t="s">
        <v>106</v>
      </c>
      <c r="E20" s="83">
        <v>12000</v>
      </c>
      <c r="F20" s="81" t="s">
        <v>170</v>
      </c>
      <c r="G20" s="102" t="s">
        <v>18</v>
      </c>
      <c r="H20" s="131"/>
      <c r="I20" s="131"/>
      <c r="J20" s="131"/>
      <c r="K20" s="131"/>
      <c r="L20" s="131"/>
      <c r="M20" s="81"/>
    </row>
    <row r="21" spans="1:14" s="64" customFormat="1" ht="21.75" customHeight="1" x14ac:dyDescent="0.2">
      <c r="A21" s="77">
        <v>2</v>
      </c>
      <c r="B21" s="84" t="s">
        <v>0</v>
      </c>
      <c r="C21" s="77" t="s">
        <v>32</v>
      </c>
      <c r="D21" s="85" t="s">
        <v>107</v>
      </c>
      <c r="E21" s="86">
        <v>4000</v>
      </c>
      <c r="F21" s="87" t="s">
        <v>199</v>
      </c>
      <c r="G21" s="147" t="s">
        <v>18</v>
      </c>
      <c r="H21" s="148"/>
      <c r="I21" s="149"/>
      <c r="J21" s="148"/>
      <c r="K21" s="150"/>
      <c r="L21" s="148"/>
      <c r="M21" s="98"/>
    </row>
    <row r="22" spans="1:14" s="64" customFormat="1" ht="24" customHeight="1" x14ac:dyDescent="0.2">
      <c r="A22" s="78">
        <v>3</v>
      </c>
      <c r="B22" s="88" t="s">
        <v>54</v>
      </c>
      <c r="C22" s="78" t="s">
        <v>33</v>
      </c>
      <c r="D22" s="89" t="s">
        <v>108</v>
      </c>
      <c r="E22" s="90">
        <v>4950</v>
      </c>
      <c r="F22" s="87" t="s">
        <v>200</v>
      </c>
      <c r="G22" s="151" t="s">
        <v>18</v>
      </c>
      <c r="H22" s="152"/>
      <c r="I22" s="153"/>
      <c r="J22" s="154"/>
      <c r="K22" s="153"/>
      <c r="L22" s="154"/>
      <c r="M22" s="155"/>
    </row>
    <row r="23" spans="1:14" s="64" customFormat="1" ht="21" x14ac:dyDescent="0.2">
      <c r="A23" s="79"/>
      <c r="B23" s="91" t="s">
        <v>53</v>
      </c>
      <c r="C23" s="79"/>
      <c r="D23" s="92"/>
      <c r="E23" s="93"/>
      <c r="F23" s="94"/>
      <c r="G23" s="156"/>
      <c r="H23" s="157"/>
      <c r="I23" s="158"/>
      <c r="J23" s="159"/>
      <c r="K23" s="158"/>
      <c r="L23" s="159"/>
      <c r="M23" s="160"/>
    </row>
    <row r="24" spans="1:14" s="64" customFormat="1" ht="23.25" customHeight="1" x14ac:dyDescent="0.2">
      <c r="A24" s="78">
        <v>4</v>
      </c>
      <c r="B24" s="88" t="s">
        <v>54</v>
      </c>
      <c r="C24" s="78" t="s">
        <v>34</v>
      </c>
      <c r="D24" s="89" t="s">
        <v>108</v>
      </c>
      <c r="E24" s="90">
        <v>4950</v>
      </c>
      <c r="F24" s="95" t="s">
        <v>201</v>
      </c>
      <c r="G24" s="151" t="s">
        <v>18</v>
      </c>
      <c r="H24" s="154"/>
      <c r="I24" s="153"/>
      <c r="J24" s="154"/>
      <c r="K24" s="153"/>
      <c r="L24" s="154"/>
      <c r="M24" s="155"/>
    </row>
    <row r="25" spans="1:14" s="64" customFormat="1" ht="21" x14ac:dyDescent="0.2">
      <c r="A25" s="79"/>
      <c r="B25" s="91" t="s">
        <v>52</v>
      </c>
      <c r="C25" s="79"/>
      <c r="D25" s="92"/>
      <c r="E25" s="93"/>
      <c r="F25" s="94"/>
      <c r="G25" s="156"/>
      <c r="H25" s="159"/>
      <c r="I25" s="158"/>
      <c r="J25" s="159"/>
      <c r="K25" s="158"/>
      <c r="L25" s="159"/>
      <c r="M25" s="160"/>
    </row>
    <row r="26" spans="1:14" s="64" customFormat="1" ht="24" customHeight="1" x14ac:dyDescent="0.2">
      <c r="A26" s="80">
        <v>5</v>
      </c>
      <c r="B26" s="96" t="s">
        <v>91</v>
      </c>
      <c r="C26" s="80" t="s">
        <v>92</v>
      </c>
      <c r="D26" s="89" t="s">
        <v>109</v>
      </c>
      <c r="E26" s="97">
        <v>5000</v>
      </c>
      <c r="F26" s="98" t="s">
        <v>170</v>
      </c>
      <c r="G26" s="151" t="s">
        <v>18</v>
      </c>
      <c r="H26" s="161"/>
      <c r="I26" s="162"/>
      <c r="J26" s="161"/>
      <c r="K26" s="162"/>
      <c r="L26" s="161"/>
      <c r="M26" s="163"/>
    </row>
    <row r="27" spans="1:14" s="64" customFormat="1" ht="23.25" customHeight="1" x14ac:dyDescent="0.2">
      <c r="A27" s="78">
        <v>6</v>
      </c>
      <c r="B27" s="88" t="s">
        <v>56</v>
      </c>
      <c r="C27" s="78" t="s">
        <v>38</v>
      </c>
      <c r="D27" s="89" t="s">
        <v>97</v>
      </c>
      <c r="E27" s="90">
        <v>3400</v>
      </c>
      <c r="F27" s="95" t="s">
        <v>177</v>
      </c>
      <c r="G27" s="151" t="s">
        <v>18</v>
      </c>
      <c r="H27" s="164"/>
      <c r="I27" s="165"/>
      <c r="J27" s="166"/>
      <c r="K27" s="165"/>
      <c r="L27" s="166"/>
      <c r="M27" s="155"/>
    </row>
    <row r="28" spans="1:14" s="65" customFormat="1" ht="21" x14ac:dyDescent="0.2">
      <c r="A28" s="79"/>
      <c r="B28" s="91" t="s">
        <v>55</v>
      </c>
      <c r="C28" s="79"/>
      <c r="D28" s="92"/>
      <c r="E28" s="93"/>
      <c r="F28" s="94"/>
      <c r="G28" s="156"/>
      <c r="H28" s="167"/>
      <c r="I28" s="168"/>
      <c r="J28" s="169"/>
      <c r="K28" s="168"/>
      <c r="L28" s="169"/>
      <c r="M28" s="160"/>
    </row>
    <row r="29" spans="1:14" s="65" customFormat="1" ht="30" customHeight="1" x14ac:dyDescent="0.2">
      <c r="A29" s="77">
        <v>7</v>
      </c>
      <c r="B29" s="84" t="s">
        <v>40</v>
      </c>
      <c r="C29" s="77" t="s">
        <v>14</v>
      </c>
      <c r="D29" s="85" t="s">
        <v>110</v>
      </c>
      <c r="E29" s="99">
        <v>3200</v>
      </c>
      <c r="F29" s="98" t="s">
        <v>170</v>
      </c>
      <c r="G29" s="170" t="s">
        <v>18</v>
      </c>
      <c r="H29" s="171"/>
      <c r="I29" s="172"/>
      <c r="J29" s="173"/>
      <c r="K29" s="172"/>
      <c r="L29" s="173"/>
      <c r="M29" s="98"/>
    </row>
    <row r="30" spans="1:14" customFormat="1" thickBot="1" x14ac:dyDescent="0.4">
      <c r="A30" s="296" t="s">
        <v>29</v>
      </c>
      <c r="B30" s="297"/>
      <c r="C30" s="297"/>
      <c r="D30" s="297"/>
      <c r="E30" s="100">
        <f>SUM(E20:E29)</f>
        <v>37500</v>
      </c>
      <c r="F30" s="101"/>
      <c r="G30" s="135"/>
      <c r="H30" s="135"/>
      <c r="I30" s="135"/>
      <c r="J30" s="135"/>
      <c r="K30" s="135"/>
      <c r="L30" s="135"/>
      <c r="M30" s="174"/>
    </row>
    <row r="31" spans="1:14" s="6" customFormat="1" thickTop="1" x14ac:dyDescent="0.35">
      <c r="A31" s="136"/>
      <c r="B31" s="139"/>
      <c r="C31" s="136"/>
      <c r="D31" s="137"/>
      <c r="E31" s="175"/>
      <c r="F31" s="136"/>
      <c r="G31" s="138"/>
      <c r="H31" s="138"/>
      <c r="I31" s="138"/>
      <c r="J31" s="138"/>
      <c r="K31" s="138"/>
      <c r="L31" s="138"/>
      <c r="M31" s="139"/>
      <c r="N31" s="48"/>
    </row>
    <row r="32" spans="1:14" s="6" customFormat="1" thickTop="1" x14ac:dyDescent="0.35">
      <c r="A32" s="298" t="s">
        <v>204</v>
      </c>
      <c r="B32" s="298"/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</row>
    <row r="33" spans="1:13" s="20" customFormat="1" ht="21" x14ac:dyDescent="0.35">
      <c r="A33" s="298" t="s">
        <v>148</v>
      </c>
      <c r="B33" s="298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</row>
    <row r="34" spans="1:13" s="20" customFormat="1" ht="21" x14ac:dyDescent="0.35">
      <c r="A34" s="298"/>
      <c r="B34" s="298"/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</row>
    <row r="35" spans="1:13" s="20" customFormat="1" ht="21" x14ac:dyDescent="0.35">
      <c r="A35" s="299" t="s">
        <v>1</v>
      </c>
      <c r="B35" s="299" t="s">
        <v>2</v>
      </c>
      <c r="C35" s="299" t="s">
        <v>3</v>
      </c>
      <c r="D35" s="105" t="s">
        <v>16</v>
      </c>
      <c r="E35" s="301" t="s">
        <v>4</v>
      </c>
      <c r="F35" s="299" t="s">
        <v>5</v>
      </c>
      <c r="G35" s="303" t="s">
        <v>13</v>
      </c>
      <c r="H35" s="303"/>
      <c r="I35" s="303"/>
      <c r="J35" s="303"/>
      <c r="K35" s="303"/>
      <c r="L35" s="303"/>
      <c r="M35" s="299" t="s">
        <v>12</v>
      </c>
    </row>
    <row r="36" spans="1:13" s="6" customFormat="1" ht="42" x14ac:dyDescent="0.35">
      <c r="A36" s="300"/>
      <c r="B36" s="300"/>
      <c r="C36" s="300"/>
      <c r="D36" s="108" t="s">
        <v>17</v>
      </c>
      <c r="E36" s="302"/>
      <c r="F36" s="300"/>
      <c r="G36" s="180" t="s">
        <v>6</v>
      </c>
      <c r="H36" s="180" t="s">
        <v>7</v>
      </c>
      <c r="I36" s="180" t="s">
        <v>8</v>
      </c>
      <c r="J36" s="180" t="s">
        <v>9</v>
      </c>
      <c r="K36" s="181" t="s">
        <v>10</v>
      </c>
      <c r="L36" s="181" t="s">
        <v>11</v>
      </c>
      <c r="M36" s="304"/>
    </row>
    <row r="37" spans="1:13" s="6" customFormat="1" ht="21" x14ac:dyDescent="0.35">
      <c r="A37" s="140"/>
      <c r="B37" s="140" t="s">
        <v>214</v>
      </c>
      <c r="C37" s="140"/>
      <c r="D37" s="141"/>
      <c r="E37" s="142"/>
      <c r="F37" s="140"/>
      <c r="G37" s="178"/>
      <c r="H37" s="178"/>
      <c r="I37" s="178"/>
      <c r="J37" s="178"/>
      <c r="K37" s="178"/>
      <c r="L37" s="179"/>
      <c r="M37" s="140"/>
    </row>
    <row r="38" spans="1:13" s="64" customFormat="1" ht="42" x14ac:dyDescent="0.2">
      <c r="A38" s="183">
        <v>1</v>
      </c>
      <c r="B38" s="182" t="s">
        <v>205</v>
      </c>
      <c r="C38" s="183" t="s">
        <v>213</v>
      </c>
      <c r="D38" s="184" t="s">
        <v>206</v>
      </c>
      <c r="E38" s="186">
        <v>28878.5</v>
      </c>
      <c r="F38" s="185" t="s">
        <v>173</v>
      </c>
      <c r="G38" s="170" t="s">
        <v>18</v>
      </c>
      <c r="H38" s="154"/>
      <c r="I38" s="154"/>
      <c r="J38" s="154"/>
      <c r="K38" s="154"/>
      <c r="L38" s="154"/>
      <c r="M38" s="155"/>
    </row>
    <row r="39" spans="1:13" customFormat="1" thickBot="1" x14ac:dyDescent="0.4">
      <c r="A39" s="296" t="s">
        <v>29</v>
      </c>
      <c r="B39" s="297"/>
      <c r="C39" s="297"/>
      <c r="D39" s="297"/>
      <c r="E39" s="187">
        <f>SUM(E38:E38)</f>
        <v>28878.5</v>
      </c>
      <c r="F39" s="101"/>
      <c r="G39" s="135"/>
      <c r="H39" s="135"/>
      <c r="I39" s="135"/>
      <c r="J39" s="135"/>
      <c r="K39" s="135"/>
      <c r="L39" s="135"/>
      <c r="M39" s="174"/>
    </row>
    <row r="40" spans="1:13" s="6" customFormat="1" thickTop="1" x14ac:dyDescent="0.35">
      <c r="A40" s="176"/>
      <c r="B40" s="139"/>
      <c r="C40" s="139"/>
      <c r="D40" s="137"/>
      <c r="E40" s="177"/>
      <c r="F40" s="136"/>
      <c r="G40" s="136"/>
      <c r="H40" s="139"/>
      <c r="I40" s="139"/>
      <c r="J40" s="139"/>
      <c r="K40" s="139"/>
      <c r="L40" s="139"/>
      <c r="M40" s="139"/>
    </row>
    <row r="41" spans="1:13" s="6" customFormat="1" ht="21" x14ac:dyDescent="0.35">
      <c r="A41" s="176"/>
      <c r="B41" s="139"/>
      <c r="C41" s="139"/>
      <c r="D41" s="137"/>
      <c r="E41" s="177"/>
      <c r="F41" s="136"/>
      <c r="G41" s="136"/>
      <c r="H41" s="139"/>
      <c r="I41" s="139"/>
      <c r="J41" s="139"/>
      <c r="K41" s="139"/>
      <c r="L41" s="139"/>
      <c r="M41" s="139"/>
    </row>
    <row r="42" spans="1:13" s="6" customFormat="1" ht="21" x14ac:dyDescent="0.35">
      <c r="A42" s="176"/>
      <c r="B42" s="139"/>
      <c r="C42" s="139"/>
      <c r="D42" s="137"/>
      <c r="E42" s="177"/>
      <c r="F42" s="136"/>
      <c r="G42" s="136"/>
      <c r="H42" s="139"/>
      <c r="I42" s="139"/>
      <c r="J42" s="139"/>
      <c r="K42" s="139"/>
      <c r="L42" s="139"/>
      <c r="M42" s="139"/>
    </row>
    <row r="43" spans="1:13" s="6" customFormat="1" ht="18.75" x14ac:dyDescent="0.3">
      <c r="A43" s="24"/>
      <c r="D43" s="21"/>
      <c r="E43" s="25"/>
      <c r="F43" s="8"/>
      <c r="G43" s="8"/>
    </row>
    <row r="44" spans="1:13" s="6" customFormat="1" ht="18.75" x14ac:dyDescent="0.3">
      <c r="A44" s="24"/>
      <c r="D44" s="21"/>
      <c r="E44" s="25"/>
      <c r="F44" s="8"/>
      <c r="G44" s="8"/>
    </row>
    <row r="45" spans="1:13" s="6" customFormat="1" ht="18.75" x14ac:dyDescent="0.3">
      <c r="A45" s="24"/>
      <c r="D45" s="21"/>
      <c r="E45" s="25"/>
      <c r="F45" s="8"/>
      <c r="G45" s="8"/>
    </row>
    <row r="46" spans="1:13" s="6" customFormat="1" ht="18.75" x14ac:dyDescent="0.3">
      <c r="A46" s="24"/>
      <c r="D46" s="21"/>
      <c r="E46" s="25"/>
      <c r="F46" s="8"/>
      <c r="G46" s="8"/>
    </row>
    <row r="47" spans="1:13" s="6" customFormat="1" ht="18.75" x14ac:dyDescent="0.3">
      <c r="A47" s="24"/>
      <c r="D47" s="21"/>
      <c r="E47" s="25"/>
      <c r="F47" s="8"/>
      <c r="G47" s="8"/>
    </row>
    <row r="48" spans="1:13" s="6" customFormat="1" ht="18.75" x14ac:dyDescent="0.3">
      <c r="A48" s="24"/>
      <c r="D48" s="21"/>
      <c r="E48" s="25"/>
      <c r="F48" s="8"/>
      <c r="G48" s="8"/>
    </row>
    <row r="49" spans="1:13" s="6" customFormat="1" ht="18.75" x14ac:dyDescent="0.3">
      <c r="A49" s="24"/>
      <c r="D49" s="21"/>
      <c r="E49" s="25"/>
      <c r="F49" s="8"/>
      <c r="G49" s="8"/>
    </row>
    <row r="50" spans="1:13" s="6" customFormat="1" ht="18.75" x14ac:dyDescent="0.3">
      <c r="A50" s="24"/>
      <c r="D50" s="21"/>
      <c r="E50" s="25"/>
      <c r="F50" s="8"/>
      <c r="G50" s="8"/>
    </row>
    <row r="51" spans="1:13" s="6" customFormat="1" ht="18.75" x14ac:dyDescent="0.3">
      <c r="A51" s="24"/>
      <c r="D51" s="21"/>
      <c r="E51" s="25"/>
      <c r="F51" s="8"/>
      <c r="G51" s="8"/>
    </row>
    <row r="52" spans="1:13" s="6" customFormat="1" ht="18.75" x14ac:dyDescent="0.3">
      <c r="A52" s="24"/>
      <c r="D52" s="21"/>
      <c r="E52" s="25"/>
      <c r="F52" s="8"/>
      <c r="G52" s="8"/>
    </row>
    <row r="53" spans="1:13" s="6" customFormat="1" ht="18.75" x14ac:dyDescent="0.3">
      <c r="A53" s="24"/>
      <c r="D53" s="21"/>
      <c r="E53" s="25"/>
      <c r="F53" s="8"/>
      <c r="G53" s="8"/>
    </row>
    <row r="54" spans="1:13" s="6" customFormat="1" ht="18.75" x14ac:dyDescent="0.3">
      <c r="A54" s="24"/>
      <c r="D54" s="21"/>
      <c r="E54" s="25"/>
      <c r="F54" s="8"/>
      <c r="G54" s="8"/>
    </row>
    <row r="55" spans="1:13" s="6" customFormat="1" ht="18.75" x14ac:dyDescent="0.3">
      <c r="A55" s="27"/>
      <c r="B55" s="20"/>
      <c r="C55" s="20"/>
      <c r="D55" s="37"/>
      <c r="E55" s="28"/>
      <c r="F55" s="29"/>
      <c r="G55" s="29"/>
      <c r="H55" s="20"/>
      <c r="I55" s="20"/>
      <c r="J55" s="20"/>
      <c r="K55" s="20"/>
      <c r="L55" s="20"/>
      <c r="M55" s="20"/>
    </row>
    <row r="56" spans="1:13" s="6" customFormat="1" ht="18.75" x14ac:dyDescent="0.3">
      <c r="A56" s="27"/>
      <c r="B56" s="20"/>
      <c r="C56" s="20"/>
      <c r="D56" s="37"/>
      <c r="E56" s="28"/>
      <c r="F56" s="29"/>
      <c r="G56" s="29"/>
      <c r="H56" s="20"/>
      <c r="I56" s="20"/>
      <c r="J56" s="20"/>
      <c r="K56" s="20"/>
      <c r="L56" s="20"/>
      <c r="M56" s="20"/>
    </row>
    <row r="57" spans="1:13" s="6" customFormat="1" ht="18.75" x14ac:dyDescent="0.3">
      <c r="A57" s="27"/>
      <c r="B57" s="20"/>
      <c r="C57" s="20"/>
      <c r="D57" s="37"/>
      <c r="E57" s="28"/>
      <c r="F57" s="29"/>
      <c r="G57" s="29"/>
      <c r="H57" s="20"/>
      <c r="I57" s="20"/>
      <c r="J57" s="20"/>
      <c r="K57" s="20"/>
      <c r="L57" s="20"/>
      <c r="M57" s="20"/>
    </row>
    <row r="58" spans="1:13" s="6" customFormat="1" ht="18.75" x14ac:dyDescent="0.3">
      <c r="A58" s="27"/>
      <c r="B58" s="20"/>
      <c r="C58" s="20"/>
      <c r="D58" s="37"/>
      <c r="E58" s="28"/>
      <c r="F58" s="29"/>
      <c r="G58" s="29"/>
      <c r="H58" s="20"/>
      <c r="I58" s="20"/>
      <c r="J58" s="20"/>
      <c r="K58" s="20"/>
      <c r="L58" s="20"/>
      <c r="M58" s="20"/>
    </row>
    <row r="59" spans="1:13" s="6" customFormat="1" ht="18.75" x14ac:dyDescent="0.3">
      <c r="A59" s="27"/>
      <c r="B59" s="20"/>
      <c r="C59" s="20"/>
      <c r="D59" s="37"/>
      <c r="E59" s="28"/>
      <c r="F59" s="29"/>
      <c r="G59" s="29"/>
      <c r="H59" s="20"/>
      <c r="I59" s="20"/>
      <c r="J59" s="20"/>
      <c r="K59" s="20"/>
      <c r="L59" s="20"/>
      <c r="M59" s="20"/>
    </row>
    <row r="60" spans="1:13" s="6" customFormat="1" ht="18.75" x14ac:dyDescent="0.3">
      <c r="A60" s="27"/>
      <c r="B60" s="20"/>
      <c r="C60" s="20"/>
      <c r="D60" s="37"/>
      <c r="E60" s="28"/>
      <c r="F60" s="29"/>
      <c r="G60" s="29"/>
      <c r="H60" s="20"/>
      <c r="I60" s="20"/>
      <c r="J60" s="20"/>
      <c r="K60" s="20"/>
      <c r="L60" s="20"/>
      <c r="M60" s="20"/>
    </row>
    <row r="61" spans="1:13" s="6" customFormat="1" ht="18.75" x14ac:dyDescent="0.3">
      <c r="A61" s="27"/>
      <c r="B61" s="20"/>
      <c r="C61" s="20"/>
      <c r="D61" s="37"/>
      <c r="E61" s="28"/>
      <c r="F61" s="29"/>
      <c r="G61" s="29"/>
      <c r="H61" s="20"/>
      <c r="I61" s="20"/>
      <c r="J61" s="20"/>
      <c r="K61" s="20"/>
      <c r="L61" s="20"/>
      <c r="M61" s="20"/>
    </row>
    <row r="62" spans="1:13" s="6" customFormat="1" ht="18.75" x14ac:dyDescent="0.3">
      <c r="A62" s="27"/>
      <c r="B62" s="20"/>
      <c r="C62" s="20"/>
      <c r="D62" s="37"/>
      <c r="E62" s="28"/>
      <c r="F62" s="29"/>
      <c r="G62" s="29"/>
      <c r="H62" s="20"/>
      <c r="I62" s="20"/>
      <c r="J62" s="20"/>
      <c r="K62" s="20"/>
      <c r="L62" s="20"/>
      <c r="M62" s="20"/>
    </row>
    <row r="63" spans="1:13" s="6" customFormat="1" ht="18.75" x14ac:dyDescent="0.3">
      <c r="A63" s="27"/>
      <c r="B63" s="20"/>
      <c r="C63" s="20"/>
      <c r="D63" s="37"/>
      <c r="E63" s="28"/>
      <c r="F63" s="29"/>
      <c r="G63" s="29"/>
      <c r="H63" s="20"/>
      <c r="I63" s="20"/>
      <c r="J63" s="20"/>
      <c r="K63" s="20"/>
      <c r="L63" s="20"/>
      <c r="M63" s="20"/>
    </row>
    <row r="64" spans="1:13" s="6" customFormat="1" ht="18.75" x14ac:dyDescent="0.3">
      <c r="A64" s="27"/>
      <c r="B64" s="20"/>
      <c r="C64" s="20"/>
      <c r="D64" s="37"/>
      <c r="E64" s="28"/>
      <c r="F64" s="29"/>
      <c r="G64" s="29"/>
      <c r="H64" s="20"/>
      <c r="I64" s="20"/>
      <c r="J64" s="20"/>
      <c r="K64" s="20"/>
      <c r="L64" s="20"/>
      <c r="M64" s="20"/>
    </row>
    <row r="65" spans="1:13" s="20" customFormat="1" ht="18.75" x14ac:dyDescent="0.3">
      <c r="A65" s="27"/>
      <c r="D65" s="37"/>
      <c r="E65" s="28"/>
      <c r="F65" s="29"/>
      <c r="G65" s="29"/>
    </row>
    <row r="66" spans="1:13" s="20" customFormat="1" ht="18.75" x14ac:dyDescent="0.3">
      <c r="A66" s="27"/>
      <c r="D66" s="37"/>
      <c r="E66" s="28"/>
      <c r="F66" s="29"/>
      <c r="G66" s="29"/>
    </row>
    <row r="67" spans="1:13" s="20" customFormat="1" ht="18.75" x14ac:dyDescent="0.3">
      <c r="A67" s="27"/>
      <c r="D67" s="37"/>
      <c r="E67" s="28"/>
      <c r="F67" s="29"/>
      <c r="G67" s="29"/>
    </row>
    <row r="68" spans="1:13" s="20" customFormat="1" ht="18.75" x14ac:dyDescent="0.3">
      <c r="A68" s="27"/>
      <c r="D68" s="37"/>
      <c r="E68" s="28"/>
      <c r="F68" s="29"/>
      <c r="G68" s="29"/>
    </row>
    <row r="69" spans="1:13" s="20" customFormat="1" x14ac:dyDescent="0.5">
      <c r="A69" s="16"/>
      <c r="B69" s="17"/>
      <c r="C69" s="17"/>
      <c r="D69" s="38"/>
      <c r="E69" s="30"/>
      <c r="F69" s="19"/>
      <c r="G69" s="19"/>
      <c r="H69" s="17"/>
      <c r="I69" s="17"/>
      <c r="J69" s="17"/>
      <c r="K69" s="17"/>
      <c r="L69" s="17"/>
      <c r="M69" s="17"/>
    </row>
    <row r="70" spans="1:13" s="20" customFormat="1" x14ac:dyDescent="0.5">
      <c r="A70" s="16"/>
      <c r="B70" s="17"/>
      <c r="C70" s="17"/>
      <c r="D70" s="38"/>
      <c r="E70" s="30"/>
      <c r="F70" s="19"/>
      <c r="G70" s="19"/>
      <c r="H70" s="17"/>
      <c r="I70" s="17"/>
      <c r="J70" s="17"/>
      <c r="K70" s="17"/>
      <c r="L70" s="17"/>
      <c r="M70" s="17"/>
    </row>
    <row r="71" spans="1:13" s="20" customFormat="1" x14ac:dyDescent="0.5">
      <c r="A71" s="16"/>
      <c r="B71" s="17"/>
      <c r="C71" s="17"/>
      <c r="D71" s="38"/>
      <c r="E71" s="30"/>
      <c r="F71" s="19"/>
      <c r="G71" s="19"/>
      <c r="H71" s="17"/>
      <c r="I71" s="17"/>
      <c r="J71" s="17"/>
      <c r="K71" s="17"/>
      <c r="L71" s="17"/>
      <c r="M71" s="17"/>
    </row>
    <row r="72" spans="1:13" s="20" customFormat="1" x14ac:dyDescent="0.5">
      <c r="A72" s="16"/>
      <c r="B72" s="17"/>
      <c r="C72" s="17"/>
      <c r="D72" s="38"/>
      <c r="E72" s="30"/>
      <c r="F72" s="19"/>
      <c r="G72" s="19"/>
      <c r="H72" s="17"/>
      <c r="I72" s="17"/>
      <c r="J72" s="17"/>
      <c r="K72" s="17"/>
      <c r="L72" s="17"/>
      <c r="M72" s="17"/>
    </row>
    <row r="73" spans="1:13" s="20" customFormat="1" x14ac:dyDescent="0.5">
      <c r="A73" s="16"/>
      <c r="B73" s="17"/>
      <c r="C73" s="17"/>
      <c r="D73" s="38"/>
      <c r="E73" s="30"/>
      <c r="F73" s="19"/>
      <c r="G73" s="19"/>
      <c r="H73" s="17"/>
      <c r="I73" s="17"/>
      <c r="J73" s="17"/>
      <c r="K73" s="17"/>
      <c r="L73" s="17"/>
      <c r="M73" s="17"/>
    </row>
    <row r="74" spans="1:13" s="20" customFormat="1" x14ac:dyDescent="0.5">
      <c r="A74" s="16"/>
      <c r="B74" s="17"/>
      <c r="C74" s="17"/>
      <c r="D74" s="38"/>
      <c r="E74" s="30"/>
      <c r="F74" s="19"/>
      <c r="G74" s="19"/>
      <c r="H74" s="17"/>
      <c r="I74" s="17"/>
      <c r="J74" s="17"/>
      <c r="K74" s="17"/>
      <c r="L74" s="17"/>
      <c r="M74" s="17"/>
    </row>
    <row r="75" spans="1:13" s="20" customFormat="1" x14ac:dyDescent="0.5">
      <c r="A75" s="16"/>
      <c r="B75" s="17"/>
      <c r="C75" s="17"/>
      <c r="D75" s="38"/>
      <c r="E75" s="30"/>
      <c r="F75" s="19"/>
      <c r="G75" s="19"/>
      <c r="H75" s="17"/>
      <c r="I75" s="17"/>
      <c r="J75" s="17"/>
      <c r="K75" s="17"/>
      <c r="L75" s="17"/>
      <c r="M75" s="17"/>
    </row>
    <row r="76" spans="1:13" s="20" customFormat="1" x14ac:dyDescent="0.5">
      <c r="A76" s="16"/>
      <c r="B76" s="17"/>
      <c r="C76" s="17"/>
      <c r="D76" s="38"/>
      <c r="E76" s="30"/>
      <c r="F76" s="19"/>
      <c r="G76" s="19"/>
      <c r="H76" s="17"/>
      <c r="I76" s="17"/>
      <c r="J76" s="17"/>
      <c r="K76" s="17"/>
      <c r="L76" s="17"/>
      <c r="M76" s="17"/>
    </row>
    <row r="77" spans="1:13" s="20" customFormat="1" x14ac:dyDescent="0.5">
      <c r="A77" s="16"/>
      <c r="B77" s="17"/>
      <c r="C77" s="17"/>
      <c r="D77" s="38"/>
      <c r="E77" s="30"/>
      <c r="F77" s="19"/>
      <c r="G77" s="19"/>
      <c r="H77" s="17"/>
      <c r="I77" s="17"/>
      <c r="J77" s="17"/>
      <c r="K77" s="17"/>
      <c r="L77" s="17"/>
      <c r="M77" s="17"/>
    </row>
    <row r="78" spans="1:13" s="20" customFormat="1" x14ac:dyDescent="0.5">
      <c r="A78" s="16"/>
      <c r="B78" s="17"/>
      <c r="C78" s="17"/>
      <c r="D78" s="38"/>
      <c r="E78" s="30"/>
      <c r="F78" s="19"/>
      <c r="G78" s="19"/>
      <c r="H78" s="17"/>
      <c r="I78" s="17"/>
      <c r="J78" s="17"/>
      <c r="K78" s="17"/>
      <c r="L78" s="17"/>
      <c r="M78" s="17"/>
    </row>
    <row r="79" spans="1:13" x14ac:dyDescent="0.5">
      <c r="E79" s="30"/>
    </row>
  </sheetData>
  <mergeCells count="32">
    <mergeCell ref="G17:L17"/>
    <mergeCell ref="A15:M15"/>
    <mergeCell ref="A16:M16"/>
    <mergeCell ref="A17:A18"/>
    <mergeCell ref="B17:B18"/>
    <mergeCell ref="M17:M18"/>
    <mergeCell ref="A1:M1"/>
    <mergeCell ref="A2:M2"/>
    <mergeCell ref="A3:A4"/>
    <mergeCell ref="B3:B4"/>
    <mergeCell ref="C3:C4"/>
    <mergeCell ref="E3:E4"/>
    <mergeCell ref="F3:F4"/>
    <mergeCell ref="G3:L3"/>
    <mergeCell ref="M3:M4"/>
    <mergeCell ref="A30:D30"/>
    <mergeCell ref="C17:C18"/>
    <mergeCell ref="E17:E18"/>
    <mergeCell ref="F17:F18"/>
    <mergeCell ref="A5:B5"/>
    <mergeCell ref="A13:D13"/>
    <mergeCell ref="A39:D39"/>
    <mergeCell ref="A32:M32"/>
    <mergeCell ref="A33:M33"/>
    <mergeCell ref="A34:M34"/>
    <mergeCell ref="A35:A36"/>
    <mergeCell ref="B35:B36"/>
    <mergeCell ref="C35:C36"/>
    <mergeCell ref="E35:E36"/>
    <mergeCell ref="F35:F36"/>
    <mergeCell ref="G35:L35"/>
    <mergeCell ref="M35:M36"/>
  </mergeCells>
  <phoneticPr fontId="16" type="noConversion"/>
  <pageMargins left="0.39370078740157483" right="0.19685039370078741" top="0.35433070866141736" bottom="0" header="0.31496062992125984" footer="0.31496062992125984"/>
  <pageSetup paperSize="9" scale="80" orientation="landscape" r:id="rId1"/>
  <headerFooter differentFirst="1" scaleWithDoc="0" alignWithMargins="0">
    <oddHeader>&amp;C&amp;"TH SarabunPSK,ตัวหนา"&amp;14&amp;P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24"/>
  <sheetViews>
    <sheetView showWhiteSpace="0" topLeftCell="A48" zoomScale="120" zoomScaleNormal="120" zoomScalePageLayoutView="89" workbookViewId="0">
      <selection activeCell="I61" sqref="I61"/>
    </sheetView>
  </sheetViews>
  <sheetFormatPr defaultColWidth="19.75" defaultRowHeight="21.75" x14ac:dyDescent="0.5"/>
  <cols>
    <col min="1" max="1" width="5.375" style="16" customWidth="1"/>
    <col min="2" max="2" width="34.125" style="17" customWidth="1"/>
    <col min="3" max="3" width="12.125" style="17" customWidth="1"/>
    <col min="4" max="4" width="10.25" style="38" bestFit="1" customWidth="1"/>
    <col min="5" max="5" width="10.875" style="18" bestFit="1" customWidth="1"/>
    <col min="6" max="6" width="26" style="19" bestFit="1" customWidth="1"/>
    <col min="7" max="7" width="4.375" style="19" customWidth="1"/>
    <col min="8" max="8" width="4.25" style="17" customWidth="1"/>
    <col min="9" max="9" width="8" style="17" customWidth="1"/>
    <col min="10" max="10" width="6" style="17" customWidth="1"/>
    <col min="11" max="11" width="7.5" style="17" customWidth="1"/>
    <col min="12" max="12" width="11.875" style="17" customWidth="1"/>
    <col min="13" max="13" width="11.125" style="17" customWidth="1"/>
    <col min="14" max="16384" width="19.75" style="17"/>
  </cols>
  <sheetData>
    <row r="1" spans="1:14" s="20" customFormat="1" ht="21" x14ac:dyDescent="0.35">
      <c r="A1" s="313" t="s">
        <v>171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</row>
    <row r="2" spans="1:14" s="20" customFormat="1" ht="18.75" x14ac:dyDescent="0.3">
      <c r="A2" s="314" t="s">
        <v>148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</row>
    <row r="3" spans="1:14" s="20" customFormat="1" ht="10.5" customHeight="1" x14ac:dyDescent="0.3">
      <c r="A3" s="315"/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</row>
    <row r="4" spans="1:14" s="6" customFormat="1" ht="18.75" x14ac:dyDescent="0.3">
      <c r="A4" s="311" t="s">
        <v>1</v>
      </c>
      <c r="B4" s="311" t="s">
        <v>2</v>
      </c>
      <c r="C4" s="311" t="s">
        <v>3</v>
      </c>
      <c r="D4" s="188" t="s">
        <v>16</v>
      </c>
      <c r="E4" s="317" t="s">
        <v>4</v>
      </c>
      <c r="F4" s="311" t="s">
        <v>5</v>
      </c>
      <c r="G4" s="319" t="s">
        <v>13</v>
      </c>
      <c r="H4" s="319"/>
      <c r="I4" s="319"/>
      <c r="J4" s="319"/>
      <c r="K4" s="319"/>
      <c r="L4" s="319"/>
      <c r="M4" s="311" t="s">
        <v>12</v>
      </c>
    </row>
    <row r="5" spans="1:14" s="6" customFormat="1" ht="18.75" x14ac:dyDescent="0.3">
      <c r="A5" s="316"/>
      <c r="B5" s="312"/>
      <c r="C5" s="312"/>
      <c r="D5" s="192" t="s">
        <v>17</v>
      </c>
      <c r="E5" s="318"/>
      <c r="F5" s="312"/>
      <c r="G5" s="189" t="s">
        <v>6</v>
      </c>
      <c r="H5" s="189" t="s">
        <v>7</v>
      </c>
      <c r="I5" s="189" t="s">
        <v>8</v>
      </c>
      <c r="J5" s="189" t="s">
        <v>9</v>
      </c>
      <c r="K5" s="189" t="s">
        <v>10</v>
      </c>
      <c r="L5" s="189" t="s">
        <v>11</v>
      </c>
      <c r="M5" s="312"/>
    </row>
    <row r="6" spans="1:14" s="6" customFormat="1" ht="21" x14ac:dyDescent="0.3">
      <c r="A6" s="190"/>
      <c r="B6" s="237" t="s">
        <v>216</v>
      </c>
      <c r="C6" s="191"/>
      <c r="D6" s="192"/>
      <c r="E6" s="193"/>
      <c r="F6" s="191"/>
      <c r="G6" s="235"/>
      <c r="H6" s="236"/>
      <c r="I6" s="235"/>
      <c r="J6" s="236"/>
      <c r="K6" s="235"/>
      <c r="L6" s="236"/>
      <c r="M6" s="191"/>
    </row>
    <row r="7" spans="1:14" s="3" customFormat="1" ht="21" x14ac:dyDescent="0.35">
      <c r="A7" s="238">
        <v>1</v>
      </c>
      <c r="B7" s="239" t="s">
        <v>41</v>
      </c>
      <c r="C7" s="240" t="s">
        <v>42</v>
      </c>
      <c r="D7" s="241" t="s">
        <v>149</v>
      </c>
      <c r="E7" s="242">
        <v>25950</v>
      </c>
      <c r="F7" s="243" t="s">
        <v>172</v>
      </c>
      <c r="G7" s="195" t="s">
        <v>18</v>
      </c>
      <c r="H7" s="196"/>
      <c r="I7" s="71"/>
      <c r="J7" s="196"/>
      <c r="K7" s="71"/>
      <c r="L7" s="196"/>
      <c r="M7" s="194"/>
    </row>
    <row r="8" spans="1:14" s="3" customFormat="1" ht="21" x14ac:dyDescent="0.35">
      <c r="A8" s="244">
        <v>2</v>
      </c>
      <c r="B8" s="110" t="s">
        <v>58</v>
      </c>
      <c r="C8" s="118" t="s">
        <v>59</v>
      </c>
      <c r="D8" s="245" t="s">
        <v>149</v>
      </c>
      <c r="E8" s="246">
        <v>220000</v>
      </c>
      <c r="F8" s="247" t="s">
        <v>173</v>
      </c>
      <c r="G8" s="199" t="s">
        <v>18</v>
      </c>
      <c r="H8" s="196"/>
      <c r="I8" s="71"/>
      <c r="J8" s="196"/>
      <c r="K8" s="71"/>
      <c r="L8" s="196"/>
      <c r="M8" s="198"/>
    </row>
    <row r="9" spans="1:14" s="3" customFormat="1" ht="21" x14ac:dyDescent="0.35">
      <c r="A9" s="238">
        <v>3</v>
      </c>
      <c r="B9" s="110" t="s">
        <v>60</v>
      </c>
      <c r="C9" s="118" t="s">
        <v>61</v>
      </c>
      <c r="D9" s="245" t="s">
        <v>149</v>
      </c>
      <c r="E9" s="246">
        <v>38000</v>
      </c>
      <c r="F9" s="247" t="s">
        <v>173</v>
      </c>
      <c r="G9" s="200" t="s">
        <v>18</v>
      </c>
      <c r="H9" s="200"/>
      <c r="I9" s="71"/>
      <c r="J9" s="196"/>
      <c r="K9" s="71"/>
      <c r="L9" s="196"/>
      <c r="M9" s="198"/>
    </row>
    <row r="10" spans="1:14" s="3" customFormat="1" ht="21" x14ac:dyDescent="0.35">
      <c r="A10" s="244">
        <v>4</v>
      </c>
      <c r="B10" s="110" t="s">
        <v>60</v>
      </c>
      <c r="C10" s="118" t="s">
        <v>22</v>
      </c>
      <c r="D10" s="245" t="s">
        <v>149</v>
      </c>
      <c r="E10" s="246">
        <v>38000</v>
      </c>
      <c r="F10" s="247" t="s">
        <v>173</v>
      </c>
      <c r="G10" s="199" t="s">
        <v>18</v>
      </c>
      <c r="H10" s="196"/>
      <c r="I10" s="71"/>
      <c r="J10" s="196"/>
      <c r="K10" s="71"/>
      <c r="L10" s="196"/>
      <c r="M10" s="198"/>
    </row>
    <row r="11" spans="1:14" s="3" customFormat="1" ht="21" x14ac:dyDescent="0.35">
      <c r="A11" s="238">
        <v>5</v>
      </c>
      <c r="B11" s="110" t="s">
        <v>58</v>
      </c>
      <c r="C11" s="118" t="s">
        <v>63</v>
      </c>
      <c r="D11" s="248" t="s">
        <v>19</v>
      </c>
      <c r="E11" s="246">
        <v>478390</v>
      </c>
      <c r="F11" s="247" t="s">
        <v>173</v>
      </c>
      <c r="G11" s="199"/>
      <c r="H11" s="196"/>
      <c r="I11" s="201" t="s">
        <v>18</v>
      </c>
      <c r="J11" s="196"/>
      <c r="K11" s="71"/>
      <c r="L11" s="196"/>
      <c r="M11" s="198"/>
      <c r="N11" s="3" t="s">
        <v>174</v>
      </c>
    </row>
    <row r="12" spans="1:14" s="3" customFormat="1" ht="21" x14ac:dyDescent="0.35">
      <c r="A12" s="244">
        <v>6</v>
      </c>
      <c r="B12" s="110" t="s">
        <v>64</v>
      </c>
      <c r="C12" s="118" t="s">
        <v>94</v>
      </c>
      <c r="D12" s="245" t="s">
        <v>19</v>
      </c>
      <c r="E12" s="246">
        <v>30000</v>
      </c>
      <c r="F12" s="247" t="s">
        <v>173</v>
      </c>
      <c r="G12" s="200" t="s">
        <v>18</v>
      </c>
      <c r="H12" s="74"/>
      <c r="I12" s="74"/>
      <c r="J12" s="74"/>
      <c r="K12" s="74"/>
      <c r="L12" s="74"/>
      <c r="M12" s="69"/>
    </row>
    <row r="13" spans="1:14" s="3" customFormat="1" ht="21" x14ac:dyDescent="0.35">
      <c r="A13" s="238">
        <v>7</v>
      </c>
      <c r="B13" s="110" t="s">
        <v>23</v>
      </c>
      <c r="C13" s="118" t="s">
        <v>43</v>
      </c>
      <c r="D13" s="118" t="s">
        <v>111</v>
      </c>
      <c r="E13" s="246">
        <v>7000</v>
      </c>
      <c r="F13" s="249" t="s">
        <v>160</v>
      </c>
      <c r="G13" s="200"/>
      <c r="H13" s="67"/>
      <c r="I13" s="67" t="s">
        <v>18</v>
      </c>
      <c r="J13" s="74"/>
      <c r="K13" s="74"/>
      <c r="L13" s="74"/>
      <c r="M13" s="69"/>
    </row>
    <row r="14" spans="1:14" s="3" customFormat="1" ht="21" x14ac:dyDescent="0.35">
      <c r="A14" s="244">
        <v>8</v>
      </c>
      <c r="B14" s="110" t="s">
        <v>62</v>
      </c>
      <c r="C14" s="118" t="s">
        <v>65</v>
      </c>
      <c r="D14" s="118" t="s">
        <v>111</v>
      </c>
      <c r="E14" s="250">
        <v>11600</v>
      </c>
      <c r="F14" s="251" t="s">
        <v>101</v>
      </c>
      <c r="G14" s="67"/>
      <c r="H14" s="74"/>
      <c r="I14" s="67" t="s">
        <v>18</v>
      </c>
      <c r="J14" s="74"/>
      <c r="K14" s="74"/>
      <c r="L14" s="74"/>
      <c r="M14" s="69"/>
    </row>
    <row r="15" spans="1:14" s="3" customFormat="1" ht="21" x14ac:dyDescent="0.35">
      <c r="A15" s="238">
        <v>9</v>
      </c>
      <c r="B15" s="110" t="s">
        <v>23</v>
      </c>
      <c r="C15" s="118" t="s">
        <v>67</v>
      </c>
      <c r="D15" s="118" t="s">
        <v>19</v>
      </c>
      <c r="E15" s="250">
        <v>7000</v>
      </c>
      <c r="F15" s="251" t="s">
        <v>66</v>
      </c>
      <c r="G15" s="67" t="s">
        <v>18</v>
      </c>
      <c r="H15" s="74"/>
      <c r="I15" s="67"/>
      <c r="J15" s="74"/>
      <c r="K15" s="74"/>
      <c r="L15" s="74"/>
      <c r="M15" s="69"/>
    </row>
    <row r="16" spans="1:14" s="3" customFormat="1" ht="21" x14ac:dyDescent="0.35">
      <c r="A16" s="244">
        <v>10</v>
      </c>
      <c r="B16" s="252" t="s">
        <v>24</v>
      </c>
      <c r="C16" s="118" t="s">
        <v>25</v>
      </c>
      <c r="D16" s="121" t="s">
        <v>26</v>
      </c>
      <c r="E16" s="250">
        <v>30900</v>
      </c>
      <c r="F16" s="251" t="s">
        <v>102</v>
      </c>
      <c r="G16" s="67" t="s">
        <v>18</v>
      </c>
      <c r="H16" s="197"/>
      <c r="I16" s="203"/>
      <c r="J16" s="203"/>
      <c r="K16" s="203"/>
      <c r="L16" s="203"/>
      <c r="M16" s="69"/>
    </row>
    <row r="17" spans="1:33" s="6" customFormat="1" ht="21" x14ac:dyDescent="0.35">
      <c r="A17" s="253">
        <v>11</v>
      </c>
      <c r="B17" s="254" t="s">
        <v>46</v>
      </c>
      <c r="C17" s="255" t="s">
        <v>47</v>
      </c>
      <c r="D17" s="321" t="s">
        <v>90</v>
      </c>
      <c r="E17" s="324">
        <v>29700</v>
      </c>
      <c r="F17" s="125" t="s">
        <v>161</v>
      </c>
      <c r="G17" s="67" t="s">
        <v>18</v>
      </c>
      <c r="H17" s="204"/>
      <c r="I17" s="205"/>
      <c r="J17" s="205"/>
      <c r="K17" s="205"/>
      <c r="L17" s="206"/>
      <c r="M17" s="66"/>
    </row>
    <row r="18" spans="1:33" s="3" customFormat="1" ht="21" x14ac:dyDescent="0.35">
      <c r="A18" s="256">
        <v>12</v>
      </c>
      <c r="B18" s="257" t="s">
        <v>44</v>
      </c>
      <c r="C18" s="258" t="s">
        <v>45</v>
      </c>
      <c r="D18" s="322"/>
      <c r="E18" s="325"/>
      <c r="F18" s="259" t="s">
        <v>161</v>
      </c>
      <c r="G18" s="201" t="s">
        <v>18</v>
      </c>
      <c r="H18" s="208"/>
      <c r="I18" s="209"/>
      <c r="J18" s="209"/>
      <c r="K18" s="209"/>
      <c r="L18" s="209"/>
      <c r="M18" s="210"/>
    </row>
    <row r="19" spans="1:33" s="3" customFormat="1" ht="21" x14ac:dyDescent="0.35">
      <c r="A19" s="238"/>
      <c r="B19" s="260" t="s">
        <v>57</v>
      </c>
      <c r="C19" s="238"/>
      <c r="D19" s="323"/>
      <c r="E19" s="326"/>
      <c r="F19" s="261"/>
      <c r="G19" s="212"/>
      <c r="H19" s="213"/>
      <c r="I19" s="212"/>
      <c r="J19" s="212"/>
      <c r="K19" s="212"/>
      <c r="L19" s="214"/>
      <c r="M19" s="211"/>
    </row>
    <row r="20" spans="1:33" s="3" customFormat="1" ht="21" x14ac:dyDescent="0.35">
      <c r="A20" s="262">
        <v>13</v>
      </c>
      <c r="B20" s="110" t="s">
        <v>68</v>
      </c>
      <c r="C20" s="118" t="s">
        <v>69</v>
      </c>
      <c r="D20" s="118" t="s">
        <v>112</v>
      </c>
      <c r="E20" s="250">
        <v>118300</v>
      </c>
      <c r="F20" s="251" t="s">
        <v>181</v>
      </c>
      <c r="G20" s="67" t="s">
        <v>18</v>
      </c>
      <c r="H20" s="197"/>
      <c r="I20" s="203"/>
      <c r="J20" s="203"/>
      <c r="K20" s="203"/>
      <c r="L20" s="203"/>
      <c r="M20" s="69"/>
    </row>
    <row r="21" spans="1:33" s="3" customFormat="1" ht="21" x14ac:dyDescent="0.35">
      <c r="A21" s="238">
        <v>14</v>
      </c>
      <c r="B21" s="110" t="s">
        <v>70</v>
      </c>
      <c r="C21" s="118" t="s">
        <v>71</v>
      </c>
      <c r="D21" s="118" t="s">
        <v>112</v>
      </c>
      <c r="E21" s="250">
        <v>25500</v>
      </c>
      <c r="F21" s="251" t="s">
        <v>180</v>
      </c>
      <c r="G21" s="67" t="s">
        <v>18</v>
      </c>
      <c r="H21" s="197"/>
      <c r="I21" s="203"/>
      <c r="J21" s="203"/>
      <c r="K21" s="203"/>
      <c r="L21" s="203"/>
      <c r="M21" s="69"/>
    </row>
    <row r="22" spans="1:33" s="3" customFormat="1" ht="21" x14ac:dyDescent="0.35">
      <c r="A22" s="244">
        <v>15</v>
      </c>
      <c r="B22" s="110" t="s">
        <v>70</v>
      </c>
      <c r="C22" s="118" t="s">
        <v>72</v>
      </c>
      <c r="D22" s="118" t="s">
        <v>112</v>
      </c>
      <c r="E22" s="250">
        <v>25500</v>
      </c>
      <c r="F22" s="251" t="s">
        <v>179</v>
      </c>
      <c r="G22" s="67" t="s">
        <v>18</v>
      </c>
      <c r="H22" s="197"/>
      <c r="I22" s="203"/>
      <c r="J22" s="203"/>
      <c r="K22" s="203"/>
      <c r="L22" s="203"/>
      <c r="M22" s="69"/>
      <c r="N22" s="59">
        <f>SUM(E7:E22)</f>
        <v>1085840</v>
      </c>
    </row>
    <row r="23" spans="1:33" s="3" customFormat="1" ht="21" x14ac:dyDescent="0.35">
      <c r="A23" s="238">
        <v>16</v>
      </c>
      <c r="B23" s="110" t="s">
        <v>70</v>
      </c>
      <c r="C23" s="118" t="s">
        <v>73</v>
      </c>
      <c r="D23" s="118" t="s">
        <v>112</v>
      </c>
      <c r="E23" s="250">
        <v>25500</v>
      </c>
      <c r="F23" s="251" t="s">
        <v>182</v>
      </c>
      <c r="G23" s="67" t="s">
        <v>18</v>
      </c>
      <c r="H23" s="197"/>
      <c r="I23" s="203"/>
      <c r="J23" s="203"/>
      <c r="K23" s="203"/>
      <c r="L23" s="203"/>
      <c r="M23" s="69"/>
    </row>
    <row r="24" spans="1:33" s="3" customFormat="1" ht="21" x14ac:dyDescent="0.35">
      <c r="A24" s="244">
        <v>17</v>
      </c>
      <c r="B24" s="110" t="s">
        <v>70</v>
      </c>
      <c r="C24" s="118" t="s">
        <v>74</v>
      </c>
      <c r="D24" s="118" t="s">
        <v>112</v>
      </c>
      <c r="E24" s="250">
        <v>25500</v>
      </c>
      <c r="F24" s="251" t="s">
        <v>66</v>
      </c>
      <c r="G24" s="67" t="s">
        <v>18</v>
      </c>
      <c r="H24" s="197"/>
      <c r="I24" s="203"/>
      <c r="J24" s="203"/>
      <c r="K24" s="203"/>
      <c r="L24" s="203"/>
      <c r="M24" s="69"/>
    </row>
    <row r="25" spans="1:33" s="3" customFormat="1" ht="21" x14ac:dyDescent="0.35">
      <c r="A25" s="238">
        <v>18</v>
      </c>
      <c r="B25" s="110" t="s">
        <v>70</v>
      </c>
      <c r="C25" s="118" t="s">
        <v>75</v>
      </c>
      <c r="D25" s="118" t="s">
        <v>112</v>
      </c>
      <c r="E25" s="250">
        <v>25500</v>
      </c>
      <c r="F25" s="251" t="s">
        <v>175</v>
      </c>
      <c r="G25" s="67" t="s">
        <v>18</v>
      </c>
      <c r="H25" s="197"/>
      <c r="I25" s="203"/>
      <c r="J25" s="203"/>
      <c r="K25" s="203"/>
      <c r="L25" s="203"/>
      <c r="M25" s="69"/>
    </row>
    <row r="26" spans="1:33" s="3" customFormat="1" ht="21" x14ac:dyDescent="0.35">
      <c r="A26" s="244">
        <v>19</v>
      </c>
      <c r="B26" s="110" t="s">
        <v>70</v>
      </c>
      <c r="C26" s="118" t="s">
        <v>76</v>
      </c>
      <c r="D26" s="118" t="s">
        <v>112</v>
      </c>
      <c r="E26" s="250">
        <v>25500</v>
      </c>
      <c r="F26" s="251" t="s">
        <v>176</v>
      </c>
      <c r="G26" s="67" t="s">
        <v>18</v>
      </c>
      <c r="H26" s="197"/>
      <c r="I26" s="203"/>
      <c r="J26" s="203"/>
      <c r="K26" s="203"/>
      <c r="L26" s="203"/>
      <c r="M26" s="69"/>
    </row>
    <row r="27" spans="1:33" s="3" customFormat="1" ht="21" x14ac:dyDescent="0.35">
      <c r="A27" s="238">
        <v>20</v>
      </c>
      <c r="B27" s="110" t="s">
        <v>77</v>
      </c>
      <c r="C27" s="118" t="s">
        <v>78</v>
      </c>
      <c r="D27" s="118" t="s">
        <v>112</v>
      </c>
      <c r="E27" s="250">
        <v>150000</v>
      </c>
      <c r="F27" s="251" t="s">
        <v>173</v>
      </c>
      <c r="G27" s="67" t="s">
        <v>18</v>
      </c>
      <c r="H27" s="197"/>
      <c r="I27" s="203"/>
      <c r="J27" s="203"/>
      <c r="K27" s="203"/>
      <c r="L27" s="203"/>
      <c r="M27" s="69"/>
    </row>
    <row r="28" spans="1:33" s="3" customFormat="1" ht="21" x14ac:dyDescent="0.35">
      <c r="A28" s="256">
        <v>21</v>
      </c>
      <c r="B28" s="110" t="s">
        <v>84</v>
      </c>
      <c r="C28" s="118" t="s">
        <v>85</v>
      </c>
      <c r="D28" s="118" t="s">
        <v>112</v>
      </c>
      <c r="E28" s="250">
        <v>22800</v>
      </c>
      <c r="F28" s="249" t="s">
        <v>177</v>
      </c>
      <c r="G28" s="67" t="s">
        <v>18</v>
      </c>
      <c r="H28" s="197"/>
      <c r="I28" s="203"/>
      <c r="J28" s="203"/>
      <c r="K28" s="203"/>
      <c r="L28" s="203"/>
      <c r="M28" s="207"/>
    </row>
    <row r="29" spans="1:33" s="3" customFormat="1" ht="21" x14ac:dyDescent="0.35">
      <c r="A29" s="258">
        <v>22</v>
      </c>
      <c r="B29" s="263" t="s">
        <v>79</v>
      </c>
      <c r="C29" s="264" t="s">
        <v>81</v>
      </c>
      <c r="D29" s="264" t="s">
        <v>113</v>
      </c>
      <c r="E29" s="324">
        <v>264900</v>
      </c>
      <c r="F29" s="247" t="s">
        <v>173</v>
      </c>
      <c r="G29" s="201" t="s">
        <v>18</v>
      </c>
      <c r="H29" s="215"/>
      <c r="I29" s="209"/>
      <c r="J29" s="209"/>
      <c r="K29" s="209"/>
      <c r="L29" s="216"/>
      <c r="M29" s="198"/>
    </row>
    <row r="30" spans="1:33" s="41" customFormat="1" ht="21" x14ac:dyDescent="0.35">
      <c r="A30" s="262"/>
      <c r="B30" s="265" t="s">
        <v>80</v>
      </c>
      <c r="C30" s="240"/>
      <c r="D30" s="262"/>
      <c r="E30" s="325"/>
      <c r="F30" s="243"/>
      <c r="G30" s="217"/>
      <c r="H30" s="218"/>
      <c r="I30" s="212"/>
      <c r="J30" s="212"/>
      <c r="K30" s="212"/>
      <c r="L30" s="214"/>
      <c r="M30" s="19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s="3" customFormat="1" ht="21" x14ac:dyDescent="0.35">
      <c r="A31" s="238">
        <v>23</v>
      </c>
      <c r="B31" s="110" t="s">
        <v>82</v>
      </c>
      <c r="C31" s="118" t="s">
        <v>83</v>
      </c>
      <c r="D31" s="245" t="s">
        <v>113</v>
      </c>
      <c r="E31" s="326"/>
      <c r="F31" s="251" t="s">
        <v>178</v>
      </c>
      <c r="G31" s="67" t="s">
        <v>18</v>
      </c>
      <c r="H31" s="72"/>
      <c r="I31" s="203"/>
      <c r="J31" s="203"/>
      <c r="K31" s="203"/>
      <c r="L31" s="219"/>
      <c r="M31" s="69"/>
    </row>
    <row r="32" spans="1:33" s="6" customFormat="1" ht="21" x14ac:dyDescent="0.35">
      <c r="A32" s="244">
        <v>24</v>
      </c>
      <c r="B32" s="252" t="s">
        <v>86</v>
      </c>
      <c r="C32" s="109" t="s">
        <v>87</v>
      </c>
      <c r="D32" s="330" t="s">
        <v>27</v>
      </c>
      <c r="E32" s="331">
        <v>27519</v>
      </c>
      <c r="F32" s="320" t="s">
        <v>98</v>
      </c>
      <c r="G32" s="67" t="s">
        <v>18</v>
      </c>
      <c r="H32" s="72"/>
      <c r="I32" s="202"/>
      <c r="J32" s="202"/>
      <c r="K32" s="202"/>
      <c r="L32" s="202"/>
      <c r="M32" s="220"/>
    </row>
    <row r="33" spans="1:14" s="6" customFormat="1" ht="21" x14ac:dyDescent="0.35">
      <c r="A33" s="238">
        <v>25</v>
      </c>
      <c r="B33" s="252" t="s">
        <v>89</v>
      </c>
      <c r="C33" s="109" t="s">
        <v>88</v>
      </c>
      <c r="D33" s="330"/>
      <c r="E33" s="331"/>
      <c r="F33" s="320"/>
      <c r="G33" s="67" t="s">
        <v>18</v>
      </c>
      <c r="H33" s="72"/>
      <c r="I33" s="202"/>
      <c r="J33" s="202"/>
      <c r="K33" s="202"/>
      <c r="L33" s="202"/>
      <c r="M33" s="221"/>
      <c r="N33" s="47">
        <f>SUM(E7:E33)</f>
        <v>1653059</v>
      </c>
    </row>
    <row r="34" spans="1:14" s="6" customFormat="1" ht="21" x14ac:dyDescent="0.35">
      <c r="A34" s="277">
        <v>26</v>
      </c>
      <c r="B34" s="278" t="s">
        <v>99</v>
      </c>
      <c r="C34" s="279" t="s">
        <v>28</v>
      </c>
      <c r="D34" s="280" t="s">
        <v>150</v>
      </c>
      <c r="E34" s="281">
        <v>200000</v>
      </c>
      <c r="F34" s="282" t="s">
        <v>222</v>
      </c>
      <c r="G34" s="283"/>
      <c r="H34" s="284"/>
      <c r="I34" s="285"/>
      <c r="J34" s="285"/>
      <c r="K34" s="285"/>
      <c r="L34" s="283" t="s">
        <v>18</v>
      </c>
      <c r="M34" s="286"/>
    </row>
    <row r="35" spans="1:14" s="6" customFormat="1" ht="21" x14ac:dyDescent="0.35">
      <c r="A35" s="238">
        <v>27</v>
      </c>
      <c r="B35" s="125" t="s">
        <v>114</v>
      </c>
      <c r="C35" s="266" t="s">
        <v>115</v>
      </c>
      <c r="D35" s="118" t="s">
        <v>152</v>
      </c>
      <c r="E35" s="267">
        <v>8900</v>
      </c>
      <c r="F35" s="251" t="s">
        <v>183</v>
      </c>
      <c r="G35" s="67" t="s">
        <v>18</v>
      </c>
      <c r="H35" s="72"/>
      <c r="I35" s="67"/>
      <c r="J35" s="202"/>
      <c r="K35" s="202"/>
      <c r="L35" s="202"/>
      <c r="M35" s="221"/>
    </row>
    <row r="36" spans="1:14" s="6" customFormat="1" ht="21" x14ac:dyDescent="0.35">
      <c r="A36" s="244">
        <v>28</v>
      </c>
      <c r="B36" s="125" t="s">
        <v>116</v>
      </c>
      <c r="C36" s="266" t="s">
        <v>117</v>
      </c>
      <c r="D36" s="118" t="s">
        <v>151</v>
      </c>
      <c r="E36" s="267">
        <v>2350</v>
      </c>
      <c r="F36" s="251" t="s">
        <v>184</v>
      </c>
      <c r="G36" s="67"/>
      <c r="H36" s="67" t="s">
        <v>18</v>
      </c>
      <c r="I36" s="67"/>
      <c r="J36" s="202"/>
      <c r="K36" s="202"/>
      <c r="L36" s="202"/>
      <c r="M36" s="221"/>
    </row>
    <row r="37" spans="1:14" s="6" customFormat="1" ht="21" x14ac:dyDescent="0.35">
      <c r="A37" s="238">
        <v>29</v>
      </c>
      <c r="B37" s="125" t="s">
        <v>118</v>
      </c>
      <c r="C37" s="266" t="s">
        <v>119</v>
      </c>
      <c r="D37" s="118" t="s">
        <v>153</v>
      </c>
      <c r="E37" s="267">
        <v>428000</v>
      </c>
      <c r="F37" s="251" t="s">
        <v>173</v>
      </c>
      <c r="G37" s="67" t="s">
        <v>18</v>
      </c>
      <c r="H37" s="72"/>
      <c r="I37" s="67"/>
      <c r="J37" s="202"/>
      <c r="K37" s="202"/>
      <c r="L37" s="202"/>
      <c r="M37" s="221"/>
    </row>
    <row r="38" spans="1:14" s="6" customFormat="1" ht="21" x14ac:dyDescent="0.35">
      <c r="A38" s="244">
        <v>30</v>
      </c>
      <c r="B38" s="125" t="s">
        <v>120</v>
      </c>
      <c r="C38" s="266" t="s">
        <v>121</v>
      </c>
      <c r="D38" s="118" t="s">
        <v>154</v>
      </c>
      <c r="E38" s="267">
        <v>20000</v>
      </c>
      <c r="F38" s="251" t="s">
        <v>185</v>
      </c>
      <c r="G38" s="67" t="s">
        <v>18</v>
      </c>
      <c r="H38" s="72"/>
      <c r="I38" s="67"/>
      <c r="J38" s="202"/>
      <c r="K38" s="202"/>
      <c r="L38" s="202"/>
      <c r="M38" s="221"/>
    </row>
    <row r="39" spans="1:14" s="6" customFormat="1" ht="21" x14ac:dyDescent="0.35">
      <c r="A39" s="238">
        <v>31</v>
      </c>
      <c r="B39" s="125" t="s">
        <v>120</v>
      </c>
      <c r="C39" s="266" t="s">
        <v>122</v>
      </c>
      <c r="D39" s="118" t="s">
        <v>154</v>
      </c>
      <c r="E39" s="267">
        <v>20000</v>
      </c>
      <c r="F39" s="251" t="s">
        <v>194</v>
      </c>
      <c r="G39" s="67" t="s">
        <v>18</v>
      </c>
      <c r="H39" s="72"/>
      <c r="I39" s="67"/>
      <c r="J39" s="202"/>
      <c r="K39" s="202"/>
      <c r="L39" s="202"/>
      <c r="M39" s="221"/>
    </row>
    <row r="40" spans="1:14" s="6" customFormat="1" ht="21" x14ac:dyDescent="0.35">
      <c r="A40" s="244">
        <v>32</v>
      </c>
      <c r="B40" s="125" t="s">
        <v>124</v>
      </c>
      <c r="C40" s="266" t="s">
        <v>123</v>
      </c>
      <c r="D40" s="118" t="s">
        <v>154</v>
      </c>
      <c r="E40" s="267">
        <v>3000</v>
      </c>
      <c r="F40" s="251" t="s">
        <v>161</v>
      </c>
      <c r="G40" s="67" t="s">
        <v>18</v>
      </c>
      <c r="H40" s="72"/>
      <c r="I40" s="67"/>
      <c r="J40" s="202"/>
      <c r="K40" s="202"/>
      <c r="L40" s="202"/>
      <c r="M40" s="221"/>
    </row>
    <row r="41" spans="1:14" s="6" customFormat="1" ht="21" x14ac:dyDescent="0.35">
      <c r="A41" s="238">
        <v>33</v>
      </c>
      <c r="B41" s="125" t="s">
        <v>125</v>
      </c>
      <c r="C41" s="266" t="s">
        <v>126</v>
      </c>
      <c r="D41" s="118" t="s">
        <v>154</v>
      </c>
      <c r="E41" s="267">
        <v>22600</v>
      </c>
      <c r="F41" s="251" t="s">
        <v>186</v>
      </c>
      <c r="G41" s="67" t="s">
        <v>18</v>
      </c>
      <c r="H41" s="72"/>
      <c r="I41" s="67"/>
      <c r="J41" s="202"/>
      <c r="K41" s="202"/>
      <c r="L41" s="202"/>
      <c r="M41" s="221"/>
    </row>
    <row r="42" spans="1:14" s="6" customFormat="1" ht="21" x14ac:dyDescent="0.35">
      <c r="A42" s="244">
        <v>34</v>
      </c>
      <c r="B42" s="125" t="s">
        <v>129</v>
      </c>
      <c r="C42" s="266" t="s">
        <v>127</v>
      </c>
      <c r="D42" s="118" t="s">
        <v>154</v>
      </c>
      <c r="E42" s="267">
        <v>3500</v>
      </c>
      <c r="F42" s="251" t="s">
        <v>98</v>
      </c>
      <c r="G42" s="67"/>
      <c r="H42" s="72"/>
      <c r="I42" s="67" t="s">
        <v>18</v>
      </c>
      <c r="J42" s="202"/>
      <c r="K42" s="202"/>
      <c r="L42" s="202"/>
      <c r="M42" s="221"/>
    </row>
    <row r="43" spans="1:14" s="6" customFormat="1" ht="21" x14ac:dyDescent="0.35">
      <c r="A43" s="238">
        <v>35</v>
      </c>
      <c r="B43" s="125" t="s">
        <v>130</v>
      </c>
      <c r="C43" s="266" t="s">
        <v>128</v>
      </c>
      <c r="D43" s="118" t="s">
        <v>154</v>
      </c>
      <c r="E43" s="267">
        <v>2400</v>
      </c>
      <c r="F43" s="251" t="s">
        <v>187</v>
      </c>
      <c r="G43" s="67" t="s">
        <v>18</v>
      </c>
      <c r="H43" s="72"/>
      <c r="I43" s="67"/>
      <c r="J43" s="202"/>
      <c r="K43" s="202"/>
      <c r="L43" s="202"/>
      <c r="M43" s="221"/>
    </row>
    <row r="44" spans="1:14" s="6" customFormat="1" ht="21" x14ac:dyDescent="0.35">
      <c r="A44" s="244">
        <v>36</v>
      </c>
      <c r="B44" s="125" t="s">
        <v>131</v>
      </c>
      <c r="C44" s="266" t="s">
        <v>132</v>
      </c>
      <c r="D44" s="118" t="s">
        <v>154</v>
      </c>
      <c r="E44" s="267">
        <v>9500</v>
      </c>
      <c r="F44" s="251" t="s">
        <v>187</v>
      </c>
      <c r="G44" s="67" t="s">
        <v>18</v>
      </c>
      <c r="H44" s="72"/>
      <c r="I44" s="67"/>
      <c r="J44" s="202"/>
      <c r="K44" s="202"/>
      <c r="L44" s="202"/>
      <c r="M44" s="221"/>
      <c r="N44" s="47">
        <f>SUM(E23:E44)</f>
        <v>1287469</v>
      </c>
    </row>
    <row r="45" spans="1:14" s="6" customFormat="1" ht="21" x14ac:dyDescent="0.35">
      <c r="A45" s="238">
        <v>37</v>
      </c>
      <c r="B45" s="125" t="s">
        <v>133</v>
      </c>
      <c r="C45" s="266" t="s">
        <v>134</v>
      </c>
      <c r="D45" s="118" t="s">
        <v>155</v>
      </c>
      <c r="E45" s="267">
        <v>44800</v>
      </c>
      <c r="F45" s="268" t="s">
        <v>162</v>
      </c>
      <c r="G45" s="67" t="s">
        <v>18</v>
      </c>
      <c r="H45" s="72"/>
      <c r="I45" s="67"/>
      <c r="J45" s="202"/>
      <c r="K45" s="202"/>
      <c r="L45" s="202"/>
      <c r="M45" s="221"/>
      <c r="N45" s="47"/>
    </row>
    <row r="46" spans="1:14" s="6" customFormat="1" ht="21" x14ac:dyDescent="0.35">
      <c r="A46" s="244">
        <v>38</v>
      </c>
      <c r="B46" s="125" t="s">
        <v>135</v>
      </c>
      <c r="C46" s="266" t="s">
        <v>136</v>
      </c>
      <c r="D46" s="118" t="s">
        <v>155</v>
      </c>
      <c r="E46" s="267">
        <v>42800</v>
      </c>
      <c r="F46" s="268" t="s">
        <v>163</v>
      </c>
      <c r="G46" s="67" t="s">
        <v>18</v>
      </c>
      <c r="H46" s="72"/>
      <c r="I46" s="67"/>
      <c r="J46" s="202"/>
      <c r="K46" s="202"/>
      <c r="L46" s="202"/>
      <c r="M46" s="221"/>
      <c r="N46" s="47"/>
    </row>
    <row r="47" spans="1:14" s="6" customFormat="1" ht="21" x14ac:dyDescent="0.35">
      <c r="A47" s="238">
        <v>39</v>
      </c>
      <c r="B47" s="125" t="s">
        <v>137</v>
      </c>
      <c r="C47" s="266" t="s">
        <v>138</v>
      </c>
      <c r="D47" s="118" t="s">
        <v>156</v>
      </c>
      <c r="E47" s="267">
        <v>7990</v>
      </c>
      <c r="F47" s="268" t="s">
        <v>162</v>
      </c>
      <c r="G47" s="67" t="s">
        <v>18</v>
      </c>
      <c r="H47" s="72"/>
      <c r="I47" s="67"/>
      <c r="J47" s="202"/>
      <c r="K47" s="202"/>
      <c r="L47" s="202"/>
      <c r="M47" s="221"/>
      <c r="N47" s="47"/>
    </row>
    <row r="48" spans="1:14" s="6" customFormat="1" ht="21" x14ac:dyDescent="0.35">
      <c r="A48" s="244">
        <v>40</v>
      </c>
      <c r="B48" s="125" t="s">
        <v>139</v>
      </c>
      <c r="C48" s="266" t="s">
        <v>140</v>
      </c>
      <c r="D48" s="118" t="s">
        <v>156</v>
      </c>
      <c r="E48" s="267">
        <v>9900</v>
      </c>
      <c r="F48" s="268" t="s">
        <v>163</v>
      </c>
      <c r="G48" s="67" t="s">
        <v>18</v>
      </c>
      <c r="H48" s="72"/>
      <c r="I48" s="67"/>
      <c r="J48" s="202"/>
      <c r="K48" s="202"/>
      <c r="L48" s="202"/>
      <c r="M48" s="221"/>
      <c r="N48" s="47"/>
    </row>
    <row r="49" spans="1:15" s="6" customFormat="1" ht="21" x14ac:dyDescent="0.35">
      <c r="A49" s="238">
        <v>41</v>
      </c>
      <c r="B49" s="269" t="s">
        <v>143</v>
      </c>
      <c r="C49" s="266" t="s">
        <v>141</v>
      </c>
      <c r="D49" s="118" t="s">
        <v>156</v>
      </c>
      <c r="E49" s="267">
        <v>33000</v>
      </c>
      <c r="F49" s="268" t="s">
        <v>163</v>
      </c>
      <c r="G49" s="67" t="s">
        <v>18</v>
      </c>
      <c r="H49" s="72"/>
      <c r="I49" s="67"/>
      <c r="J49" s="202"/>
      <c r="K49" s="202"/>
      <c r="L49" s="202"/>
      <c r="M49" s="221"/>
      <c r="N49" s="47"/>
    </row>
    <row r="50" spans="1:15" s="6" customFormat="1" ht="21" x14ac:dyDescent="0.35">
      <c r="A50" s="244">
        <v>42</v>
      </c>
      <c r="B50" s="269" t="s">
        <v>144</v>
      </c>
      <c r="C50" s="266" t="s">
        <v>142</v>
      </c>
      <c r="D50" s="118" t="s">
        <v>156</v>
      </c>
      <c r="E50" s="267">
        <v>4100</v>
      </c>
      <c r="F50" s="251" t="s">
        <v>194</v>
      </c>
      <c r="G50" s="67" t="s">
        <v>18</v>
      </c>
      <c r="H50" s="72"/>
      <c r="I50" s="67"/>
      <c r="J50" s="202"/>
      <c r="K50" s="202"/>
      <c r="L50" s="202"/>
      <c r="M50" s="221"/>
      <c r="N50" s="47"/>
    </row>
    <row r="51" spans="1:15" s="64" customFormat="1" ht="42" x14ac:dyDescent="0.35">
      <c r="A51" s="238">
        <v>43</v>
      </c>
      <c r="B51" s="249" t="s">
        <v>209</v>
      </c>
      <c r="C51" s="270" t="s">
        <v>188</v>
      </c>
      <c r="D51" s="271" t="s">
        <v>189</v>
      </c>
      <c r="E51" s="272">
        <v>28200</v>
      </c>
      <c r="F51" s="273" t="s">
        <v>194</v>
      </c>
      <c r="G51" s="223" t="s">
        <v>18</v>
      </c>
      <c r="H51" s="222"/>
      <c r="I51" s="223"/>
      <c r="J51" s="224"/>
      <c r="K51" s="224"/>
      <c r="L51" s="224"/>
      <c r="M51" s="225"/>
      <c r="N51" s="75"/>
      <c r="O51" s="64">
        <f>25500*6</f>
        <v>153000</v>
      </c>
    </row>
    <row r="52" spans="1:15" s="64" customFormat="1" ht="42" x14ac:dyDescent="0.2">
      <c r="A52" s="244">
        <v>44</v>
      </c>
      <c r="B52" s="249" t="s">
        <v>210</v>
      </c>
      <c r="C52" s="270" t="s">
        <v>190</v>
      </c>
      <c r="D52" s="271" t="s">
        <v>191</v>
      </c>
      <c r="E52" s="272">
        <v>2800</v>
      </c>
      <c r="F52" s="273" t="s">
        <v>194</v>
      </c>
      <c r="G52" s="223" t="s">
        <v>18</v>
      </c>
      <c r="H52" s="222"/>
      <c r="I52" s="223"/>
      <c r="J52" s="224"/>
      <c r="K52" s="224"/>
      <c r="L52" s="224"/>
      <c r="M52" s="225"/>
      <c r="N52" s="75"/>
    </row>
    <row r="53" spans="1:15" s="64" customFormat="1" ht="42" x14ac:dyDescent="0.35">
      <c r="A53" s="238">
        <v>45</v>
      </c>
      <c r="B53" s="249" t="s">
        <v>211</v>
      </c>
      <c r="C53" s="270" t="s">
        <v>192</v>
      </c>
      <c r="D53" s="271" t="s">
        <v>189</v>
      </c>
      <c r="E53" s="272">
        <v>16200</v>
      </c>
      <c r="F53" s="273" t="s">
        <v>193</v>
      </c>
      <c r="G53" s="223" t="s">
        <v>18</v>
      </c>
      <c r="H53" s="222"/>
      <c r="I53" s="223"/>
      <c r="J53" s="224"/>
      <c r="K53" s="224"/>
      <c r="L53" s="224"/>
      <c r="M53" s="225"/>
      <c r="N53" s="75"/>
    </row>
    <row r="54" spans="1:15" s="64" customFormat="1" ht="42" x14ac:dyDescent="0.2">
      <c r="A54" s="244">
        <v>46</v>
      </c>
      <c r="B54" s="249" t="s">
        <v>208</v>
      </c>
      <c r="C54" s="270" t="s">
        <v>195</v>
      </c>
      <c r="D54" s="271" t="s">
        <v>189</v>
      </c>
      <c r="E54" s="272">
        <v>2800</v>
      </c>
      <c r="F54" s="274" t="s">
        <v>193</v>
      </c>
      <c r="G54" s="223" t="s">
        <v>18</v>
      </c>
      <c r="H54" s="222"/>
      <c r="I54" s="223"/>
      <c r="J54" s="224"/>
      <c r="K54" s="224"/>
      <c r="L54" s="224"/>
      <c r="M54" s="224"/>
      <c r="N54" s="75"/>
    </row>
    <row r="55" spans="1:15" s="64" customFormat="1" ht="42" x14ac:dyDescent="0.2">
      <c r="A55" s="275">
        <v>47</v>
      </c>
      <c r="B55" s="249" t="s">
        <v>212</v>
      </c>
      <c r="C55" s="270" t="s">
        <v>196</v>
      </c>
      <c r="D55" s="271" t="s">
        <v>189</v>
      </c>
      <c r="E55" s="272">
        <v>1790</v>
      </c>
      <c r="F55" s="273" t="s">
        <v>193</v>
      </c>
      <c r="G55" s="223" t="s">
        <v>18</v>
      </c>
      <c r="H55" s="222"/>
      <c r="I55" s="223"/>
      <c r="J55" s="224"/>
      <c r="K55" s="224"/>
      <c r="L55" s="224"/>
      <c r="M55" s="225"/>
      <c r="N55" s="75"/>
    </row>
    <row r="56" spans="1:15" s="6" customFormat="1" ht="21" x14ac:dyDescent="0.35">
      <c r="A56" s="277">
        <v>48</v>
      </c>
      <c r="B56" s="278" t="s">
        <v>217</v>
      </c>
      <c r="C56" s="279" t="s">
        <v>197</v>
      </c>
      <c r="D56" s="280" t="s">
        <v>198</v>
      </c>
      <c r="E56" s="281">
        <v>200000</v>
      </c>
      <c r="F56" s="282" t="s">
        <v>221</v>
      </c>
      <c r="G56" s="283" t="s">
        <v>18</v>
      </c>
      <c r="H56" s="284"/>
      <c r="I56" s="283"/>
      <c r="J56" s="285"/>
      <c r="K56" s="285"/>
      <c r="L56" s="285"/>
      <c r="M56" s="286"/>
      <c r="N56" s="47">
        <f>SUM(E51:E56)</f>
        <v>251790</v>
      </c>
    </row>
    <row r="57" spans="1:15" s="64" customFormat="1" ht="42" x14ac:dyDescent="0.2">
      <c r="A57" s="287">
        <v>49</v>
      </c>
      <c r="B57" s="288" t="s">
        <v>218</v>
      </c>
      <c r="C57" s="289" t="s">
        <v>219</v>
      </c>
      <c r="D57" s="290" t="s">
        <v>220</v>
      </c>
      <c r="E57" s="291">
        <v>499000</v>
      </c>
      <c r="F57" s="282" t="s">
        <v>221</v>
      </c>
      <c r="G57" s="292" t="s">
        <v>18</v>
      </c>
      <c r="H57" s="293"/>
      <c r="I57" s="292"/>
      <c r="J57" s="294"/>
      <c r="K57" s="294"/>
      <c r="L57" s="294"/>
      <c r="M57" s="295"/>
      <c r="N57" s="75"/>
    </row>
    <row r="58" spans="1:15" s="1" customFormat="1" ht="21" x14ac:dyDescent="0.3">
      <c r="A58" s="327" t="s">
        <v>29</v>
      </c>
      <c r="B58" s="328"/>
      <c r="C58" s="328"/>
      <c r="D58" s="329"/>
      <c r="E58" s="276">
        <f>SUM(E7:E57)</f>
        <v>3266689</v>
      </c>
      <c r="F58" s="226"/>
      <c r="G58" s="227"/>
      <c r="H58" s="68"/>
      <c r="I58" s="228"/>
      <c r="J58" s="229"/>
      <c r="K58" s="229"/>
      <c r="L58" s="229"/>
      <c r="M58" s="66"/>
      <c r="N58" s="60">
        <f>+N22+N44</f>
        <v>2373309</v>
      </c>
    </row>
    <row r="59" spans="1:15" s="1" customFormat="1" ht="18.75" x14ac:dyDescent="0.3">
      <c r="A59" s="40"/>
      <c r="B59" s="42"/>
      <c r="C59" s="11"/>
      <c r="D59" s="43"/>
      <c r="E59" s="44"/>
      <c r="F59" s="11"/>
      <c r="G59" s="2"/>
      <c r="H59" s="11"/>
      <c r="I59" s="4"/>
      <c r="M59" s="42"/>
    </row>
    <row r="60" spans="1:15" s="6" customFormat="1" ht="18.75" x14ac:dyDescent="0.3">
      <c r="A60" s="24"/>
      <c r="D60" s="21"/>
      <c r="E60" s="25"/>
      <c r="F60" s="8"/>
      <c r="G60" s="8"/>
    </row>
    <row r="61" spans="1:15" s="6" customFormat="1" ht="18.75" x14ac:dyDescent="0.3">
      <c r="A61" s="51"/>
      <c r="B61" s="51"/>
      <c r="C61" s="51"/>
      <c r="D61" s="52"/>
      <c r="E61" s="53"/>
      <c r="F61" s="54"/>
      <c r="G61" s="54"/>
      <c r="H61" s="51"/>
    </row>
    <row r="62" spans="1:15" s="6" customFormat="1" ht="18.75" x14ac:dyDescent="0.3">
      <c r="A62" s="54"/>
      <c r="B62" s="55"/>
      <c r="C62" s="52"/>
      <c r="D62" s="56"/>
      <c r="E62" s="57">
        <f>SUM(E45:E50)</f>
        <v>142590</v>
      </c>
      <c r="F62" s="58"/>
      <c r="G62" s="54"/>
      <c r="H62" s="51"/>
    </row>
    <row r="63" spans="1:15" s="6" customFormat="1" ht="18.75" x14ac:dyDescent="0.3">
      <c r="A63" s="51"/>
      <c r="B63" s="51"/>
      <c r="C63" s="51"/>
      <c r="D63" s="52"/>
      <c r="E63" s="53"/>
      <c r="F63" s="54"/>
      <c r="G63" s="54"/>
      <c r="H63" s="51"/>
    </row>
    <row r="64" spans="1:15" s="6" customFormat="1" ht="18.75" x14ac:dyDescent="0.3">
      <c r="D64" s="21"/>
      <c r="E64" s="25"/>
      <c r="F64" s="8"/>
      <c r="G64" s="8"/>
    </row>
    <row r="65" spans="1:7" s="6" customFormat="1" ht="18.75" x14ac:dyDescent="0.3">
      <c r="A65" s="24"/>
      <c r="D65" s="21"/>
      <c r="E65" s="25"/>
      <c r="F65" s="8"/>
      <c r="G65" s="8"/>
    </row>
    <row r="66" spans="1:7" s="6" customFormat="1" ht="18.75" x14ac:dyDescent="0.3">
      <c r="A66" s="24"/>
      <c r="D66" s="21"/>
      <c r="E66" s="25"/>
      <c r="F66" s="8"/>
      <c r="G66" s="8"/>
    </row>
    <row r="67" spans="1:7" s="6" customFormat="1" ht="18.75" x14ac:dyDescent="0.3">
      <c r="A67" s="24"/>
      <c r="D67" s="21"/>
      <c r="E67" s="25"/>
      <c r="F67" s="8"/>
      <c r="G67" s="8"/>
    </row>
    <row r="68" spans="1:7" s="6" customFormat="1" ht="18.75" x14ac:dyDescent="0.3">
      <c r="A68" s="24"/>
      <c r="D68" s="21"/>
      <c r="E68" s="25"/>
      <c r="F68" s="8"/>
      <c r="G68" s="8"/>
    </row>
    <row r="69" spans="1:7" s="6" customFormat="1" ht="18.75" x14ac:dyDescent="0.3">
      <c r="A69" s="24"/>
      <c r="D69" s="21"/>
      <c r="E69" s="25"/>
      <c r="F69" s="8"/>
      <c r="G69" s="8"/>
    </row>
    <row r="70" spans="1:7" s="6" customFormat="1" ht="18.75" x14ac:dyDescent="0.3">
      <c r="A70" s="24"/>
      <c r="D70" s="21"/>
      <c r="E70" s="25"/>
      <c r="F70" s="8"/>
      <c r="G70" s="8"/>
    </row>
    <row r="71" spans="1:7" s="6" customFormat="1" ht="18.75" x14ac:dyDescent="0.3">
      <c r="A71" s="24"/>
      <c r="D71" s="21"/>
      <c r="E71" s="25"/>
      <c r="F71" s="8"/>
      <c r="G71" s="8"/>
    </row>
    <row r="72" spans="1:7" s="6" customFormat="1" ht="18.75" x14ac:dyDescent="0.3">
      <c r="A72" s="24"/>
      <c r="D72" s="21"/>
      <c r="E72" s="25"/>
      <c r="F72" s="8"/>
      <c r="G72" s="8"/>
    </row>
    <row r="73" spans="1:7" s="6" customFormat="1" ht="18.75" x14ac:dyDescent="0.3">
      <c r="A73" s="24"/>
      <c r="D73" s="21"/>
      <c r="E73" s="25"/>
      <c r="F73" s="8"/>
      <c r="G73" s="8"/>
    </row>
    <row r="74" spans="1:7" s="6" customFormat="1" ht="18.75" x14ac:dyDescent="0.3">
      <c r="A74" s="24"/>
      <c r="D74" s="21"/>
      <c r="E74" s="25"/>
      <c r="F74" s="8"/>
      <c r="G74" s="8"/>
    </row>
    <row r="75" spans="1:7" s="6" customFormat="1" ht="18.75" x14ac:dyDescent="0.3">
      <c r="A75" s="24"/>
      <c r="D75" s="21"/>
      <c r="E75" s="25"/>
      <c r="F75" s="8"/>
      <c r="G75" s="8"/>
    </row>
    <row r="76" spans="1:7" s="6" customFormat="1" ht="18.75" x14ac:dyDescent="0.3">
      <c r="A76" s="24"/>
      <c r="D76" s="21"/>
      <c r="E76" s="25"/>
      <c r="F76" s="8"/>
      <c r="G76" s="8"/>
    </row>
    <row r="77" spans="1:7" s="6" customFormat="1" ht="18.75" x14ac:dyDescent="0.3">
      <c r="A77" s="24"/>
      <c r="D77" s="21"/>
      <c r="E77" s="25"/>
      <c r="F77" s="8"/>
      <c r="G77" s="8"/>
    </row>
    <row r="78" spans="1:7" s="6" customFormat="1" ht="18.75" x14ac:dyDescent="0.3">
      <c r="A78" s="24"/>
      <c r="D78" s="21"/>
      <c r="E78" s="25"/>
      <c r="F78" s="8"/>
      <c r="G78" s="8"/>
    </row>
    <row r="79" spans="1:7" s="6" customFormat="1" ht="18.75" x14ac:dyDescent="0.3">
      <c r="A79" s="24"/>
      <c r="D79" s="21"/>
      <c r="E79" s="25"/>
      <c r="F79" s="8"/>
      <c r="G79" s="8"/>
    </row>
    <row r="80" spans="1:7" s="6" customFormat="1" ht="18.75" x14ac:dyDescent="0.3">
      <c r="A80" s="24"/>
      <c r="D80" s="21"/>
      <c r="E80" s="25"/>
      <c r="F80" s="8"/>
      <c r="G80" s="8"/>
    </row>
    <row r="81" spans="1:7" s="6" customFormat="1" ht="18.75" x14ac:dyDescent="0.3">
      <c r="A81" s="24"/>
      <c r="D81" s="21"/>
      <c r="E81" s="25"/>
      <c r="F81" s="8"/>
      <c r="G81" s="8"/>
    </row>
    <row r="82" spans="1:7" s="6" customFormat="1" ht="18.75" x14ac:dyDescent="0.3">
      <c r="A82" s="24"/>
      <c r="D82" s="21"/>
      <c r="E82" s="25"/>
      <c r="F82" s="8"/>
      <c r="G82" s="8"/>
    </row>
    <row r="83" spans="1:7" s="6" customFormat="1" ht="18.75" x14ac:dyDescent="0.3">
      <c r="A83" s="24"/>
      <c r="D83" s="21"/>
      <c r="E83" s="25"/>
      <c r="F83" s="8"/>
      <c r="G83" s="8"/>
    </row>
    <row r="84" spans="1:7" s="6" customFormat="1" ht="18.75" x14ac:dyDescent="0.3">
      <c r="A84" s="24"/>
      <c r="D84" s="21"/>
      <c r="E84" s="25"/>
      <c r="F84" s="8"/>
      <c r="G84" s="8"/>
    </row>
    <row r="85" spans="1:7" s="6" customFormat="1" ht="18.75" x14ac:dyDescent="0.3">
      <c r="A85" s="24"/>
      <c r="D85" s="21"/>
      <c r="E85" s="25"/>
      <c r="F85" s="8"/>
      <c r="G85" s="8"/>
    </row>
    <row r="86" spans="1:7" s="6" customFormat="1" ht="18.75" x14ac:dyDescent="0.3">
      <c r="A86" s="24"/>
      <c r="D86" s="21"/>
      <c r="E86" s="25"/>
      <c r="F86" s="8"/>
      <c r="G86" s="8"/>
    </row>
    <row r="87" spans="1:7" s="6" customFormat="1" ht="18.75" x14ac:dyDescent="0.3">
      <c r="A87" s="24"/>
      <c r="D87" s="21"/>
      <c r="E87" s="25"/>
      <c r="F87" s="8"/>
      <c r="G87" s="8"/>
    </row>
    <row r="88" spans="1:7" s="6" customFormat="1" ht="18.75" x14ac:dyDescent="0.3">
      <c r="A88" s="24"/>
      <c r="D88" s="21"/>
      <c r="E88" s="25"/>
      <c r="F88" s="8"/>
      <c r="G88" s="8"/>
    </row>
    <row r="89" spans="1:7" s="6" customFormat="1" ht="18.75" x14ac:dyDescent="0.3">
      <c r="A89" s="24"/>
      <c r="D89" s="21"/>
      <c r="E89" s="25"/>
      <c r="F89" s="8"/>
      <c r="G89" s="8"/>
    </row>
    <row r="90" spans="1:7" s="6" customFormat="1" ht="18.75" x14ac:dyDescent="0.3">
      <c r="A90" s="24"/>
      <c r="D90" s="21"/>
      <c r="E90" s="25"/>
      <c r="F90" s="8"/>
      <c r="G90" s="8"/>
    </row>
    <row r="91" spans="1:7" s="6" customFormat="1" ht="18.75" x14ac:dyDescent="0.3">
      <c r="A91" s="24"/>
      <c r="D91" s="21"/>
      <c r="E91" s="25"/>
      <c r="F91" s="8"/>
      <c r="G91" s="8"/>
    </row>
    <row r="92" spans="1:7" s="6" customFormat="1" ht="18.75" x14ac:dyDescent="0.3">
      <c r="A92" s="24"/>
      <c r="D92" s="21"/>
      <c r="E92" s="25"/>
      <c r="F92" s="8"/>
      <c r="G92" s="8"/>
    </row>
    <row r="93" spans="1:7" s="6" customFormat="1" ht="18.75" x14ac:dyDescent="0.3">
      <c r="A93" s="24"/>
      <c r="D93" s="21"/>
      <c r="E93" s="25"/>
      <c r="F93" s="8"/>
      <c r="G93" s="8"/>
    </row>
    <row r="94" spans="1:7" s="6" customFormat="1" ht="18.75" x14ac:dyDescent="0.3">
      <c r="A94" s="24"/>
      <c r="D94" s="21"/>
      <c r="E94" s="25"/>
      <c r="F94" s="8"/>
      <c r="G94" s="8"/>
    </row>
    <row r="95" spans="1:7" s="6" customFormat="1" ht="18.75" x14ac:dyDescent="0.3">
      <c r="A95" s="24"/>
      <c r="D95" s="21"/>
      <c r="E95" s="25"/>
      <c r="F95" s="8"/>
      <c r="G95" s="8"/>
    </row>
    <row r="96" spans="1:7" s="6" customFormat="1" ht="18.75" x14ac:dyDescent="0.3">
      <c r="A96" s="24"/>
      <c r="D96" s="21"/>
      <c r="E96" s="25"/>
      <c r="F96" s="8"/>
      <c r="G96" s="8"/>
    </row>
    <row r="97" spans="1:13" s="6" customFormat="1" ht="18.75" x14ac:dyDescent="0.3">
      <c r="A97" s="24"/>
      <c r="D97" s="21"/>
      <c r="E97" s="25"/>
      <c r="F97" s="8"/>
      <c r="G97" s="8"/>
    </row>
    <row r="98" spans="1:13" s="20" customFormat="1" ht="18.75" x14ac:dyDescent="0.3">
      <c r="A98" s="24"/>
      <c r="B98" s="6"/>
      <c r="C98" s="6"/>
      <c r="D98" s="21"/>
      <c r="E98" s="25"/>
      <c r="F98" s="8"/>
      <c r="G98" s="8"/>
      <c r="H98" s="6"/>
      <c r="I98" s="6"/>
      <c r="J98" s="6"/>
      <c r="K98" s="6"/>
      <c r="L98" s="6"/>
      <c r="M98" s="6"/>
    </row>
    <row r="99" spans="1:13" s="20" customFormat="1" ht="18.75" x14ac:dyDescent="0.3">
      <c r="A99" s="24"/>
      <c r="B99" s="6"/>
      <c r="C99" s="6"/>
      <c r="D99" s="21"/>
      <c r="E99" s="25"/>
      <c r="F99" s="8"/>
      <c r="G99" s="8"/>
      <c r="H99" s="6"/>
      <c r="I99" s="6"/>
      <c r="J99" s="6"/>
      <c r="K99" s="6"/>
      <c r="L99" s="6"/>
      <c r="M99" s="6"/>
    </row>
    <row r="100" spans="1:13" s="20" customFormat="1" ht="18.75" x14ac:dyDescent="0.3">
      <c r="A100" s="27"/>
      <c r="D100" s="37"/>
      <c r="E100" s="28"/>
      <c r="F100" s="29"/>
      <c r="G100" s="29"/>
    </row>
    <row r="101" spans="1:13" s="20" customFormat="1" ht="18.75" x14ac:dyDescent="0.3">
      <c r="A101" s="27"/>
      <c r="D101" s="37"/>
      <c r="E101" s="28"/>
      <c r="F101" s="29"/>
      <c r="G101" s="29"/>
    </row>
    <row r="102" spans="1:13" s="20" customFormat="1" ht="18.75" x14ac:dyDescent="0.3">
      <c r="A102" s="27"/>
      <c r="D102" s="37"/>
      <c r="E102" s="28"/>
      <c r="F102" s="29"/>
      <c r="G102" s="29"/>
    </row>
    <row r="103" spans="1:13" s="20" customFormat="1" ht="18.75" x14ac:dyDescent="0.3">
      <c r="A103" s="27"/>
      <c r="D103" s="37"/>
      <c r="E103" s="28"/>
      <c r="F103" s="29"/>
      <c r="G103" s="29"/>
    </row>
    <row r="104" spans="1:13" s="20" customFormat="1" ht="18.75" x14ac:dyDescent="0.3">
      <c r="A104" s="27"/>
      <c r="D104" s="37"/>
      <c r="E104" s="28"/>
      <c r="F104" s="29"/>
      <c r="G104" s="29"/>
    </row>
    <row r="105" spans="1:13" s="20" customFormat="1" ht="18.75" x14ac:dyDescent="0.3">
      <c r="A105" s="27"/>
      <c r="D105" s="37"/>
      <c r="E105" s="28"/>
      <c r="F105" s="29"/>
      <c r="G105" s="29"/>
    </row>
    <row r="106" spans="1:13" s="20" customFormat="1" ht="18.75" x14ac:dyDescent="0.3">
      <c r="A106" s="27"/>
      <c r="D106" s="37"/>
      <c r="E106" s="28"/>
      <c r="F106" s="29"/>
      <c r="G106" s="29"/>
    </row>
    <row r="107" spans="1:13" s="20" customFormat="1" ht="18.75" x14ac:dyDescent="0.3">
      <c r="A107" s="27"/>
      <c r="D107" s="37"/>
      <c r="E107" s="28"/>
      <c r="F107" s="29"/>
      <c r="G107" s="29"/>
    </row>
    <row r="108" spans="1:13" s="20" customFormat="1" ht="18.75" x14ac:dyDescent="0.3">
      <c r="A108" s="27"/>
      <c r="D108" s="37"/>
      <c r="E108" s="28"/>
      <c r="F108" s="29"/>
      <c r="G108" s="29"/>
    </row>
    <row r="109" spans="1:13" s="20" customFormat="1" ht="18.75" x14ac:dyDescent="0.3">
      <c r="A109" s="27"/>
      <c r="D109" s="37"/>
      <c r="E109" s="28"/>
      <c r="F109" s="29"/>
      <c r="G109" s="29"/>
    </row>
    <row r="110" spans="1:13" s="20" customFormat="1" ht="18.75" x14ac:dyDescent="0.3">
      <c r="A110" s="27"/>
      <c r="D110" s="37"/>
      <c r="E110" s="28"/>
      <c r="F110" s="29"/>
      <c r="G110" s="29"/>
    </row>
    <row r="111" spans="1:13" s="20" customFormat="1" ht="18.75" x14ac:dyDescent="0.3">
      <c r="A111" s="27"/>
      <c r="D111" s="37"/>
      <c r="E111" s="28"/>
      <c r="F111" s="29"/>
      <c r="G111" s="29"/>
    </row>
    <row r="112" spans="1:13" x14ac:dyDescent="0.5">
      <c r="A112" s="27"/>
      <c r="B112" s="20"/>
      <c r="C112" s="20"/>
      <c r="D112" s="37"/>
      <c r="E112" s="28"/>
      <c r="F112" s="29"/>
      <c r="G112" s="29"/>
      <c r="H112" s="20"/>
      <c r="I112" s="20"/>
      <c r="J112" s="20"/>
      <c r="K112" s="20"/>
      <c r="L112" s="20"/>
      <c r="M112" s="20"/>
    </row>
    <row r="113" spans="1:13" x14ac:dyDescent="0.5">
      <c r="A113" s="27"/>
      <c r="B113" s="20"/>
      <c r="C113" s="20"/>
      <c r="D113" s="37"/>
      <c r="E113" s="28"/>
      <c r="F113" s="29"/>
      <c r="G113" s="29"/>
      <c r="H113" s="20"/>
      <c r="I113" s="20"/>
      <c r="J113" s="20"/>
      <c r="K113" s="20"/>
      <c r="L113" s="20"/>
      <c r="M113" s="20"/>
    </row>
    <row r="114" spans="1:13" x14ac:dyDescent="0.5">
      <c r="E114" s="30"/>
    </row>
    <row r="115" spans="1:13" x14ac:dyDescent="0.5">
      <c r="E115" s="30"/>
    </row>
    <row r="116" spans="1:13" x14ac:dyDescent="0.5">
      <c r="E116" s="30"/>
    </row>
    <row r="117" spans="1:13" x14ac:dyDescent="0.5">
      <c r="E117" s="30"/>
    </row>
    <row r="118" spans="1:13" x14ac:dyDescent="0.5">
      <c r="E118" s="30"/>
    </row>
    <row r="119" spans="1:13" x14ac:dyDescent="0.5">
      <c r="E119" s="30"/>
    </row>
    <row r="120" spans="1:13" x14ac:dyDescent="0.5">
      <c r="E120" s="30"/>
    </row>
    <row r="121" spans="1:13" x14ac:dyDescent="0.5">
      <c r="E121" s="30"/>
    </row>
    <row r="122" spans="1:13" x14ac:dyDescent="0.5">
      <c r="E122" s="30"/>
    </row>
    <row r="123" spans="1:13" x14ac:dyDescent="0.5">
      <c r="E123" s="30"/>
    </row>
    <row r="124" spans="1:13" x14ac:dyDescent="0.5">
      <c r="E124" s="30"/>
    </row>
  </sheetData>
  <mergeCells count="17">
    <mergeCell ref="F32:F33"/>
    <mergeCell ref="D17:D19"/>
    <mergeCell ref="E17:E19"/>
    <mergeCell ref="A58:D58"/>
    <mergeCell ref="E29:E31"/>
    <mergeCell ref="D32:D33"/>
    <mergeCell ref="E32:E33"/>
    <mergeCell ref="M4:M5"/>
    <mergeCell ref="A1:M1"/>
    <mergeCell ref="A2:M2"/>
    <mergeCell ref="A3:M3"/>
    <mergeCell ref="A4:A5"/>
    <mergeCell ref="B4:B5"/>
    <mergeCell ref="C4:C5"/>
    <mergeCell ref="E4:E5"/>
    <mergeCell ref="F4:F5"/>
    <mergeCell ref="G4:L4"/>
  </mergeCells>
  <phoneticPr fontId="21" type="noConversion"/>
  <pageMargins left="0.15748031496062992" right="0" top="0.59055118110236227" bottom="0.59055118110236227" header="0.31496062992125984" footer="0.31496062992125984"/>
  <pageSetup paperSize="9" scale="90" orientation="landscape" r:id="rId1"/>
  <headerFooter scaleWithDoc="0" alignWithMargins="0">
    <oddFooter>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7"/>
  <sheetViews>
    <sheetView tabSelected="1" showWhiteSpace="0" zoomScaleNormal="100" zoomScalePageLayoutView="89" workbookViewId="0">
      <selection activeCell="H18" sqref="H18"/>
    </sheetView>
  </sheetViews>
  <sheetFormatPr defaultColWidth="19.75" defaultRowHeight="21.75" x14ac:dyDescent="0.5"/>
  <cols>
    <col min="1" max="1" width="5.375" style="16" customWidth="1"/>
    <col min="2" max="2" width="32.125" style="17" customWidth="1"/>
    <col min="3" max="3" width="12.125" style="17" customWidth="1"/>
    <col min="4" max="4" width="9.875" style="38" customWidth="1"/>
    <col min="5" max="5" width="8.875" style="18" customWidth="1"/>
    <col min="6" max="6" width="13.75" style="19" customWidth="1"/>
    <col min="7" max="7" width="4.375" style="19" customWidth="1"/>
    <col min="8" max="8" width="4.25" style="17" customWidth="1"/>
    <col min="9" max="9" width="8" style="17" customWidth="1"/>
    <col min="10" max="10" width="6" style="17" customWidth="1"/>
    <col min="11" max="11" width="7.5" style="17" customWidth="1"/>
    <col min="12" max="12" width="5.75" style="17" customWidth="1"/>
    <col min="13" max="13" width="11.75" style="17" customWidth="1"/>
    <col min="14" max="16384" width="19.75" style="17"/>
  </cols>
  <sheetData>
    <row r="1" spans="1:13" s="20" customFormat="1" ht="18.75" x14ac:dyDescent="0.3">
      <c r="A1" s="335" t="s">
        <v>207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</row>
    <row r="2" spans="1:13" s="20" customFormat="1" ht="18.75" x14ac:dyDescent="0.3">
      <c r="A2" s="335" t="s">
        <v>148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</row>
    <row r="3" spans="1:13" s="20" customFormat="1" ht="18.75" x14ac:dyDescent="0.3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</row>
    <row r="4" spans="1:13" s="6" customFormat="1" ht="18.75" x14ac:dyDescent="0.3">
      <c r="A4" s="332" t="s">
        <v>1</v>
      </c>
      <c r="B4" s="332" t="s">
        <v>2</v>
      </c>
      <c r="C4" s="332" t="s">
        <v>3</v>
      </c>
      <c r="D4" s="10" t="s">
        <v>16</v>
      </c>
      <c r="E4" s="337" t="s">
        <v>4</v>
      </c>
      <c r="F4" s="332" t="s">
        <v>5</v>
      </c>
      <c r="G4" s="339" t="s">
        <v>13</v>
      </c>
      <c r="H4" s="339"/>
      <c r="I4" s="339"/>
      <c r="J4" s="339"/>
      <c r="K4" s="339"/>
      <c r="L4" s="339"/>
      <c r="M4" s="332" t="s">
        <v>12</v>
      </c>
    </row>
    <row r="5" spans="1:13" s="6" customFormat="1" ht="56.25" x14ac:dyDescent="0.3">
      <c r="A5" s="336"/>
      <c r="B5" s="333"/>
      <c r="C5" s="333"/>
      <c r="D5" s="23" t="s">
        <v>17</v>
      </c>
      <c r="E5" s="338"/>
      <c r="F5" s="333"/>
      <c r="G5" s="32" t="s">
        <v>6</v>
      </c>
      <c r="H5" s="32" t="s">
        <v>7</v>
      </c>
      <c r="I5" s="32" t="s">
        <v>8</v>
      </c>
      <c r="J5" s="32" t="s">
        <v>9</v>
      </c>
      <c r="K5" s="32" t="s">
        <v>10</v>
      </c>
      <c r="L5" s="63" t="s">
        <v>11</v>
      </c>
      <c r="M5" s="333"/>
    </row>
    <row r="6" spans="1:13" s="6" customFormat="1" ht="18.75" x14ac:dyDescent="0.3">
      <c r="A6" s="35">
        <v>1</v>
      </c>
      <c r="B6" s="22" t="s">
        <v>48</v>
      </c>
      <c r="C6" s="5" t="s">
        <v>50</v>
      </c>
      <c r="D6" s="9" t="s">
        <v>51</v>
      </c>
      <c r="E6" s="70">
        <v>3500</v>
      </c>
      <c r="F6" s="5" t="s">
        <v>157</v>
      </c>
      <c r="G6" s="15" t="s">
        <v>18</v>
      </c>
      <c r="H6" s="32"/>
      <c r="I6" s="32"/>
      <c r="J6" s="32"/>
      <c r="K6" s="32"/>
      <c r="L6" s="32"/>
      <c r="M6" s="14" t="s">
        <v>95</v>
      </c>
    </row>
    <row r="7" spans="1:13" s="3" customFormat="1" ht="18.75" x14ac:dyDescent="0.3">
      <c r="A7" s="7"/>
      <c r="B7" s="33" t="s">
        <v>49</v>
      </c>
      <c r="C7" s="7"/>
      <c r="D7" s="12"/>
      <c r="E7" s="39"/>
      <c r="F7" s="7"/>
      <c r="G7" s="36"/>
      <c r="H7" s="31"/>
      <c r="I7" s="31"/>
      <c r="J7" s="31"/>
      <c r="K7" s="31"/>
      <c r="L7" s="31"/>
      <c r="M7" s="49"/>
    </row>
    <row r="8" spans="1:13" ht="22.5" thickBot="1" x14ac:dyDescent="0.55000000000000004">
      <c r="A8" s="334" t="s">
        <v>29</v>
      </c>
      <c r="B8" s="334"/>
      <c r="C8" s="334"/>
      <c r="D8" s="334"/>
      <c r="E8" s="50">
        <f>SUM(E6:E7)</f>
        <v>3500</v>
      </c>
      <c r="F8" s="45"/>
      <c r="G8" s="45"/>
      <c r="H8" s="46"/>
      <c r="I8" s="46"/>
      <c r="J8" s="46"/>
      <c r="K8" s="46"/>
      <c r="L8" s="46"/>
      <c r="M8" s="46"/>
    </row>
    <row r="9" spans="1:13" ht="22.5" thickTop="1" x14ac:dyDescent="0.5"/>
    <row r="10" spans="1:13" s="6" customFormat="1" ht="18.75" x14ac:dyDescent="0.3">
      <c r="A10" s="24"/>
      <c r="D10" s="21"/>
      <c r="E10" s="25"/>
      <c r="F10" s="8"/>
      <c r="G10" s="8"/>
    </row>
    <row r="11" spans="1:13" s="6" customFormat="1" ht="18.75" x14ac:dyDescent="0.3">
      <c r="A11" s="24"/>
      <c r="D11" s="21"/>
      <c r="E11" s="25"/>
      <c r="F11" s="8"/>
      <c r="G11" s="8"/>
    </row>
    <row r="12" spans="1:13" s="6" customFormat="1" ht="18.75" x14ac:dyDescent="0.3">
      <c r="A12" s="24"/>
      <c r="D12" s="21"/>
      <c r="E12" s="25"/>
      <c r="F12" s="8"/>
      <c r="G12" s="8"/>
    </row>
    <row r="13" spans="1:13" s="6" customFormat="1" ht="18.75" x14ac:dyDescent="0.3">
      <c r="A13" s="24"/>
      <c r="D13" s="21"/>
      <c r="E13" s="25"/>
      <c r="F13" s="8"/>
      <c r="G13" s="8"/>
    </row>
    <row r="14" spans="1:13" s="6" customFormat="1" ht="18.75" x14ac:dyDescent="0.3">
      <c r="A14" s="24"/>
      <c r="D14" s="21"/>
      <c r="E14" s="25"/>
      <c r="F14" s="8"/>
      <c r="G14" s="8"/>
    </row>
    <row r="15" spans="1:13" s="6" customFormat="1" ht="18.75" x14ac:dyDescent="0.3">
      <c r="A15" s="24"/>
      <c r="D15" s="21"/>
      <c r="E15" s="25"/>
      <c r="F15" s="8"/>
      <c r="G15" s="8"/>
    </row>
    <row r="16" spans="1:13" s="6" customFormat="1" ht="18.75" x14ac:dyDescent="0.3">
      <c r="A16" s="24"/>
      <c r="D16" s="21"/>
      <c r="E16" s="25"/>
      <c r="F16" s="8"/>
      <c r="G16" s="8"/>
    </row>
    <row r="17" spans="1:7" s="6" customFormat="1" ht="18.75" x14ac:dyDescent="0.3">
      <c r="A17" s="24"/>
      <c r="D17" s="21"/>
      <c r="E17" s="25"/>
      <c r="F17" s="8"/>
      <c r="G17" s="8"/>
    </row>
    <row r="18" spans="1:7" s="6" customFormat="1" ht="18.75" x14ac:dyDescent="0.3">
      <c r="A18" s="24"/>
      <c r="D18" s="21"/>
      <c r="E18" s="25"/>
      <c r="F18" s="8"/>
      <c r="G18" s="8"/>
    </row>
    <row r="19" spans="1:7" s="6" customFormat="1" ht="18.75" x14ac:dyDescent="0.3">
      <c r="A19" s="24"/>
      <c r="D19" s="21"/>
      <c r="E19" s="25"/>
      <c r="F19" s="8"/>
      <c r="G19" s="8"/>
    </row>
    <row r="20" spans="1:7" s="6" customFormat="1" ht="18.75" x14ac:dyDescent="0.3">
      <c r="A20" s="24"/>
      <c r="D20" s="21"/>
      <c r="E20" s="25"/>
      <c r="F20" s="8"/>
      <c r="G20" s="8"/>
    </row>
    <row r="21" spans="1:7" s="6" customFormat="1" ht="18.75" x14ac:dyDescent="0.3">
      <c r="A21" s="24"/>
      <c r="D21" s="21"/>
      <c r="E21" s="25"/>
      <c r="F21" s="8"/>
      <c r="G21" s="8"/>
    </row>
    <row r="22" spans="1:7" s="6" customFormat="1" ht="18.75" x14ac:dyDescent="0.3">
      <c r="A22" s="24"/>
      <c r="D22" s="21"/>
      <c r="E22" s="25"/>
      <c r="F22" s="8"/>
      <c r="G22" s="8"/>
    </row>
    <row r="23" spans="1:7" s="6" customFormat="1" ht="18.75" x14ac:dyDescent="0.3">
      <c r="A23" s="24"/>
      <c r="D23" s="21"/>
      <c r="E23" s="25"/>
      <c r="F23" s="8"/>
      <c r="G23" s="8"/>
    </row>
    <row r="24" spans="1:7" s="6" customFormat="1" ht="18.75" x14ac:dyDescent="0.3">
      <c r="A24" s="24"/>
      <c r="D24" s="21"/>
      <c r="E24" s="25"/>
      <c r="F24" s="8"/>
      <c r="G24" s="8"/>
    </row>
    <row r="25" spans="1:7" s="6" customFormat="1" ht="18.75" x14ac:dyDescent="0.3">
      <c r="A25" s="24"/>
      <c r="B25" s="26"/>
      <c r="D25" s="21"/>
      <c r="E25" s="25"/>
      <c r="F25" s="8"/>
      <c r="G25" s="8"/>
    </row>
    <row r="26" spans="1:7" s="6" customFormat="1" ht="18.75" x14ac:dyDescent="0.3">
      <c r="A26" s="24"/>
      <c r="D26" s="21"/>
      <c r="E26" s="25"/>
      <c r="F26" s="8"/>
      <c r="G26" s="8"/>
    </row>
    <row r="27" spans="1:7" s="6" customFormat="1" ht="18.75" x14ac:dyDescent="0.3">
      <c r="A27" s="24"/>
      <c r="D27" s="21"/>
      <c r="E27" s="25"/>
      <c r="F27" s="8"/>
      <c r="G27" s="8"/>
    </row>
    <row r="28" spans="1:7" s="6" customFormat="1" ht="18.75" x14ac:dyDescent="0.3">
      <c r="A28" s="24"/>
      <c r="D28" s="21"/>
      <c r="E28" s="25"/>
      <c r="F28" s="8"/>
      <c r="G28" s="8"/>
    </row>
    <row r="29" spans="1:7" s="6" customFormat="1" ht="18.75" x14ac:dyDescent="0.3">
      <c r="A29" s="24"/>
      <c r="D29" s="21"/>
      <c r="E29" s="25"/>
      <c r="F29" s="8"/>
      <c r="G29" s="8"/>
    </row>
    <row r="30" spans="1:7" s="6" customFormat="1" ht="18.75" x14ac:dyDescent="0.3">
      <c r="A30" s="24"/>
      <c r="D30" s="21"/>
      <c r="E30" s="25"/>
      <c r="F30" s="8"/>
      <c r="G30" s="8"/>
    </row>
    <row r="31" spans="1:7" s="6" customFormat="1" ht="18.75" x14ac:dyDescent="0.3">
      <c r="A31" s="24"/>
      <c r="D31" s="21"/>
      <c r="E31" s="25"/>
      <c r="F31" s="8"/>
      <c r="G31" s="8"/>
    </row>
    <row r="32" spans="1:7" s="6" customFormat="1" ht="18.75" x14ac:dyDescent="0.3">
      <c r="A32" s="24"/>
      <c r="D32" s="21"/>
      <c r="E32" s="25"/>
      <c r="F32" s="8"/>
      <c r="G32" s="8"/>
    </row>
    <row r="33" spans="1:7" s="6" customFormat="1" ht="18.75" x14ac:dyDescent="0.3">
      <c r="A33" s="24"/>
      <c r="D33" s="21"/>
      <c r="E33" s="25"/>
      <c r="F33" s="8"/>
      <c r="G33" s="8"/>
    </row>
    <row r="34" spans="1:7" s="6" customFormat="1" ht="18.75" x14ac:dyDescent="0.3">
      <c r="A34" s="24"/>
      <c r="D34" s="21"/>
      <c r="E34" s="25"/>
      <c r="F34" s="8"/>
      <c r="G34" s="8"/>
    </row>
    <row r="35" spans="1:7" s="6" customFormat="1" ht="18.75" x14ac:dyDescent="0.3">
      <c r="A35" s="24"/>
      <c r="D35" s="21"/>
      <c r="E35" s="25"/>
      <c r="F35" s="8"/>
      <c r="G35" s="8"/>
    </row>
    <row r="36" spans="1:7" s="6" customFormat="1" ht="18.75" x14ac:dyDescent="0.3">
      <c r="A36" s="24"/>
      <c r="D36" s="21"/>
      <c r="E36" s="25"/>
      <c r="F36" s="8"/>
      <c r="G36" s="8"/>
    </row>
    <row r="37" spans="1:7" s="6" customFormat="1" ht="18.75" x14ac:dyDescent="0.3">
      <c r="A37" s="24"/>
      <c r="D37" s="21"/>
      <c r="E37" s="25"/>
      <c r="F37" s="8"/>
      <c r="G37" s="8"/>
    </row>
    <row r="38" spans="1:7" s="6" customFormat="1" ht="18.75" x14ac:dyDescent="0.3">
      <c r="A38" s="24"/>
      <c r="D38" s="21"/>
      <c r="E38" s="25"/>
      <c r="F38" s="8"/>
      <c r="G38" s="8"/>
    </row>
    <row r="39" spans="1:7" s="6" customFormat="1" ht="18.75" x14ac:dyDescent="0.3">
      <c r="A39" s="24"/>
      <c r="D39" s="21"/>
      <c r="E39" s="25"/>
      <c r="F39" s="8"/>
      <c r="G39" s="8"/>
    </row>
    <row r="40" spans="1:7" s="6" customFormat="1" ht="18.75" x14ac:dyDescent="0.3">
      <c r="A40" s="24"/>
      <c r="B40" s="26"/>
      <c r="D40" s="21"/>
      <c r="E40" s="25"/>
      <c r="F40" s="8"/>
      <c r="G40" s="8"/>
    </row>
    <row r="41" spans="1:7" s="6" customFormat="1" ht="18.75" x14ac:dyDescent="0.3">
      <c r="A41" s="24"/>
      <c r="D41" s="21"/>
      <c r="E41" s="25"/>
      <c r="F41" s="8"/>
      <c r="G41" s="8"/>
    </row>
    <row r="42" spans="1:7" s="6" customFormat="1" ht="18.75" x14ac:dyDescent="0.3">
      <c r="A42" s="24"/>
      <c r="D42" s="21"/>
      <c r="E42" s="25"/>
      <c r="F42" s="8"/>
      <c r="G42" s="8"/>
    </row>
    <row r="43" spans="1:7" s="6" customFormat="1" ht="18.75" x14ac:dyDescent="0.3">
      <c r="A43" s="24"/>
      <c r="D43" s="21"/>
      <c r="E43" s="25"/>
      <c r="F43" s="8"/>
      <c r="G43" s="8"/>
    </row>
    <row r="44" spans="1:7" s="6" customFormat="1" ht="18.75" x14ac:dyDescent="0.3">
      <c r="A44" s="24"/>
      <c r="D44" s="21"/>
      <c r="E44" s="25"/>
      <c r="F44" s="8"/>
      <c r="G44" s="8"/>
    </row>
    <row r="45" spans="1:7" s="6" customFormat="1" ht="18.75" x14ac:dyDescent="0.3">
      <c r="A45" s="24"/>
      <c r="D45" s="21"/>
      <c r="E45" s="25"/>
      <c r="F45" s="8"/>
      <c r="G45" s="8"/>
    </row>
    <row r="46" spans="1:7" s="6" customFormat="1" ht="18.75" x14ac:dyDescent="0.3">
      <c r="A46" s="24"/>
      <c r="D46" s="21"/>
      <c r="E46" s="25"/>
      <c r="F46" s="8"/>
      <c r="G46" s="8"/>
    </row>
    <row r="47" spans="1:7" s="6" customFormat="1" ht="18.75" x14ac:dyDescent="0.3">
      <c r="A47" s="24"/>
      <c r="D47" s="21"/>
      <c r="E47" s="25"/>
      <c r="F47" s="8"/>
      <c r="G47" s="8"/>
    </row>
    <row r="48" spans="1:7" s="6" customFormat="1" ht="18.75" x14ac:dyDescent="0.3">
      <c r="A48" s="24"/>
      <c r="D48" s="21"/>
      <c r="E48" s="25"/>
      <c r="F48" s="8"/>
      <c r="G48" s="8"/>
    </row>
    <row r="49" spans="1:7" s="6" customFormat="1" ht="18.75" x14ac:dyDescent="0.3">
      <c r="A49" s="24"/>
      <c r="D49" s="21"/>
      <c r="E49" s="25"/>
      <c r="F49" s="8"/>
      <c r="G49" s="8"/>
    </row>
    <row r="50" spans="1:7" s="6" customFormat="1" ht="18.75" x14ac:dyDescent="0.3">
      <c r="A50" s="24"/>
      <c r="D50" s="21"/>
      <c r="E50" s="25"/>
      <c r="F50" s="8"/>
      <c r="G50" s="8"/>
    </row>
    <row r="51" spans="1:7" s="6" customFormat="1" ht="18.75" x14ac:dyDescent="0.3">
      <c r="A51" s="24"/>
      <c r="D51" s="21"/>
      <c r="E51" s="25"/>
      <c r="F51" s="8"/>
      <c r="G51" s="8"/>
    </row>
    <row r="52" spans="1:7" s="6" customFormat="1" ht="18.75" x14ac:dyDescent="0.3">
      <c r="A52" s="24"/>
      <c r="D52" s="21"/>
      <c r="E52" s="25"/>
      <c r="F52" s="8"/>
      <c r="G52" s="8"/>
    </row>
    <row r="53" spans="1:7" s="6" customFormat="1" ht="18.75" x14ac:dyDescent="0.3">
      <c r="A53" s="24"/>
      <c r="D53" s="21"/>
      <c r="E53" s="25"/>
      <c r="F53" s="8"/>
      <c r="G53" s="8"/>
    </row>
    <row r="54" spans="1:7" s="6" customFormat="1" ht="18.75" x14ac:dyDescent="0.3">
      <c r="A54" s="24"/>
      <c r="D54" s="21"/>
      <c r="E54" s="25"/>
      <c r="F54" s="8"/>
      <c r="G54" s="8"/>
    </row>
    <row r="55" spans="1:7" s="6" customFormat="1" ht="18.75" x14ac:dyDescent="0.3">
      <c r="A55" s="24"/>
      <c r="B55" s="26"/>
      <c r="D55" s="21"/>
      <c r="E55" s="25"/>
      <c r="F55" s="8"/>
      <c r="G55" s="8"/>
    </row>
    <row r="56" spans="1:7" s="6" customFormat="1" ht="18.75" x14ac:dyDescent="0.3">
      <c r="A56" s="24"/>
      <c r="D56" s="21"/>
      <c r="E56" s="25"/>
      <c r="F56" s="8"/>
      <c r="G56" s="8"/>
    </row>
    <row r="57" spans="1:7" s="6" customFormat="1" ht="18.75" x14ac:dyDescent="0.3">
      <c r="A57" s="24"/>
      <c r="D57" s="21"/>
      <c r="E57" s="25"/>
      <c r="F57" s="8"/>
      <c r="G57" s="8"/>
    </row>
    <row r="58" spans="1:7" s="6" customFormat="1" ht="18.75" x14ac:dyDescent="0.3">
      <c r="A58" s="24"/>
      <c r="D58" s="21"/>
      <c r="E58" s="25"/>
      <c r="F58" s="8"/>
      <c r="G58" s="8"/>
    </row>
    <row r="59" spans="1:7" s="6" customFormat="1" ht="18.75" x14ac:dyDescent="0.3">
      <c r="A59" s="24"/>
      <c r="D59" s="21"/>
      <c r="E59" s="25"/>
      <c r="F59" s="8"/>
      <c r="G59" s="8"/>
    </row>
    <row r="60" spans="1:7" s="6" customFormat="1" ht="18.75" x14ac:dyDescent="0.3">
      <c r="A60" s="24"/>
      <c r="D60" s="21"/>
      <c r="E60" s="25"/>
      <c r="F60" s="8"/>
      <c r="G60" s="8"/>
    </row>
    <row r="61" spans="1:7" s="6" customFormat="1" ht="18.75" x14ac:dyDescent="0.3">
      <c r="A61" s="24"/>
      <c r="D61" s="21"/>
      <c r="E61" s="25"/>
      <c r="F61" s="8"/>
      <c r="G61" s="8"/>
    </row>
    <row r="62" spans="1:7" s="6" customFormat="1" ht="18.75" x14ac:dyDescent="0.3">
      <c r="A62" s="24"/>
      <c r="D62" s="21"/>
      <c r="E62" s="25"/>
      <c r="F62" s="8"/>
      <c r="G62" s="8"/>
    </row>
    <row r="63" spans="1:7" s="6" customFormat="1" ht="18.75" x14ac:dyDescent="0.3">
      <c r="A63" s="24"/>
      <c r="D63" s="21"/>
      <c r="E63" s="25"/>
      <c r="F63" s="8"/>
      <c r="G63" s="8"/>
    </row>
    <row r="64" spans="1:7" s="6" customFormat="1" ht="18.75" x14ac:dyDescent="0.3">
      <c r="A64" s="24"/>
      <c r="D64" s="21"/>
      <c r="E64" s="25"/>
      <c r="F64" s="8"/>
      <c r="G64" s="8"/>
    </row>
    <row r="65" spans="1:7" s="6" customFormat="1" ht="18.75" x14ac:dyDescent="0.3">
      <c r="A65" s="24"/>
      <c r="D65" s="21"/>
      <c r="E65" s="25"/>
      <c r="F65" s="8"/>
      <c r="G65" s="8"/>
    </row>
    <row r="66" spans="1:7" s="6" customFormat="1" ht="18.75" x14ac:dyDescent="0.3">
      <c r="A66" s="24"/>
      <c r="D66" s="21"/>
      <c r="E66" s="25"/>
      <c r="F66" s="8"/>
      <c r="G66" s="8"/>
    </row>
    <row r="67" spans="1:7" s="6" customFormat="1" ht="18.75" x14ac:dyDescent="0.3">
      <c r="A67" s="24"/>
      <c r="D67" s="21"/>
      <c r="E67" s="25"/>
      <c r="F67" s="8"/>
      <c r="G67" s="8"/>
    </row>
    <row r="68" spans="1:7" s="6" customFormat="1" ht="18.75" x14ac:dyDescent="0.3">
      <c r="A68" s="24"/>
      <c r="D68" s="21"/>
      <c r="E68" s="25"/>
      <c r="F68" s="8"/>
      <c r="G68" s="8"/>
    </row>
    <row r="69" spans="1:7" s="6" customFormat="1" ht="18.75" x14ac:dyDescent="0.3">
      <c r="A69" s="24"/>
      <c r="D69" s="21"/>
      <c r="E69" s="25"/>
      <c r="F69" s="8"/>
      <c r="G69" s="8"/>
    </row>
    <row r="70" spans="1:7" s="6" customFormat="1" ht="18.75" x14ac:dyDescent="0.3">
      <c r="A70" s="24"/>
      <c r="D70" s="21"/>
      <c r="E70" s="25"/>
      <c r="F70" s="8"/>
      <c r="G70" s="8"/>
    </row>
    <row r="71" spans="1:7" s="6" customFormat="1" ht="18.75" x14ac:dyDescent="0.3">
      <c r="A71" s="24"/>
      <c r="D71" s="21"/>
      <c r="E71" s="25"/>
      <c r="F71" s="8"/>
      <c r="G71" s="8"/>
    </row>
    <row r="72" spans="1:7" s="6" customFormat="1" ht="18.75" x14ac:dyDescent="0.3">
      <c r="A72" s="24"/>
      <c r="D72" s="21"/>
      <c r="E72" s="25"/>
      <c r="F72" s="8"/>
      <c r="G72" s="8"/>
    </row>
    <row r="73" spans="1:7" s="6" customFormat="1" ht="18.75" x14ac:dyDescent="0.3">
      <c r="A73" s="24"/>
      <c r="D73" s="21"/>
      <c r="E73" s="25"/>
      <c r="F73" s="8"/>
      <c r="G73" s="8"/>
    </row>
    <row r="74" spans="1:7" s="6" customFormat="1" ht="18.75" x14ac:dyDescent="0.3">
      <c r="A74" s="24"/>
      <c r="D74" s="21"/>
      <c r="E74" s="25"/>
      <c r="F74" s="8"/>
      <c r="G74" s="8"/>
    </row>
    <row r="75" spans="1:7" s="6" customFormat="1" ht="18.75" x14ac:dyDescent="0.3">
      <c r="A75" s="24"/>
      <c r="D75" s="21"/>
      <c r="E75" s="25"/>
      <c r="F75" s="8"/>
      <c r="G75" s="8"/>
    </row>
    <row r="76" spans="1:7" s="6" customFormat="1" ht="18.75" x14ac:dyDescent="0.3">
      <c r="A76" s="24"/>
      <c r="D76" s="21"/>
      <c r="E76" s="25"/>
      <c r="F76" s="8"/>
      <c r="G76" s="8"/>
    </row>
    <row r="77" spans="1:7" s="6" customFormat="1" ht="18.75" x14ac:dyDescent="0.3">
      <c r="A77" s="24"/>
      <c r="D77" s="21"/>
      <c r="E77" s="25"/>
      <c r="F77" s="8"/>
      <c r="G77" s="8"/>
    </row>
    <row r="78" spans="1:7" s="6" customFormat="1" ht="18.75" x14ac:dyDescent="0.3">
      <c r="A78" s="24"/>
      <c r="D78" s="21"/>
      <c r="E78" s="25"/>
      <c r="F78" s="8"/>
      <c r="G78" s="8"/>
    </row>
    <row r="79" spans="1:7" s="6" customFormat="1" ht="18.75" x14ac:dyDescent="0.3">
      <c r="A79" s="24"/>
      <c r="D79" s="21"/>
      <c r="E79" s="25"/>
      <c r="F79" s="8"/>
      <c r="G79" s="8"/>
    </row>
    <row r="80" spans="1:7" s="6" customFormat="1" ht="18.75" x14ac:dyDescent="0.3">
      <c r="A80" s="24"/>
      <c r="D80" s="21"/>
      <c r="E80" s="25"/>
      <c r="F80" s="8"/>
      <c r="G80" s="8"/>
    </row>
    <row r="81" spans="1:7" s="6" customFormat="1" ht="18.75" x14ac:dyDescent="0.3">
      <c r="D81" s="21"/>
      <c r="E81" s="25"/>
      <c r="F81" s="8"/>
      <c r="G81" s="8"/>
    </row>
    <row r="82" spans="1:7" s="6" customFormat="1" ht="18.75" x14ac:dyDescent="0.3">
      <c r="A82" s="24"/>
      <c r="D82" s="21"/>
      <c r="E82" s="25"/>
      <c r="F82" s="8"/>
      <c r="G82" s="8"/>
    </row>
    <row r="83" spans="1:7" s="6" customFormat="1" ht="18.75" x14ac:dyDescent="0.3">
      <c r="A83" s="24"/>
      <c r="D83" s="21"/>
      <c r="E83" s="25"/>
      <c r="F83" s="8"/>
      <c r="G83" s="8"/>
    </row>
    <row r="84" spans="1:7" s="6" customFormat="1" ht="18.75" x14ac:dyDescent="0.3">
      <c r="A84" s="24"/>
      <c r="D84" s="21"/>
      <c r="E84" s="25"/>
      <c r="F84" s="8"/>
      <c r="G84" s="8"/>
    </row>
    <row r="85" spans="1:7" s="6" customFormat="1" ht="18.75" x14ac:dyDescent="0.3">
      <c r="A85" s="24"/>
      <c r="D85" s="21"/>
      <c r="E85" s="25"/>
      <c r="F85" s="8"/>
      <c r="G85" s="8"/>
    </row>
    <row r="86" spans="1:7" s="6" customFormat="1" ht="18.75" x14ac:dyDescent="0.3">
      <c r="A86" s="24"/>
      <c r="D86" s="21"/>
      <c r="E86" s="25"/>
      <c r="F86" s="8"/>
      <c r="G86" s="8"/>
    </row>
    <row r="87" spans="1:7" s="6" customFormat="1" ht="18.75" x14ac:dyDescent="0.3">
      <c r="A87" s="24"/>
      <c r="D87" s="21"/>
      <c r="E87" s="25"/>
      <c r="F87" s="8"/>
      <c r="G87" s="8"/>
    </row>
    <row r="88" spans="1:7" s="6" customFormat="1" ht="18.75" x14ac:dyDescent="0.3">
      <c r="A88" s="24"/>
      <c r="D88" s="21"/>
      <c r="E88" s="25"/>
      <c r="F88" s="8"/>
      <c r="G88" s="8"/>
    </row>
    <row r="89" spans="1:7" s="6" customFormat="1" ht="18.75" x14ac:dyDescent="0.3">
      <c r="A89" s="24"/>
      <c r="D89" s="21"/>
      <c r="E89" s="25"/>
      <c r="F89" s="8"/>
      <c r="G89" s="8"/>
    </row>
    <row r="90" spans="1:7" s="6" customFormat="1" ht="18.75" x14ac:dyDescent="0.3">
      <c r="A90" s="24"/>
      <c r="D90" s="21"/>
      <c r="E90" s="25"/>
      <c r="F90" s="8"/>
      <c r="G90" s="8"/>
    </row>
    <row r="91" spans="1:7" s="6" customFormat="1" ht="18.75" x14ac:dyDescent="0.3">
      <c r="A91" s="24"/>
      <c r="D91" s="21"/>
      <c r="E91" s="25"/>
      <c r="F91" s="8"/>
      <c r="G91" s="8"/>
    </row>
    <row r="92" spans="1:7" s="6" customFormat="1" ht="18.75" x14ac:dyDescent="0.3">
      <c r="A92" s="24"/>
      <c r="D92" s="21"/>
      <c r="E92" s="25"/>
      <c r="F92" s="8"/>
      <c r="G92" s="8"/>
    </row>
    <row r="93" spans="1:7" s="6" customFormat="1" ht="18.75" x14ac:dyDescent="0.3">
      <c r="A93" s="24"/>
      <c r="D93" s="21"/>
      <c r="E93" s="25"/>
      <c r="F93" s="8"/>
      <c r="G93" s="8"/>
    </row>
    <row r="94" spans="1:7" s="6" customFormat="1" ht="18.75" x14ac:dyDescent="0.3">
      <c r="A94" s="24"/>
      <c r="D94" s="21"/>
      <c r="E94" s="25"/>
      <c r="F94" s="8"/>
      <c r="G94" s="8"/>
    </row>
    <row r="95" spans="1:7" s="6" customFormat="1" ht="18.75" x14ac:dyDescent="0.3">
      <c r="A95" s="24"/>
      <c r="D95" s="21"/>
      <c r="E95" s="25"/>
      <c r="F95" s="8"/>
      <c r="G95" s="8"/>
    </row>
    <row r="96" spans="1:7" s="6" customFormat="1" ht="18.75" x14ac:dyDescent="0.3">
      <c r="A96" s="24"/>
      <c r="D96" s="21"/>
      <c r="E96" s="25"/>
      <c r="F96" s="8"/>
      <c r="G96" s="8"/>
    </row>
    <row r="97" spans="1:7" s="6" customFormat="1" ht="18.75" x14ac:dyDescent="0.3">
      <c r="A97" s="24"/>
      <c r="D97" s="21"/>
      <c r="E97" s="25"/>
      <c r="F97" s="8"/>
      <c r="G97" s="8"/>
    </row>
    <row r="98" spans="1:7" s="6" customFormat="1" ht="18.75" x14ac:dyDescent="0.3">
      <c r="A98" s="24"/>
      <c r="D98" s="21"/>
      <c r="E98" s="25"/>
      <c r="F98" s="8"/>
      <c r="G98" s="8"/>
    </row>
    <row r="99" spans="1:7" s="6" customFormat="1" ht="18.75" x14ac:dyDescent="0.3">
      <c r="A99" s="24"/>
      <c r="D99" s="21"/>
      <c r="E99" s="25"/>
      <c r="F99" s="8"/>
      <c r="G99" s="8"/>
    </row>
    <row r="100" spans="1:7" s="6" customFormat="1" ht="18.75" x14ac:dyDescent="0.3">
      <c r="A100" s="24"/>
      <c r="D100" s="21"/>
      <c r="E100" s="25"/>
      <c r="F100" s="8"/>
      <c r="G100" s="8"/>
    </row>
    <row r="101" spans="1:7" s="6" customFormat="1" ht="18.75" x14ac:dyDescent="0.3">
      <c r="A101" s="24"/>
      <c r="D101" s="21"/>
      <c r="E101" s="25"/>
      <c r="F101" s="8"/>
      <c r="G101" s="8"/>
    </row>
    <row r="102" spans="1:7" s="6" customFormat="1" ht="18.75" x14ac:dyDescent="0.3">
      <c r="A102" s="24"/>
      <c r="D102" s="21"/>
      <c r="E102" s="25"/>
      <c r="F102" s="8"/>
      <c r="G102" s="8"/>
    </row>
    <row r="103" spans="1:7" s="6" customFormat="1" ht="18.75" x14ac:dyDescent="0.3">
      <c r="A103" s="24"/>
      <c r="D103" s="21"/>
      <c r="E103" s="25"/>
      <c r="F103" s="8"/>
      <c r="G103" s="8"/>
    </row>
    <row r="104" spans="1:7" s="6" customFormat="1" ht="18.75" x14ac:dyDescent="0.3">
      <c r="A104" s="24"/>
      <c r="D104" s="21"/>
      <c r="E104" s="25"/>
      <c r="F104" s="8"/>
      <c r="G104" s="8"/>
    </row>
    <row r="105" spans="1:7" s="6" customFormat="1" ht="18.75" x14ac:dyDescent="0.3">
      <c r="A105" s="24"/>
      <c r="D105" s="21"/>
      <c r="E105" s="25"/>
      <c r="F105" s="8"/>
      <c r="G105" s="8"/>
    </row>
    <row r="106" spans="1:7" s="6" customFormat="1" ht="18.75" x14ac:dyDescent="0.3">
      <c r="A106" s="24"/>
      <c r="D106" s="21"/>
      <c r="E106" s="25"/>
      <c r="F106" s="8"/>
      <c r="G106" s="8"/>
    </row>
    <row r="107" spans="1:7" s="6" customFormat="1" ht="18.75" x14ac:dyDescent="0.3">
      <c r="A107" s="24"/>
      <c r="D107" s="21"/>
      <c r="E107" s="25"/>
      <c r="F107" s="8"/>
      <c r="G107" s="8"/>
    </row>
    <row r="108" spans="1:7" s="6" customFormat="1" ht="18.75" x14ac:dyDescent="0.3">
      <c r="A108" s="24"/>
      <c r="D108" s="21"/>
      <c r="E108" s="25"/>
      <c r="F108" s="8"/>
      <c r="G108" s="8"/>
    </row>
    <row r="109" spans="1:7" s="6" customFormat="1" ht="18.75" x14ac:dyDescent="0.3">
      <c r="A109" s="24"/>
      <c r="D109" s="21"/>
      <c r="E109" s="25"/>
      <c r="F109" s="8"/>
      <c r="G109" s="8"/>
    </row>
    <row r="110" spans="1:7" s="6" customFormat="1" ht="18.75" x14ac:dyDescent="0.3">
      <c r="A110" s="24"/>
      <c r="D110" s="21"/>
      <c r="E110" s="25"/>
      <c r="F110" s="8"/>
      <c r="G110" s="8"/>
    </row>
    <row r="111" spans="1:7" s="6" customFormat="1" ht="18.75" x14ac:dyDescent="0.3">
      <c r="A111" s="24"/>
      <c r="D111" s="21"/>
      <c r="E111" s="25"/>
      <c r="F111" s="8"/>
      <c r="G111" s="8"/>
    </row>
    <row r="112" spans="1:7" s="6" customFormat="1" ht="18.75" x14ac:dyDescent="0.3">
      <c r="A112" s="24"/>
      <c r="D112" s="21"/>
      <c r="E112" s="25"/>
      <c r="F112" s="8"/>
      <c r="G112" s="8"/>
    </row>
    <row r="113" spans="1:7" s="6" customFormat="1" ht="18.75" x14ac:dyDescent="0.3">
      <c r="A113" s="24"/>
      <c r="D113" s="21"/>
      <c r="E113" s="25"/>
      <c r="F113" s="8"/>
      <c r="G113" s="8"/>
    </row>
    <row r="114" spans="1:7" s="6" customFormat="1" ht="18.75" x14ac:dyDescent="0.3">
      <c r="A114" s="24"/>
      <c r="D114" s="21"/>
      <c r="E114" s="25"/>
      <c r="F114" s="8"/>
      <c r="G114" s="8"/>
    </row>
    <row r="115" spans="1:7" s="6" customFormat="1" ht="18.75" x14ac:dyDescent="0.3">
      <c r="A115" s="24"/>
      <c r="D115" s="21"/>
      <c r="E115" s="25"/>
      <c r="F115" s="8"/>
      <c r="G115" s="8"/>
    </row>
    <row r="116" spans="1:7" s="6" customFormat="1" ht="18.75" x14ac:dyDescent="0.3">
      <c r="A116" s="24"/>
      <c r="D116" s="21"/>
      <c r="E116" s="25"/>
      <c r="F116" s="8"/>
      <c r="G116" s="8"/>
    </row>
    <row r="117" spans="1:7" s="6" customFormat="1" ht="18.75" x14ac:dyDescent="0.3">
      <c r="A117" s="24"/>
      <c r="D117" s="21"/>
      <c r="E117" s="25"/>
      <c r="F117" s="8"/>
      <c r="G117" s="8"/>
    </row>
    <row r="118" spans="1:7" s="6" customFormat="1" ht="18.75" x14ac:dyDescent="0.3">
      <c r="A118" s="24"/>
      <c r="D118" s="21"/>
      <c r="E118" s="25"/>
      <c r="F118" s="8"/>
      <c r="G118" s="8"/>
    </row>
    <row r="119" spans="1:7" s="6" customFormat="1" ht="18.75" x14ac:dyDescent="0.3">
      <c r="A119" s="24"/>
      <c r="D119" s="21"/>
      <c r="E119" s="25"/>
      <c r="F119" s="8"/>
      <c r="G119" s="8"/>
    </row>
    <row r="120" spans="1:7" s="6" customFormat="1" ht="18.75" x14ac:dyDescent="0.3">
      <c r="A120" s="24"/>
      <c r="D120" s="21"/>
      <c r="E120" s="25"/>
      <c r="F120" s="8"/>
      <c r="G120" s="8"/>
    </row>
    <row r="121" spans="1:7" s="6" customFormat="1" ht="18.75" x14ac:dyDescent="0.3">
      <c r="A121" s="24"/>
      <c r="D121" s="21"/>
      <c r="E121" s="25"/>
      <c r="F121" s="8"/>
      <c r="G121" s="8"/>
    </row>
    <row r="122" spans="1:7" s="6" customFormat="1" ht="18.75" x14ac:dyDescent="0.3">
      <c r="A122" s="24"/>
      <c r="D122" s="21"/>
      <c r="E122" s="25"/>
      <c r="F122" s="8"/>
      <c r="G122" s="8"/>
    </row>
    <row r="123" spans="1:7" s="6" customFormat="1" ht="18.75" x14ac:dyDescent="0.3">
      <c r="A123" s="24"/>
      <c r="D123" s="21"/>
      <c r="E123" s="25"/>
      <c r="F123" s="8"/>
      <c r="G123" s="8"/>
    </row>
    <row r="124" spans="1:7" s="6" customFormat="1" ht="18.75" x14ac:dyDescent="0.3">
      <c r="A124" s="24"/>
      <c r="D124" s="21"/>
      <c r="E124" s="25"/>
      <c r="F124" s="8"/>
      <c r="G124" s="8"/>
    </row>
    <row r="125" spans="1:7" s="6" customFormat="1" ht="18.75" x14ac:dyDescent="0.3">
      <c r="A125" s="24"/>
      <c r="D125" s="21"/>
      <c r="E125" s="25"/>
      <c r="F125" s="8"/>
      <c r="G125" s="8"/>
    </row>
    <row r="126" spans="1:7" s="6" customFormat="1" ht="18.75" x14ac:dyDescent="0.3">
      <c r="A126" s="24"/>
      <c r="D126" s="21"/>
      <c r="E126" s="25"/>
      <c r="F126" s="8"/>
      <c r="G126" s="8"/>
    </row>
    <row r="127" spans="1:7" s="6" customFormat="1" ht="18.75" x14ac:dyDescent="0.3">
      <c r="A127" s="24"/>
      <c r="D127" s="21"/>
      <c r="E127" s="25"/>
      <c r="F127" s="8"/>
      <c r="G127" s="8"/>
    </row>
    <row r="128" spans="1:7" s="6" customFormat="1" ht="18.75" x14ac:dyDescent="0.3">
      <c r="A128" s="24"/>
      <c r="D128" s="21"/>
      <c r="E128" s="25"/>
      <c r="F128" s="8"/>
      <c r="G128" s="8"/>
    </row>
    <row r="129" spans="1:7" s="6" customFormat="1" ht="18.75" x14ac:dyDescent="0.3">
      <c r="A129" s="24"/>
      <c r="D129" s="21"/>
      <c r="E129" s="25"/>
      <c r="F129" s="8"/>
      <c r="G129" s="8"/>
    </row>
    <row r="130" spans="1:7" s="6" customFormat="1" ht="18.75" x14ac:dyDescent="0.3">
      <c r="A130" s="24"/>
      <c r="D130" s="21"/>
      <c r="E130" s="25"/>
      <c r="F130" s="8"/>
      <c r="G130" s="8"/>
    </row>
    <row r="131" spans="1:7" s="6" customFormat="1" ht="18.75" x14ac:dyDescent="0.3">
      <c r="A131" s="24"/>
      <c r="D131" s="21"/>
      <c r="E131" s="25"/>
      <c r="F131" s="8"/>
      <c r="G131" s="8"/>
    </row>
    <row r="132" spans="1:7" s="6" customFormat="1" ht="18.75" x14ac:dyDescent="0.3">
      <c r="A132" s="24"/>
      <c r="D132" s="21"/>
      <c r="E132" s="25"/>
      <c r="F132" s="8"/>
      <c r="G132" s="8"/>
    </row>
    <row r="133" spans="1:7" s="6" customFormat="1" ht="18.75" x14ac:dyDescent="0.3">
      <c r="A133" s="24"/>
      <c r="D133" s="21"/>
      <c r="E133" s="25"/>
      <c r="F133" s="8"/>
      <c r="G133" s="8"/>
    </row>
    <row r="134" spans="1:7" s="6" customFormat="1" ht="18.75" x14ac:dyDescent="0.3">
      <c r="A134" s="24"/>
      <c r="D134" s="21"/>
      <c r="E134" s="25"/>
      <c r="F134" s="8"/>
      <c r="G134" s="8"/>
    </row>
    <row r="135" spans="1:7" s="6" customFormat="1" ht="18.75" x14ac:dyDescent="0.3">
      <c r="A135" s="24"/>
      <c r="D135" s="21"/>
      <c r="E135" s="25"/>
      <c r="F135" s="8"/>
      <c r="G135" s="8"/>
    </row>
    <row r="136" spans="1:7" s="6" customFormat="1" ht="18.75" x14ac:dyDescent="0.3">
      <c r="A136" s="24"/>
      <c r="D136" s="21"/>
      <c r="E136" s="25"/>
      <c r="F136" s="8"/>
      <c r="G136" s="8"/>
    </row>
    <row r="137" spans="1:7" s="6" customFormat="1" ht="18.75" x14ac:dyDescent="0.3">
      <c r="A137" s="24"/>
      <c r="D137" s="21"/>
      <c r="E137" s="25"/>
      <c r="F137" s="8"/>
      <c r="G137" s="8"/>
    </row>
    <row r="138" spans="1:7" s="6" customFormat="1" ht="18.75" x14ac:dyDescent="0.3">
      <c r="A138" s="24"/>
      <c r="D138" s="21"/>
      <c r="E138" s="25"/>
      <c r="F138" s="8"/>
      <c r="G138" s="8"/>
    </row>
    <row r="139" spans="1:7" s="6" customFormat="1" ht="18.75" x14ac:dyDescent="0.3">
      <c r="A139" s="24"/>
      <c r="D139" s="21"/>
      <c r="E139" s="25"/>
      <c r="F139" s="8"/>
      <c r="G139" s="8"/>
    </row>
    <row r="140" spans="1:7" s="6" customFormat="1" ht="18.75" x14ac:dyDescent="0.3">
      <c r="A140" s="24"/>
      <c r="D140" s="21"/>
      <c r="E140" s="25"/>
      <c r="F140" s="8"/>
      <c r="G140" s="8"/>
    </row>
    <row r="141" spans="1:7" s="6" customFormat="1" ht="18.75" x14ac:dyDescent="0.3">
      <c r="A141" s="24"/>
      <c r="D141" s="21"/>
      <c r="E141" s="25"/>
      <c r="F141" s="8"/>
      <c r="G141" s="8"/>
    </row>
    <row r="142" spans="1:7" s="6" customFormat="1" ht="18.75" x14ac:dyDescent="0.3">
      <c r="A142" s="24"/>
      <c r="D142" s="21"/>
      <c r="E142" s="25"/>
      <c r="F142" s="8"/>
      <c r="G142" s="8"/>
    </row>
    <row r="143" spans="1:7" s="6" customFormat="1" ht="18.75" x14ac:dyDescent="0.3">
      <c r="A143" s="24"/>
      <c r="D143" s="21"/>
      <c r="E143" s="25"/>
      <c r="F143" s="8"/>
      <c r="G143" s="8"/>
    </row>
    <row r="144" spans="1:7" s="6" customFormat="1" ht="18.75" x14ac:dyDescent="0.3">
      <c r="A144" s="24"/>
      <c r="D144" s="21"/>
      <c r="E144" s="25"/>
      <c r="F144" s="8"/>
      <c r="G144" s="8"/>
    </row>
    <row r="145" spans="1:7" s="6" customFormat="1" ht="18.75" x14ac:dyDescent="0.3">
      <c r="A145" s="24"/>
      <c r="D145" s="21"/>
      <c r="E145" s="25"/>
      <c r="F145" s="8"/>
      <c r="G145" s="8"/>
    </row>
    <row r="146" spans="1:7" s="6" customFormat="1" ht="18.75" x14ac:dyDescent="0.3">
      <c r="A146" s="24"/>
      <c r="D146" s="21"/>
      <c r="E146" s="25"/>
      <c r="F146" s="8"/>
      <c r="G146" s="8"/>
    </row>
    <row r="147" spans="1:7" s="6" customFormat="1" ht="18.75" x14ac:dyDescent="0.3">
      <c r="A147" s="24"/>
      <c r="D147" s="21"/>
      <c r="E147" s="25"/>
      <c r="F147" s="8"/>
      <c r="G147" s="8"/>
    </row>
    <row r="148" spans="1:7" s="6" customFormat="1" ht="18.75" x14ac:dyDescent="0.3">
      <c r="A148" s="24"/>
      <c r="D148" s="21"/>
      <c r="E148" s="25"/>
      <c r="F148" s="8"/>
      <c r="G148" s="8"/>
    </row>
    <row r="149" spans="1:7" s="6" customFormat="1" ht="18.75" x14ac:dyDescent="0.3">
      <c r="A149" s="24"/>
      <c r="D149" s="21"/>
      <c r="E149" s="25"/>
      <c r="F149" s="8"/>
      <c r="G149" s="8"/>
    </row>
    <row r="150" spans="1:7" s="6" customFormat="1" ht="18.75" x14ac:dyDescent="0.3">
      <c r="A150" s="24"/>
      <c r="D150" s="21"/>
      <c r="E150" s="25"/>
      <c r="F150" s="8"/>
      <c r="G150" s="8"/>
    </row>
    <row r="151" spans="1:7" s="6" customFormat="1" ht="18.75" x14ac:dyDescent="0.3">
      <c r="A151" s="24"/>
      <c r="D151" s="21"/>
      <c r="E151" s="25"/>
      <c r="F151" s="8"/>
      <c r="G151" s="8"/>
    </row>
    <row r="152" spans="1:7" s="6" customFormat="1" ht="18.75" x14ac:dyDescent="0.3">
      <c r="A152" s="24"/>
      <c r="D152" s="21"/>
      <c r="E152" s="25"/>
      <c r="F152" s="8"/>
      <c r="G152" s="8"/>
    </row>
    <row r="153" spans="1:7" s="6" customFormat="1" ht="18.75" x14ac:dyDescent="0.3">
      <c r="A153" s="24"/>
      <c r="D153" s="21"/>
      <c r="E153" s="25"/>
      <c r="F153" s="8"/>
      <c r="G153" s="8"/>
    </row>
    <row r="154" spans="1:7" s="6" customFormat="1" ht="18.75" x14ac:dyDescent="0.3">
      <c r="A154" s="24"/>
      <c r="D154" s="21"/>
      <c r="E154" s="25"/>
      <c r="F154" s="8"/>
      <c r="G154" s="8"/>
    </row>
    <row r="155" spans="1:7" s="6" customFormat="1" ht="18.75" x14ac:dyDescent="0.3">
      <c r="A155" s="24"/>
      <c r="D155" s="21"/>
      <c r="E155" s="25"/>
      <c r="F155" s="8"/>
      <c r="G155" s="8"/>
    </row>
    <row r="156" spans="1:7" s="6" customFormat="1" ht="18.75" x14ac:dyDescent="0.3">
      <c r="A156" s="24"/>
      <c r="D156" s="21"/>
      <c r="E156" s="25"/>
      <c r="F156" s="8"/>
      <c r="G156" s="8"/>
    </row>
    <row r="157" spans="1:7" s="6" customFormat="1" ht="18.75" x14ac:dyDescent="0.3">
      <c r="A157" s="24"/>
      <c r="D157" s="21"/>
      <c r="E157" s="25"/>
      <c r="F157" s="8"/>
      <c r="G157" s="8"/>
    </row>
    <row r="158" spans="1:7" s="6" customFormat="1" ht="18.75" x14ac:dyDescent="0.3">
      <c r="A158" s="24"/>
      <c r="D158" s="21"/>
      <c r="E158" s="25"/>
      <c r="F158" s="8"/>
      <c r="G158" s="8"/>
    </row>
    <row r="159" spans="1:7" s="6" customFormat="1" ht="18.75" x14ac:dyDescent="0.3">
      <c r="A159" s="24"/>
      <c r="D159" s="21"/>
      <c r="E159" s="25"/>
      <c r="F159" s="8"/>
      <c r="G159" s="8"/>
    </row>
    <row r="160" spans="1:7" s="6" customFormat="1" ht="18.75" x14ac:dyDescent="0.3">
      <c r="A160" s="24"/>
      <c r="D160" s="21"/>
      <c r="E160" s="25"/>
      <c r="F160" s="8"/>
      <c r="G160" s="8"/>
    </row>
    <row r="161" spans="1:7" s="6" customFormat="1" ht="18.75" x14ac:dyDescent="0.3">
      <c r="A161" s="24"/>
      <c r="D161" s="21"/>
      <c r="E161" s="25"/>
      <c r="F161" s="8"/>
      <c r="G161" s="8"/>
    </row>
    <row r="162" spans="1:7" s="6" customFormat="1" ht="18.75" x14ac:dyDescent="0.3">
      <c r="A162" s="24"/>
      <c r="D162" s="21"/>
      <c r="E162" s="25"/>
      <c r="F162" s="8"/>
      <c r="G162" s="8"/>
    </row>
    <row r="163" spans="1:7" s="6" customFormat="1" ht="18.75" x14ac:dyDescent="0.3">
      <c r="A163" s="24"/>
      <c r="D163" s="21"/>
      <c r="E163" s="25"/>
      <c r="F163" s="8"/>
      <c r="G163" s="8"/>
    </row>
    <row r="164" spans="1:7" s="6" customFormat="1" ht="18.75" x14ac:dyDescent="0.3">
      <c r="A164" s="24"/>
      <c r="D164" s="21"/>
      <c r="E164" s="25"/>
      <c r="F164" s="8"/>
      <c r="G164" s="8"/>
    </row>
    <row r="165" spans="1:7" s="6" customFormat="1" ht="18.75" x14ac:dyDescent="0.3">
      <c r="A165" s="24"/>
      <c r="D165" s="21"/>
      <c r="E165" s="25"/>
      <c r="F165" s="8"/>
      <c r="G165" s="8"/>
    </row>
    <row r="166" spans="1:7" s="6" customFormat="1" ht="18.75" x14ac:dyDescent="0.3">
      <c r="A166" s="24"/>
      <c r="D166" s="21"/>
      <c r="E166" s="25"/>
      <c r="F166" s="8"/>
      <c r="G166" s="8"/>
    </row>
    <row r="167" spans="1:7" s="6" customFormat="1" ht="18.75" x14ac:dyDescent="0.3">
      <c r="A167" s="24"/>
      <c r="D167" s="21"/>
      <c r="E167" s="25"/>
      <c r="F167" s="8"/>
      <c r="G167" s="8"/>
    </row>
    <row r="168" spans="1:7" s="6" customFormat="1" ht="18.75" x14ac:dyDescent="0.3">
      <c r="A168" s="24"/>
      <c r="D168" s="21"/>
      <c r="E168" s="25"/>
      <c r="F168" s="8"/>
      <c r="G168" s="8"/>
    </row>
    <row r="169" spans="1:7" s="6" customFormat="1" ht="18.75" x14ac:dyDescent="0.3">
      <c r="A169" s="24"/>
      <c r="D169" s="21"/>
      <c r="E169" s="25"/>
      <c r="F169" s="8"/>
      <c r="G169" s="8"/>
    </row>
    <row r="170" spans="1:7" s="6" customFormat="1" ht="18.75" x14ac:dyDescent="0.3">
      <c r="A170" s="24"/>
      <c r="D170" s="21"/>
      <c r="E170" s="25"/>
      <c r="F170" s="8"/>
      <c r="G170" s="8"/>
    </row>
    <row r="171" spans="1:7" s="6" customFormat="1" ht="18.75" x14ac:dyDescent="0.3">
      <c r="A171" s="24"/>
      <c r="D171" s="21"/>
      <c r="E171" s="25"/>
      <c r="F171" s="8"/>
      <c r="G171" s="8"/>
    </row>
    <row r="172" spans="1:7" s="6" customFormat="1" ht="18.75" x14ac:dyDescent="0.3">
      <c r="A172" s="24"/>
      <c r="D172" s="21"/>
      <c r="E172" s="25"/>
      <c r="F172" s="8"/>
      <c r="G172" s="8"/>
    </row>
    <row r="173" spans="1:7" s="6" customFormat="1" ht="18.75" x14ac:dyDescent="0.3">
      <c r="A173" s="24"/>
      <c r="D173" s="21"/>
      <c r="E173" s="25"/>
      <c r="F173" s="8"/>
      <c r="G173" s="8"/>
    </row>
    <row r="174" spans="1:7" s="6" customFormat="1" ht="18.75" x14ac:dyDescent="0.3">
      <c r="A174" s="24"/>
      <c r="D174" s="21"/>
      <c r="E174" s="25"/>
      <c r="F174" s="8"/>
      <c r="G174" s="8"/>
    </row>
    <row r="175" spans="1:7" s="6" customFormat="1" ht="18.75" x14ac:dyDescent="0.3">
      <c r="A175" s="24"/>
      <c r="D175" s="21"/>
      <c r="E175" s="25"/>
      <c r="F175" s="8"/>
      <c r="G175" s="8"/>
    </row>
    <row r="176" spans="1:7" s="6" customFormat="1" ht="18.75" x14ac:dyDescent="0.3">
      <c r="A176" s="24"/>
      <c r="D176" s="21"/>
      <c r="E176" s="25"/>
      <c r="F176" s="8"/>
      <c r="G176" s="8"/>
    </row>
    <row r="177" spans="1:13" s="6" customFormat="1" ht="18.75" x14ac:dyDescent="0.3">
      <c r="A177" s="24"/>
      <c r="D177" s="21"/>
      <c r="E177" s="25"/>
      <c r="F177" s="8"/>
      <c r="G177" s="8"/>
    </row>
    <row r="178" spans="1:13" s="6" customFormat="1" ht="18.75" x14ac:dyDescent="0.3">
      <c r="A178" s="24"/>
      <c r="D178" s="21"/>
      <c r="E178" s="25"/>
      <c r="F178" s="8"/>
      <c r="G178" s="8"/>
    </row>
    <row r="179" spans="1:13" s="6" customFormat="1" ht="18.75" x14ac:dyDescent="0.3">
      <c r="A179" s="24"/>
      <c r="D179" s="21"/>
      <c r="E179" s="25"/>
      <c r="F179" s="8"/>
      <c r="G179" s="8"/>
    </row>
    <row r="180" spans="1:13" s="6" customFormat="1" ht="18.75" x14ac:dyDescent="0.3">
      <c r="A180" s="24"/>
      <c r="D180" s="21"/>
      <c r="E180" s="25"/>
      <c r="F180" s="8"/>
      <c r="G180" s="8"/>
    </row>
    <row r="181" spans="1:13" s="6" customFormat="1" ht="18.75" x14ac:dyDescent="0.3">
      <c r="A181" s="24"/>
      <c r="D181" s="21"/>
      <c r="E181" s="25"/>
      <c r="F181" s="8"/>
      <c r="G181" s="8"/>
    </row>
    <row r="182" spans="1:13" s="6" customFormat="1" ht="18.75" x14ac:dyDescent="0.3">
      <c r="A182" s="24"/>
      <c r="D182" s="21"/>
      <c r="E182" s="25"/>
      <c r="F182" s="8"/>
      <c r="G182" s="8"/>
    </row>
    <row r="183" spans="1:13" s="6" customFormat="1" ht="18.75" x14ac:dyDescent="0.3">
      <c r="A183" s="24"/>
      <c r="D183" s="21"/>
      <c r="E183" s="25"/>
      <c r="F183" s="8"/>
      <c r="G183" s="8"/>
    </row>
    <row r="184" spans="1:13" s="6" customFormat="1" ht="18.75" x14ac:dyDescent="0.3">
      <c r="A184" s="24"/>
      <c r="D184" s="21"/>
      <c r="E184" s="25"/>
      <c r="F184" s="8"/>
      <c r="G184" s="8"/>
    </row>
    <row r="185" spans="1:13" s="6" customFormat="1" ht="18.75" x14ac:dyDescent="0.3">
      <c r="A185" s="24"/>
      <c r="D185" s="21"/>
      <c r="E185" s="25"/>
      <c r="F185" s="8"/>
      <c r="G185" s="8"/>
    </row>
    <row r="186" spans="1:13" s="6" customFormat="1" ht="18.75" x14ac:dyDescent="0.3">
      <c r="A186" s="24"/>
      <c r="D186" s="21"/>
      <c r="E186" s="25"/>
      <c r="F186" s="8"/>
      <c r="G186" s="8"/>
    </row>
    <row r="187" spans="1:13" s="6" customFormat="1" ht="18.75" x14ac:dyDescent="0.3">
      <c r="A187" s="24"/>
      <c r="D187" s="21"/>
      <c r="E187" s="25"/>
      <c r="F187" s="8"/>
      <c r="G187" s="8"/>
    </row>
    <row r="188" spans="1:13" s="6" customFormat="1" ht="18.75" x14ac:dyDescent="0.3">
      <c r="A188" s="24"/>
      <c r="D188" s="21"/>
      <c r="E188" s="25"/>
      <c r="F188" s="8"/>
      <c r="G188" s="8"/>
    </row>
    <row r="189" spans="1:13" s="6" customFormat="1" ht="18.75" x14ac:dyDescent="0.3">
      <c r="A189" s="24"/>
      <c r="D189" s="21"/>
      <c r="E189" s="25"/>
      <c r="F189" s="8"/>
      <c r="G189" s="8"/>
    </row>
    <row r="190" spans="1:13" s="6" customFormat="1" ht="18.75" x14ac:dyDescent="0.3">
      <c r="A190" s="24"/>
      <c r="D190" s="21"/>
      <c r="E190" s="25"/>
      <c r="F190" s="8"/>
      <c r="G190" s="8"/>
    </row>
    <row r="191" spans="1:13" s="20" customFormat="1" ht="18.75" x14ac:dyDescent="0.3">
      <c r="A191" s="24"/>
      <c r="B191" s="6"/>
      <c r="C191" s="6"/>
      <c r="D191" s="21"/>
      <c r="E191" s="25"/>
      <c r="F191" s="8"/>
      <c r="G191" s="8"/>
      <c r="H191" s="6"/>
      <c r="I191" s="6"/>
      <c r="J191" s="6"/>
      <c r="K191" s="6"/>
      <c r="L191" s="6"/>
      <c r="M191" s="6"/>
    </row>
    <row r="192" spans="1:13" s="20" customFormat="1" ht="18.75" x14ac:dyDescent="0.3">
      <c r="A192" s="24"/>
      <c r="B192" s="6"/>
      <c r="C192" s="6"/>
      <c r="D192" s="21"/>
      <c r="E192" s="25"/>
      <c r="F192" s="8"/>
      <c r="G192" s="8"/>
      <c r="H192" s="6"/>
      <c r="I192" s="6"/>
      <c r="J192" s="6"/>
      <c r="K192" s="6"/>
      <c r="L192" s="6"/>
      <c r="M192" s="6"/>
    </row>
    <row r="193" spans="1:13" s="20" customFormat="1" ht="18.75" x14ac:dyDescent="0.3">
      <c r="A193" s="27"/>
      <c r="D193" s="37"/>
      <c r="E193" s="28"/>
      <c r="F193" s="29"/>
      <c r="G193" s="29"/>
    </row>
    <row r="194" spans="1:13" s="20" customFormat="1" ht="18.75" x14ac:dyDescent="0.3">
      <c r="A194" s="27"/>
      <c r="D194" s="37"/>
      <c r="E194" s="28"/>
      <c r="F194" s="29"/>
      <c r="G194" s="29"/>
    </row>
    <row r="195" spans="1:13" s="20" customFormat="1" ht="18.75" x14ac:dyDescent="0.3">
      <c r="A195" s="27"/>
      <c r="D195" s="37"/>
      <c r="E195" s="28"/>
      <c r="F195" s="29"/>
      <c r="G195" s="29"/>
    </row>
    <row r="196" spans="1:13" s="20" customFormat="1" ht="18.75" x14ac:dyDescent="0.3">
      <c r="A196" s="27"/>
      <c r="D196" s="37"/>
      <c r="E196" s="28"/>
      <c r="F196" s="29"/>
      <c r="G196" s="29"/>
    </row>
    <row r="197" spans="1:13" s="20" customFormat="1" ht="18.75" x14ac:dyDescent="0.3">
      <c r="A197" s="27"/>
      <c r="D197" s="37"/>
      <c r="E197" s="28"/>
      <c r="F197" s="29"/>
      <c r="G197" s="29"/>
    </row>
    <row r="198" spans="1:13" s="20" customFormat="1" ht="18.75" x14ac:dyDescent="0.3">
      <c r="A198" s="27"/>
      <c r="D198" s="37"/>
      <c r="E198" s="28"/>
      <c r="F198" s="29"/>
      <c r="G198" s="29"/>
    </row>
    <row r="199" spans="1:13" s="20" customFormat="1" ht="18.75" x14ac:dyDescent="0.3">
      <c r="A199" s="27"/>
      <c r="D199" s="37"/>
      <c r="E199" s="28"/>
      <c r="F199" s="29"/>
      <c r="G199" s="29"/>
    </row>
    <row r="200" spans="1:13" s="20" customFormat="1" ht="18.75" x14ac:dyDescent="0.3">
      <c r="A200" s="27"/>
      <c r="D200" s="37"/>
      <c r="E200" s="28"/>
      <c r="F200" s="29"/>
      <c r="G200" s="29"/>
    </row>
    <row r="201" spans="1:13" s="20" customFormat="1" ht="18.75" x14ac:dyDescent="0.3">
      <c r="A201" s="27"/>
      <c r="D201" s="37"/>
      <c r="E201" s="28"/>
      <c r="F201" s="29"/>
      <c r="G201" s="29"/>
    </row>
    <row r="202" spans="1:13" s="20" customFormat="1" ht="18.75" x14ac:dyDescent="0.3">
      <c r="A202" s="27"/>
      <c r="D202" s="37"/>
      <c r="E202" s="28"/>
      <c r="F202" s="29"/>
      <c r="G202" s="29"/>
    </row>
    <row r="203" spans="1:13" s="20" customFormat="1" ht="18.75" x14ac:dyDescent="0.3">
      <c r="A203" s="27"/>
      <c r="D203" s="37"/>
      <c r="E203" s="28"/>
      <c r="F203" s="29"/>
      <c r="G203" s="29"/>
    </row>
    <row r="204" spans="1:13" s="20" customFormat="1" ht="18.75" x14ac:dyDescent="0.3">
      <c r="A204" s="27"/>
      <c r="D204" s="37"/>
      <c r="E204" s="28"/>
      <c r="F204" s="29"/>
      <c r="G204" s="29"/>
    </row>
    <row r="205" spans="1:13" x14ac:dyDescent="0.5">
      <c r="A205" s="27"/>
      <c r="B205" s="20"/>
      <c r="C205" s="20"/>
      <c r="D205" s="37"/>
      <c r="E205" s="28"/>
      <c r="F205" s="29"/>
      <c r="G205" s="29"/>
      <c r="H205" s="20"/>
      <c r="I205" s="20"/>
      <c r="J205" s="20"/>
      <c r="K205" s="20"/>
      <c r="L205" s="20"/>
      <c r="M205" s="20"/>
    </row>
    <row r="206" spans="1:13" x14ac:dyDescent="0.5">
      <c r="A206" s="27"/>
      <c r="B206" s="20"/>
      <c r="C206" s="20"/>
      <c r="D206" s="37"/>
      <c r="E206" s="28"/>
      <c r="F206" s="29"/>
      <c r="G206" s="29"/>
      <c r="H206" s="20"/>
      <c r="I206" s="20"/>
      <c r="J206" s="20"/>
      <c r="K206" s="20"/>
      <c r="L206" s="20"/>
      <c r="M206" s="20"/>
    </row>
    <row r="207" spans="1:13" x14ac:dyDescent="0.5">
      <c r="E207" s="30"/>
    </row>
    <row r="208" spans="1:13" x14ac:dyDescent="0.5">
      <c r="E208" s="30"/>
    </row>
    <row r="209" spans="5:5" x14ac:dyDescent="0.5">
      <c r="E209" s="30"/>
    </row>
    <row r="210" spans="5:5" x14ac:dyDescent="0.5">
      <c r="E210" s="30"/>
    </row>
    <row r="211" spans="5:5" x14ac:dyDescent="0.5">
      <c r="E211" s="30"/>
    </row>
    <row r="212" spans="5:5" x14ac:dyDescent="0.5">
      <c r="E212" s="30"/>
    </row>
    <row r="213" spans="5:5" x14ac:dyDescent="0.5">
      <c r="E213" s="30"/>
    </row>
    <row r="214" spans="5:5" x14ac:dyDescent="0.5">
      <c r="E214" s="30"/>
    </row>
    <row r="215" spans="5:5" x14ac:dyDescent="0.5">
      <c r="E215" s="30"/>
    </row>
    <row r="216" spans="5:5" x14ac:dyDescent="0.5">
      <c r="E216" s="30"/>
    </row>
    <row r="217" spans="5:5" x14ac:dyDescent="0.5">
      <c r="E217" s="30"/>
    </row>
  </sheetData>
  <mergeCells count="11">
    <mergeCell ref="M4:M5"/>
    <mergeCell ref="A8:D8"/>
    <mergeCell ref="C4:C5"/>
    <mergeCell ref="A1:M1"/>
    <mergeCell ref="A2:M2"/>
    <mergeCell ref="A3:M3"/>
    <mergeCell ref="A4:A5"/>
    <mergeCell ref="B4:B5"/>
    <mergeCell ref="E4:E5"/>
    <mergeCell ref="F4:F5"/>
    <mergeCell ref="G4:L4"/>
  </mergeCells>
  <pageMargins left="0.55118110236220474" right="0.19685039370078741" top="0.74803149606299213" bottom="0.74803149606299213" header="0.31496062992125984" footer="0.31496062992125984"/>
  <pageSetup paperSize="9" orientation="landscape" r:id="rId1"/>
  <headerFooter differentFirst="1" scaleWithDoc="0" alignWithMargins="0">
    <oddHeader>&amp;C&amp;"TH SarabunPSK,ตัวหนา"&amp;14&amp;P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สำนักงาน</vt:lpstr>
      <vt:lpstr>คอมพิวเตอร์</vt:lpstr>
      <vt:lpstr>ต่ำกว่าเกณฑ์</vt:lpstr>
      <vt:lpstr>คอมพิวเตอร์!Print_Titles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Lampangcity003</cp:lastModifiedBy>
  <cp:lastPrinted>2024-10-31T06:32:38Z</cp:lastPrinted>
  <dcterms:created xsi:type="dcterms:W3CDTF">2015-07-09T01:24:36Z</dcterms:created>
  <dcterms:modified xsi:type="dcterms:W3CDTF">2024-12-19T04:20:03Z</dcterms:modified>
</cp:coreProperties>
</file>