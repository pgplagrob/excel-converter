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งานเครื่องเก่า\E\UBONTAI งานต่าง ๆ\ครุภัณฑ์ 2567\"/>
    </mc:Choice>
  </mc:AlternateContent>
  <xr:revisionPtr revIDLastSave="0" documentId="13_ncr:1_{89BFB7AA-2D6D-4C4C-8F41-D9ACA921F9C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สำนักงาน" sheetId="1" r:id="rId1"/>
    <sheet name="คอมพิวเตอร์" sheetId="7" r:id="rId2"/>
    <sheet name="ต่ำกว่าเกณฑ์" sheetId="13" r:id="rId3"/>
  </sheets>
  <definedNames>
    <definedName name="_xlnm._FilterDatabase" localSheetId="0" hidden="1">สำนักงาน!$C$7:$C$10</definedName>
    <definedName name="_xlnm.Print_Area" localSheetId="0">สำนักงาน!$A$1:$M$42</definedName>
    <definedName name="_xlnm.Print_Titles" localSheetId="1">คอมพิวเตอร์!#REF!</definedName>
    <definedName name="_xlnm.Print_Titles" localSheetId="0">สำนักงาน!$3:$5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7" l="1"/>
  <c r="E42" i="1"/>
  <c r="E38" i="1"/>
  <c r="E14" i="1"/>
  <c r="E8" i="13" l="1"/>
</calcChain>
</file>

<file path=xl/sharedStrings.xml><?xml version="1.0" encoding="utf-8"?>
<sst xmlns="http://schemas.openxmlformats.org/spreadsheetml/2006/main" count="262" uniqueCount="154">
  <si>
    <t>ราคาที่ได้มา</t>
  </si>
  <si>
    <t>ลำดับที่</t>
  </si>
  <si>
    <t>รายการ</t>
  </si>
  <si>
    <t>หมายเหตุ</t>
  </si>
  <si>
    <t>20 ก.ย. 2536</t>
  </si>
  <si>
    <t>21 มี.ค. 2545</t>
  </si>
  <si>
    <t>วัน เดือน ปี</t>
  </si>
  <si>
    <t>ที่ได้มา</t>
  </si>
  <si>
    <t>โต๊ะวางเครื่องพิมพ์ดีด</t>
  </si>
  <si>
    <t>29 ม.ค. 2542</t>
  </si>
  <si>
    <t>400-47-5374</t>
  </si>
  <si>
    <t>400-48-5465</t>
  </si>
  <si>
    <t>ตู้เหล็กเก็บเอกสาร 4 ลิ้นชัก</t>
  </si>
  <si>
    <t>406-39-0786</t>
  </si>
  <si>
    <t>406-41-0940</t>
  </si>
  <si>
    <t>ตู้เหล็กเก็บเอกสาร ชนิด 2 บาน จำนวน 1 ตู้</t>
  </si>
  <si>
    <t>406-41-0941</t>
  </si>
  <si>
    <t>406-42-0957</t>
  </si>
  <si>
    <t>มีกุญแจล็อค  พร้อมฐานรอง จำนวน 1 ชุด</t>
  </si>
  <si>
    <t>406-42-0958</t>
  </si>
  <si>
    <t>406-42-0961</t>
  </si>
  <si>
    <t>406-42-0962</t>
  </si>
  <si>
    <t>406-45-1034</t>
  </si>
  <si>
    <t>414-47-0114</t>
  </si>
  <si>
    <t xml:space="preserve">เครื่องคอมพิวเตอร์สำหรับงานประมวลผล แบบที่ 1 </t>
  </si>
  <si>
    <t>416-59-0855</t>
  </si>
  <si>
    <t>416-59-0856</t>
  </si>
  <si>
    <t>เครื่องพิมพ์แบบฉีดหมึก (INKJET Printer)</t>
  </si>
  <si>
    <t>416-59-0889</t>
  </si>
  <si>
    <t>โทรศัพท์สำนักงาน</t>
  </si>
  <si>
    <t>423-58-0024 (ต)</t>
  </si>
  <si>
    <t xml:space="preserve">ตู้เหล็กเก็บเอกสาร ชนิดบานเลื่อนทึบ </t>
  </si>
  <si>
    <t xml:space="preserve">ตู้เหล็กเก็บเอกสาร ชนิดบานเลื่อนกระจก </t>
  </si>
  <si>
    <t>รหัสครุภัณฑ์</t>
  </si>
  <si>
    <t>รวม</t>
  </si>
  <si>
    <t>2 มี.ค. 2547</t>
  </si>
  <si>
    <t>1 ก.ย. 2548</t>
  </si>
  <si>
    <t xml:space="preserve">โต๊ะทำงาน </t>
  </si>
  <si>
    <t>โต๊ะวางเครื่องคอมพิวเตอร์และ</t>
  </si>
  <si>
    <t xml:space="preserve">วางเครื่องปริ้นเตอร์ ขนาด 120x60x72 นิ้ว </t>
  </si>
  <si>
    <t xml:space="preserve">พร้อมเก้าอี้ หน้าโต๊ะทำด้วย Particle เคลือบเมลามิน </t>
  </si>
  <si>
    <t>โต๊ะ (400)</t>
  </si>
  <si>
    <t>22 ก.พ. 2539</t>
  </si>
  <si>
    <t>14 ก.ย. 2541</t>
  </si>
  <si>
    <t>29 ม.ค.2542</t>
  </si>
  <si>
    <t>14 มิ.ย. 2542</t>
  </si>
  <si>
    <t xml:space="preserve">ขนาดแคร่ยาว 19.25 นิ้ว </t>
  </si>
  <si>
    <t xml:space="preserve">เครื่องพิมพ์ดีดแบบธรรมดา ยี่ห้อมอร์แกน </t>
  </si>
  <si>
    <t>เครื่องพิมพ์ดีด (414)</t>
  </si>
  <si>
    <t>แผ่นชั้นสามารถปรับระดับสูงต่ำได้</t>
  </si>
  <si>
    <t xml:space="preserve">ตู้เหล็กเก็บเอกสาร ชนิดบานเลื่อนทึบ  </t>
  </si>
  <si>
    <t xml:space="preserve">ตู้เหล็กเก็บเอกสาร แบบบานเลื่อนทึบ  </t>
  </si>
  <si>
    <t xml:space="preserve">ตู้เหล็กเก็บเอกสาร แบบบานเลื่อนทึบ </t>
  </si>
  <si>
    <t xml:space="preserve">ตู้เหล็กเก็บเอกสาร แบบบานเลื่อนกระจก </t>
  </si>
  <si>
    <t>โทรศัพท์ (423)</t>
  </si>
  <si>
    <t>ตู้ (406)</t>
  </si>
  <si>
    <t>23 พ.ค. 2559</t>
  </si>
  <si>
    <t xml:space="preserve">ขนาดประมาณ 40x175x57 ซม. แผ่นชั้นสามารถ </t>
  </si>
  <si>
    <t xml:space="preserve">ปรับระดับสูงต่ำได้ มีกุญแจล็อค พร้อมฐานรอง </t>
  </si>
  <si>
    <t>ขนาดประมาณ 40x175x57 ซม. แผ่นชั้นสามารถปรับ</t>
  </si>
  <si>
    <t xml:space="preserve">ปรับระดับสูงต่ำได้ มีกุญแจล็อคพร้อมฐานรอง </t>
  </si>
  <si>
    <t xml:space="preserve">ขนาดประมาณ  40x175x57 ซม. </t>
  </si>
  <si>
    <t>ขนาดประมาณ 40x118x83 ซม ยี่ห้อไทโย สีเทา</t>
  </si>
  <si>
    <t>3 ส.ค. 2558</t>
  </si>
  <si>
    <t>400-36-2328</t>
  </si>
  <si>
    <t>400-44-4495</t>
  </si>
  <si>
    <t>16 มี.ค. 2544</t>
  </si>
  <si>
    <t>สถานที่ใช้งาน</t>
  </si>
  <si>
    <t>สภาพครุภัณฑ์</t>
  </si>
  <si>
    <t>ใช้ได้</t>
  </si>
  <si>
    <t>ชำรุด</t>
  </si>
  <si>
    <t>เสื่อม</t>
  </si>
  <si>
    <t>สูญหาย</t>
  </si>
  <si>
    <t>เก็บ</t>
  </si>
  <si>
    <t>หมดความ</t>
  </si>
  <si>
    <t>สภาพ</t>
  </si>
  <si>
    <t>ไว้นาน</t>
  </si>
  <si>
    <t>จำเป็น</t>
  </si>
  <si>
    <t>โต๊ะวางเครื่องคอมพิวเตอร์ ขนาด 120x160x75 ซม.</t>
  </si>
  <si>
    <t>ตู้หมายเลข 4</t>
  </si>
  <si>
    <t>ตู้หมายเลข 1</t>
  </si>
  <si>
    <t>ตู้เก็บวัสดุสำนักงาน</t>
  </si>
  <si>
    <t>ตู้หมายเลข 2</t>
  </si>
  <si>
    <t>ตู้หมายเลข 3</t>
  </si>
  <si>
    <t xml:space="preserve">ขนาดประมาณ 40x118x87 ซม. </t>
  </si>
  <si>
    <t>พร้อมฐานรอง จำนวน 1 ชุด</t>
  </si>
  <si>
    <t>ตู้หมายเลข 5</t>
  </si>
  <si>
    <t>ตู้หมายเลข 6</t>
  </si>
  <si>
    <t>P</t>
  </si>
  <si>
    <t>ขนาดประมาณ1486x406x876 มม. แผ่นชั้นสามารถ</t>
  </si>
  <si>
    <t>ปรับระดับสูงต่ำได้มีกุญแจล๊อค พร้อมฐานรอง ยี่ห้อไทโย</t>
  </si>
  <si>
    <t>8 ต.ค. 2562</t>
  </si>
  <si>
    <t>เครื่องพิมพ์แบบฉีดหมึก (Ink Tank Printer)</t>
  </si>
  <si>
    <t>416-63-1409</t>
  </si>
  <si>
    <t>ยี่ห้อ Canon รุ่น G1010 สีดำ</t>
  </si>
  <si>
    <t>11 พ.ค. 2547</t>
  </si>
  <si>
    <t>15 ก.ย. 2541</t>
  </si>
  <si>
    <t>CPU เครื่องคอมพิวเตอร์ประมวลผล แบบที่ 1</t>
  </si>
  <si>
    <t>416-63-1693</t>
  </si>
  <si>
    <t>ยี่ห้อ SVOA รุ่น Professional S series</t>
  </si>
  <si>
    <t>25 มิ.ย. 2563</t>
  </si>
  <si>
    <t>จอแสดงภาพขนาดไม่น้อยกว่า 19 นิ้ว ยี่ห้อ SVOA</t>
  </si>
  <si>
    <t>416-63-1694</t>
  </si>
  <si>
    <t>รุ่น Ai (Plus)</t>
  </si>
  <si>
    <t>416-63-1753</t>
  </si>
  <si>
    <t xml:space="preserve">เครื่องสำรองไฟฟ้า ขนาด 1 KVA ยี่ห้อ ZIRCON </t>
  </si>
  <si>
    <t xml:space="preserve">    - เครื่องคอมพิวเตอร์ (CPU)</t>
  </si>
  <si>
    <t xml:space="preserve">    - จอขนาด 18.5 นิ้ว</t>
  </si>
  <si>
    <t>รุ่น EMPOW</t>
  </si>
  <si>
    <t>416-65-1993</t>
  </si>
  <si>
    <t>6 มิ.ย. 2565</t>
  </si>
  <si>
    <t>งานจัดทำงบประมาณ  ฝ่ายแผนงานและงบประมาณ  กองยุทธศาสตร์และงบประมาณ</t>
  </si>
  <si>
    <t>น.ส.ลัดดาวรรณ ดิษฐา</t>
  </si>
  <si>
    <t>เสื่อมสภาพ</t>
  </si>
  <si>
    <t>น.ส.รัชฎา เล็กศรี</t>
  </si>
  <si>
    <t>(ห้องเก็บของ)</t>
  </si>
  <si>
    <t>ทะเบียนรายงานผลการตรวจนับครุภัณฑ์สำนักงาน ประจำปี 2567</t>
  </si>
  <si>
    <t>ตู้ข้างพี่บี</t>
  </si>
  <si>
    <t>ตู้ข้างพี่ดา</t>
  </si>
  <si>
    <t>ท.7</t>
  </si>
  <si>
    <t>กองคลัง</t>
  </si>
  <si>
    <t>ท.7(ชำรุด)</t>
  </si>
  <si>
    <t>หน้าห้องประชุม</t>
  </si>
  <si>
    <t>ทะเบียนรายงานผลการตรวจนับครุภัณฑ์สำนักงาน (ต่ำกว่าเกณฑ์) ประจำปี 2567</t>
  </si>
  <si>
    <t>เครื่องคอมพิวเตอร์ สำหรับงานประมวลผล แบบที่ 2</t>
  </si>
  <si>
    <t>ยี่ห้อ Acer รุ่น Veriton S2690G</t>
  </si>
  <si>
    <t>416-66-2387</t>
  </si>
  <si>
    <t>15 พ.ย. 2566</t>
  </si>
  <si>
    <t>จอแสดงภาพขนาด 23.8 นิ้ว แบบที่ 2</t>
  </si>
  <si>
    <t>416-66-2391</t>
  </si>
  <si>
    <t>เครื่องสำรองไฟฟ้า ขนาด 1 KVA ยี่ห้อ Chuphotic</t>
  </si>
  <si>
    <t xml:space="preserve">รุ่น PT 1000 HOE </t>
  </si>
  <si>
    <t>นางนรินธร ชัยวัฒนานันต์</t>
  </si>
  <si>
    <t>ทะเบียนรายงานผลการตรวจนับครุภัณฑ์คอมพิวเตอร์ ประจำปี 2567</t>
  </si>
  <si>
    <t>โต๊ะทำงานแบบโล่ง</t>
  </si>
  <si>
    <t>400-67-7596</t>
  </si>
  <si>
    <t>20 ก.ย. 2567</t>
  </si>
  <si>
    <t>หัวหน้าวิจิตรา</t>
  </si>
  <si>
    <t>ตู้เก็บของ</t>
  </si>
  <si>
    <t>406-67-1475</t>
  </si>
  <si>
    <t>ตู้ลิ้นชัก</t>
  </si>
  <si>
    <t>406-67-1476</t>
  </si>
  <si>
    <t>อาคารเวียงละกอน รร.ท.7</t>
  </si>
  <si>
    <t>โรงเก็บพัสดุ รร.ท. 7</t>
  </si>
  <si>
    <t>ข้างโต๊ะ น.ส.ลัดดาวรรณฯ</t>
  </si>
  <si>
    <t>หน้าห้องประชุมกองยุทธฯ</t>
  </si>
  <si>
    <t>ห้องหัวหน้าวิจิตรา</t>
  </si>
  <si>
    <t>ข้างโต๊ะ นางพัชนิดาฯ</t>
  </si>
  <si>
    <t>นางพัชนิดาฯ</t>
  </si>
  <si>
    <t>น.ส.ลัดดาวรรณฯ</t>
  </si>
  <si>
    <t>นางวิจิตราฯ</t>
  </si>
  <si>
    <t>ตู้ลิ้นชักข้างงานงบประมาณ</t>
  </si>
  <si>
    <t>416-66-2399</t>
  </si>
  <si>
    <t>ฝากไว้ที่กองคลัง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</si>
</sst>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13" x14ac:knownFonts="1">
    <font>
      <sz val="11"/>
      <color theme="1"/>
      <name val="Tahoma"/>
      <family val="2"/>
      <charset val="222"/>
    </font>
    <font>
      <b/>
      <sz val="14"/>
      <name val="TH SarabunPSK"/>
      <family val="2"/>
    </font>
    <font>
      <sz val="14"/>
      <name val="TH SarabunPSK"/>
      <family val="2"/>
    </font>
    <font>
      <sz val="12"/>
      <name val="TH SarabunPSK"/>
      <family val="2"/>
    </font>
    <font>
      <sz val="11"/>
      <color indexed="8"/>
      <name val="Tahoma"/>
      <family val="2"/>
      <charset val="222"/>
    </font>
    <font>
      <sz val="14"/>
      <color indexed="8"/>
      <name val="TH SarabunPSK"/>
      <family val="2"/>
    </font>
    <font>
      <sz val="8"/>
      <name val="Tahoma"/>
      <family val="2"/>
      <charset val="222"/>
    </font>
    <font>
      <b/>
      <sz val="12"/>
      <name val="TH SarabunPSK"/>
      <family val="2"/>
    </font>
    <font>
      <sz val="14"/>
      <name val="Wingdings 2"/>
      <family val="1"/>
      <charset val="2"/>
    </font>
    <font>
      <b/>
      <u/>
      <sz val="14"/>
      <name val="TH SarabunPSK"/>
      <family val="2"/>
    </font>
    <font>
      <b/>
      <sz val="16"/>
      <name val="TH SarabunPSK"/>
      <family val="2"/>
    </font>
    <font>
      <sz val="14"/>
      <color rgb="FFFF0000"/>
      <name val="TH SarabunPSK"/>
      <family val="2"/>
    </font>
    <font>
      <b/>
      <sz val="18"/>
      <name val="TH SarabunPSK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09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  <xf numFmtId="187" fontId="5" fillId="0" borderId="0" xfId="1" applyNumberFormat="1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0" fontId="2" fillId="0" borderId="14" xfId="0" applyFont="1" applyBorder="1"/>
    <xf numFmtId="0" fontId="2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/>
    </xf>
    <xf numFmtId="0" fontId="2" fillId="0" borderId="14" xfId="0" applyFont="1" applyBorder="1" applyAlignment="1">
      <alignment horizontal="left"/>
    </xf>
    <xf numFmtId="0" fontId="2" fillId="0" borderId="18" xfId="0" applyFont="1" applyBorder="1"/>
    <xf numFmtId="187" fontId="2" fillId="0" borderId="14" xfId="1" applyNumberFormat="1" applyFont="1" applyFill="1" applyBorder="1"/>
    <xf numFmtId="3" fontId="2" fillId="0" borderId="14" xfId="0" applyNumberFormat="1" applyFont="1" applyBorder="1" applyAlignment="1">
      <alignment horizontal="right"/>
    </xf>
    <xf numFmtId="0" fontId="1" fillId="0" borderId="14" xfId="0" applyFont="1" applyBorder="1"/>
    <xf numFmtId="0" fontId="2" fillId="0" borderId="19" xfId="0" applyFont="1" applyBorder="1"/>
    <xf numFmtId="0" fontId="2" fillId="0" borderId="0" xfId="0" applyFont="1" applyAlignment="1">
      <alignment horizontal="left" vertical="center"/>
    </xf>
    <xf numFmtId="0" fontId="2" fillId="0" borderId="14" xfId="0" applyFont="1" applyBorder="1" applyAlignment="1">
      <alignment horizontal="right"/>
    </xf>
    <xf numFmtId="0" fontId="2" fillId="0" borderId="14" xfId="0" applyFont="1" applyBorder="1" applyAlignment="1">
      <alignment vertical="top"/>
    </xf>
    <xf numFmtId="187" fontId="2" fillId="0" borderId="14" xfId="1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/>
    </xf>
    <xf numFmtId="3" fontId="2" fillId="0" borderId="14" xfId="0" applyNumberFormat="1" applyFont="1" applyBorder="1"/>
    <xf numFmtId="3" fontId="1" fillId="0" borderId="12" xfId="0" applyNumberFormat="1" applyFont="1" applyBorder="1" applyAlignment="1">
      <alignment horizontal="center"/>
    </xf>
    <xf numFmtId="3" fontId="1" fillId="0" borderId="12" xfId="0" applyNumberFormat="1" applyFont="1" applyBorder="1" applyAlignment="1">
      <alignment horizontal="right"/>
    </xf>
    <xf numFmtId="49" fontId="2" fillId="0" borderId="13" xfId="0" applyNumberFormat="1" applyFont="1" applyBorder="1" applyAlignment="1">
      <alignment horizontal="center"/>
    </xf>
    <xf numFmtId="187" fontId="1" fillId="0" borderId="12" xfId="1" applyNumberFormat="1" applyFont="1" applyBorder="1" applyAlignment="1">
      <alignment horizontal="center"/>
    </xf>
    <xf numFmtId="0" fontId="3" fillId="0" borderId="14" xfId="0" applyFont="1" applyBorder="1" applyAlignment="1">
      <alignment horizontal="left"/>
    </xf>
    <xf numFmtId="3" fontId="2" fillId="0" borderId="14" xfId="0" applyNumberFormat="1" applyFont="1" applyBorder="1" applyAlignment="1">
      <alignment horizontal="right" vertical="top"/>
    </xf>
    <xf numFmtId="3" fontId="2" fillId="0" borderId="13" xfId="0" applyNumberFormat="1" applyFont="1" applyBorder="1" applyAlignment="1">
      <alignment horizontal="right"/>
    </xf>
    <xf numFmtId="187" fontId="2" fillId="0" borderId="14" xfId="1" applyNumberFormat="1" applyFont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2" fillId="0" borderId="1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87" fontId="1" fillId="0" borderId="18" xfId="1" applyNumberFormat="1" applyFont="1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187" fontId="2" fillId="0" borderId="0" xfId="1" applyNumberFormat="1" applyFont="1" applyBorder="1"/>
    <xf numFmtId="187" fontId="1" fillId="0" borderId="12" xfId="0" applyNumberFormat="1" applyFont="1" applyBorder="1" applyAlignment="1">
      <alignment horizontal="center"/>
    </xf>
    <xf numFmtId="187" fontId="1" fillId="0" borderId="12" xfId="0" applyNumberFormat="1" applyFont="1" applyBorder="1" applyAlignment="1">
      <alignment horizontal="right"/>
    </xf>
    <xf numFmtId="187" fontId="2" fillId="0" borderId="0" xfId="1" applyNumberFormat="1" applyFont="1"/>
    <xf numFmtId="0" fontId="3" fillId="0" borderId="14" xfId="0" applyFont="1" applyBorder="1" applyAlignment="1">
      <alignment horizontal="left" vertical="center"/>
    </xf>
    <xf numFmtId="187" fontId="1" fillId="0" borderId="6" xfId="1" applyNumberFormat="1" applyFont="1" applyBorder="1" applyAlignment="1">
      <alignment horizontal="center"/>
    </xf>
    <xf numFmtId="187" fontId="1" fillId="0" borderId="2" xfId="1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87" fontId="1" fillId="0" borderId="1" xfId="1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87" fontId="1" fillId="0" borderId="18" xfId="1" applyNumberFormat="1" applyFont="1" applyBorder="1" applyAlignment="1">
      <alignment horizontal="center"/>
    </xf>
    <xf numFmtId="187" fontId="1" fillId="0" borderId="0" xfId="1" applyNumberFormat="1" applyFont="1" applyBorder="1" applyAlignment="1">
      <alignment horizontal="center"/>
    </xf>
    <xf numFmtId="3" fontId="1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19" xfId="0" applyFont="1" applyBorder="1" applyAlignment="1">
      <alignment horizontal="left"/>
    </xf>
    <xf numFmtId="3" fontId="1" fillId="0" borderId="0" xfId="0" applyNumberFormat="1" applyFont="1" applyAlignment="1">
      <alignment horizontal="center"/>
    </xf>
    <xf numFmtId="0" fontId="2" fillId="0" borderId="14" xfId="0" applyFont="1" applyBorder="1" applyAlignment="1">
      <alignment horizontal="left" vertical="center"/>
    </xf>
    <xf numFmtId="0" fontId="2" fillId="0" borderId="11" xfId="0" applyFont="1" applyBorder="1" applyAlignment="1">
      <alignment horizontal="center"/>
    </xf>
    <xf numFmtId="0" fontId="2" fillId="0" borderId="11" xfId="0" applyFont="1" applyBorder="1"/>
    <xf numFmtId="49" fontId="2" fillId="0" borderId="11" xfId="0" applyNumberFormat="1" applyFont="1" applyBorder="1" applyAlignment="1">
      <alignment horizontal="center"/>
    </xf>
    <xf numFmtId="3" fontId="2" fillId="0" borderId="11" xfId="0" applyNumberFormat="1" applyFont="1" applyBorder="1" applyAlignment="1">
      <alignment horizontal="right"/>
    </xf>
    <xf numFmtId="0" fontId="3" fillId="0" borderId="11" xfId="0" applyFont="1" applyBorder="1" applyAlignment="1">
      <alignment horizontal="left"/>
    </xf>
    <xf numFmtId="49" fontId="2" fillId="0" borderId="19" xfId="0" applyNumberFormat="1" applyFont="1" applyBorder="1" applyAlignment="1">
      <alignment horizontal="center"/>
    </xf>
    <xf numFmtId="3" fontId="2" fillId="0" borderId="19" xfId="0" applyNumberFormat="1" applyFont="1" applyBorder="1" applyAlignment="1">
      <alignment horizontal="right"/>
    </xf>
    <xf numFmtId="0" fontId="8" fillId="0" borderId="14" xfId="0" applyFont="1" applyBorder="1" applyAlignment="1">
      <alignment horizontal="center" vertical="center"/>
    </xf>
    <xf numFmtId="0" fontId="9" fillId="0" borderId="18" xfId="0" applyFont="1" applyBorder="1" applyAlignment="1">
      <alignment horizontal="left" vertical="center"/>
    </xf>
    <xf numFmtId="0" fontId="9" fillId="0" borderId="14" xfId="0" applyFont="1" applyBorder="1"/>
    <xf numFmtId="0" fontId="8" fillId="0" borderId="11" xfId="0" applyFont="1" applyBorder="1" applyAlignment="1">
      <alignment horizontal="center" vertical="center"/>
    </xf>
    <xf numFmtId="15" fontId="2" fillId="0" borderId="0" xfId="0" applyNumberFormat="1" applyFont="1"/>
    <xf numFmtId="0" fontId="1" fillId="0" borderId="0" xfId="0" applyFont="1" applyAlignment="1">
      <alignment horizontal="center"/>
    </xf>
    <xf numFmtId="187" fontId="2" fillId="0" borderId="0" xfId="0" applyNumberFormat="1" applyFont="1" applyAlignment="1">
      <alignment horizontal="center"/>
    </xf>
    <xf numFmtId="187" fontId="2" fillId="0" borderId="0" xfId="0" applyNumberFormat="1" applyFont="1"/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1" fillId="0" borderId="0" xfId="0" applyFont="1"/>
    <xf numFmtId="49" fontId="1" fillId="0" borderId="21" xfId="0" applyNumberFormat="1" applyFont="1" applyBorder="1" applyAlignment="1">
      <alignment horizontal="center"/>
    </xf>
    <xf numFmtId="187" fontId="1" fillId="0" borderId="21" xfId="1" applyNumberFormat="1" applyFont="1" applyBorder="1" applyAlignment="1">
      <alignment horizontal="center" vertical="center"/>
    </xf>
    <xf numFmtId="187" fontId="2" fillId="0" borderId="1" xfId="1" applyNumberFormat="1" applyFont="1" applyBorder="1"/>
    <xf numFmtId="0" fontId="2" fillId="0" borderId="1" xfId="0" applyFont="1" applyBorder="1"/>
    <xf numFmtId="0" fontId="2" fillId="0" borderId="13" xfId="0" applyFont="1" applyBorder="1"/>
    <xf numFmtId="0" fontId="2" fillId="0" borderId="13" xfId="0" applyFont="1" applyBorder="1" applyAlignment="1">
      <alignment horizontal="center" vertical="center"/>
    </xf>
    <xf numFmtId="187" fontId="2" fillId="0" borderId="13" xfId="1" applyNumberFormat="1" applyFont="1" applyFill="1" applyBorder="1"/>
    <xf numFmtId="0" fontId="8" fillId="0" borderId="13" xfId="0" applyFont="1" applyBorder="1" applyAlignment="1">
      <alignment horizontal="center" vertical="center"/>
    </xf>
    <xf numFmtId="0" fontId="11" fillId="0" borderId="8" xfId="0" applyFont="1" applyBorder="1"/>
    <xf numFmtId="0" fontId="2" fillId="0" borderId="6" xfId="0" applyFont="1" applyBorder="1" applyAlignment="1">
      <alignment horizontal="center" vertical="center"/>
    </xf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87" fontId="1" fillId="0" borderId="2" xfId="1" applyNumberFormat="1" applyFont="1" applyBorder="1" applyAlignment="1">
      <alignment horizontal="center" vertical="center"/>
    </xf>
    <xf numFmtId="187" fontId="1" fillId="0" borderId="6" xfId="1" applyNumberFormat="1" applyFont="1" applyBorder="1" applyAlignment="1">
      <alignment horizontal="center" vertical="center"/>
    </xf>
    <xf numFmtId="187" fontId="1" fillId="0" borderId="1" xfId="1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2" fillId="0" borderId="0" xfId="0" applyFont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4</xdr:col>
      <xdr:colOff>278423</xdr:colOff>
      <xdr:row>7</xdr:row>
      <xdr:rowOff>87923</xdr:rowOff>
    </xdr:to>
    <xdr:sp macro="" textlink="">
      <xdr:nvSpPr>
        <xdr:cNvPr id="3" name="วงเล็บปีกกาขวา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4769827" y="1494692"/>
          <a:ext cx="278423" cy="329712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th-TH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4"/>
  <sheetViews>
    <sheetView zoomScale="120" zoomScaleNormal="120" zoomScaleSheetLayoutView="80" workbookViewId="0">
      <selection activeCell="G34" sqref="G34"/>
    </sheetView>
  </sheetViews>
  <sheetFormatPr defaultColWidth="9" defaultRowHeight="18.75" x14ac:dyDescent="0.3"/>
  <cols>
    <col min="1" max="1" width="6.375" style="4" customWidth="1"/>
    <col min="2" max="2" width="35.75" style="5" customWidth="1"/>
    <col min="3" max="3" width="9.75" style="4" bestFit="1" customWidth="1"/>
    <col min="4" max="4" width="9.75" style="44" bestFit="1" customWidth="1"/>
    <col min="5" max="5" width="9.5" style="4" bestFit="1" customWidth="1"/>
    <col min="6" max="6" width="16.75" style="5" bestFit="1" customWidth="1"/>
    <col min="7" max="7" width="4.625" style="5" customWidth="1"/>
    <col min="8" max="8" width="5" style="35" customWidth="1"/>
    <col min="9" max="9" width="5.5" style="5" customWidth="1"/>
    <col min="10" max="10" width="5.125" style="5" customWidth="1"/>
    <col min="11" max="11" width="5.625" style="5" customWidth="1"/>
    <col min="12" max="12" width="7.625" style="5" customWidth="1"/>
    <col min="13" max="13" width="12.625" style="5" bestFit="1" customWidth="1"/>
    <col min="14" max="14" width="9" style="79"/>
    <col min="15" max="16384" width="9" style="5"/>
  </cols>
  <sheetData>
    <row r="1" spans="1:15" ht="21" x14ac:dyDescent="0.35">
      <c r="A1" s="92" t="s">
        <v>116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</row>
    <row r="2" spans="1:15" ht="21" x14ac:dyDescent="0.35">
      <c r="A2" s="92" t="s">
        <v>111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</row>
    <row r="3" spans="1:15" x14ac:dyDescent="0.3">
      <c r="A3" s="93" t="s">
        <v>1</v>
      </c>
      <c r="B3" s="96" t="s">
        <v>2</v>
      </c>
      <c r="C3" s="99" t="s">
        <v>33</v>
      </c>
      <c r="D3" s="47"/>
      <c r="E3" s="102" t="s">
        <v>0</v>
      </c>
      <c r="F3" s="96" t="s">
        <v>67</v>
      </c>
      <c r="G3" s="105" t="s">
        <v>68</v>
      </c>
      <c r="H3" s="106"/>
      <c r="I3" s="106"/>
      <c r="J3" s="106"/>
      <c r="K3" s="106"/>
      <c r="L3" s="107"/>
      <c r="M3" s="96" t="s">
        <v>3</v>
      </c>
    </row>
    <row r="4" spans="1:15" x14ac:dyDescent="0.3">
      <c r="A4" s="94"/>
      <c r="B4" s="97"/>
      <c r="C4" s="100"/>
      <c r="D4" s="46" t="s">
        <v>6</v>
      </c>
      <c r="E4" s="103"/>
      <c r="F4" s="97"/>
      <c r="G4" s="93" t="s">
        <v>69</v>
      </c>
      <c r="H4" s="96" t="s">
        <v>70</v>
      </c>
      <c r="I4" s="48" t="s">
        <v>71</v>
      </c>
      <c r="J4" s="96" t="s">
        <v>72</v>
      </c>
      <c r="K4" s="48" t="s">
        <v>73</v>
      </c>
      <c r="L4" s="49" t="s">
        <v>74</v>
      </c>
      <c r="M4" s="97"/>
    </row>
    <row r="5" spans="1:15" x14ac:dyDescent="0.3">
      <c r="A5" s="95"/>
      <c r="B5" s="98"/>
      <c r="C5" s="101"/>
      <c r="D5" s="50" t="s">
        <v>7</v>
      </c>
      <c r="E5" s="104"/>
      <c r="F5" s="98"/>
      <c r="G5" s="95"/>
      <c r="H5" s="98"/>
      <c r="I5" s="51" t="s">
        <v>75</v>
      </c>
      <c r="J5" s="98"/>
      <c r="K5" s="51" t="s">
        <v>76</v>
      </c>
      <c r="L5" s="52" t="s">
        <v>77</v>
      </c>
      <c r="M5" s="98"/>
    </row>
    <row r="6" spans="1:15" x14ac:dyDescent="0.3">
      <c r="A6" s="36"/>
      <c r="B6" s="68" t="s">
        <v>41</v>
      </c>
      <c r="C6" s="37"/>
      <c r="D6" s="53"/>
      <c r="E6" s="38"/>
      <c r="F6" s="37"/>
      <c r="G6" s="39"/>
      <c r="H6" s="40"/>
      <c r="I6" s="14"/>
      <c r="J6" s="14"/>
      <c r="K6" s="14"/>
      <c r="L6" s="14"/>
      <c r="M6" s="14"/>
      <c r="O6" s="14"/>
    </row>
    <row r="7" spans="1:15" x14ac:dyDescent="0.3">
      <c r="A7" s="10">
        <v>1</v>
      </c>
      <c r="B7" s="8" t="s">
        <v>37</v>
      </c>
      <c r="C7" s="10" t="s">
        <v>64</v>
      </c>
      <c r="D7" s="11" t="s">
        <v>4</v>
      </c>
      <c r="E7" s="24">
        <v>2300</v>
      </c>
      <c r="F7" s="8" t="s">
        <v>143</v>
      </c>
      <c r="G7" s="67"/>
      <c r="H7" s="45"/>
      <c r="I7" s="67" t="s">
        <v>88</v>
      </c>
      <c r="J7" s="8"/>
      <c r="K7" s="8"/>
      <c r="L7" s="8"/>
      <c r="M7" s="59" t="s">
        <v>148</v>
      </c>
      <c r="O7" s="59"/>
    </row>
    <row r="8" spans="1:15" x14ac:dyDescent="0.3">
      <c r="A8" s="10">
        <v>2</v>
      </c>
      <c r="B8" s="8" t="s">
        <v>38</v>
      </c>
      <c r="C8" s="10" t="s">
        <v>65</v>
      </c>
      <c r="D8" s="12" t="s">
        <v>66</v>
      </c>
      <c r="E8" s="24">
        <v>3200</v>
      </c>
      <c r="F8" s="8" t="s">
        <v>143</v>
      </c>
      <c r="G8" s="67"/>
      <c r="H8" s="45"/>
      <c r="I8" s="67" t="s">
        <v>88</v>
      </c>
      <c r="J8" s="8"/>
      <c r="K8" s="8"/>
      <c r="L8" s="8"/>
      <c r="M8" s="8" t="s">
        <v>149</v>
      </c>
      <c r="O8" s="8"/>
    </row>
    <row r="9" spans="1:15" x14ac:dyDescent="0.3">
      <c r="A9" s="9"/>
      <c r="B9" s="8" t="s">
        <v>39</v>
      </c>
      <c r="C9" s="10"/>
      <c r="D9" s="12"/>
      <c r="E9" s="24"/>
      <c r="F9" s="8"/>
      <c r="G9" s="10"/>
      <c r="H9" s="45"/>
      <c r="I9" s="8"/>
      <c r="J9" s="8"/>
      <c r="K9" s="8"/>
      <c r="L9" s="8"/>
      <c r="M9" s="8"/>
      <c r="O9" s="8"/>
    </row>
    <row r="10" spans="1:15" x14ac:dyDescent="0.3">
      <c r="A10" s="9"/>
      <c r="B10" s="8" t="s">
        <v>40</v>
      </c>
      <c r="C10" s="10"/>
      <c r="D10" s="12"/>
      <c r="E10" s="24"/>
      <c r="F10" s="8"/>
      <c r="G10" s="10"/>
      <c r="H10" s="45"/>
      <c r="I10" s="8"/>
      <c r="J10" s="8"/>
      <c r="K10" s="8"/>
      <c r="L10" s="8"/>
      <c r="M10" s="8"/>
      <c r="O10" s="8"/>
    </row>
    <row r="11" spans="1:15" x14ac:dyDescent="0.3">
      <c r="A11" s="9">
        <v>3</v>
      </c>
      <c r="B11" s="8" t="s">
        <v>8</v>
      </c>
      <c r="C11" s="10" t="s">
        <v>10</v>
      </c>
      <c r="D11" s="12" t="s">
        <v>35</v>
      </c>
      <c r="E11" s="24">
        <v>1800</v>
      </c>
      <c r="F11" s="8" t="s">
        <v>145</v>
      </c>
      <c r="G11" s="67" t="s">
        <v>88</v>
      </c>
      <c r="H11" s="29"/>
      <c r="I11" s="8"/>
      <c r="J11" s="8"/>
      <c r="K11" s="8"/>
      <c r="L11" s="8"/>
      <c r="M11" s="8"/>
      <c r="O11" s="8"/>
    </row>
    <row r="12" spans="1:15" x14ac:dyDescent="0.3">
      <c r="A12" s="9">
        <v>4</v>
      </c>
      <c r="B12" s="8" t="s">
        <v>78</v>
      </c>
      <c r="C12" s="10" t="s">
        <v>11</v>
      </c>
      <c r="D12" s="12" t="s">
        <v>36</v>
      </c>
      <c r="E12" s="24">
        <v>2000</v>
      </c>
      <c r="F12" s="8" t="s">
        <v>143</v>
      </c>
      <c r="G12" s="67"/>
      <c r="H12" s="29"/>
      <c r="I12" s="67" t="s">
        <v>88</v>
      </c>
      <c r="J12" s="8"/>
      <c r="K12" s="8"/>
      <c r="L12" s="8"/>
      <c r="M12" s="59" t="s">
        <v>148</v>
      </c>
      <c r="O12" s="59"/>
    </row>
    <row r="13" spans="1:15" x14ac:dyDescent="0.3">
      <c r="A13" s="9">
        <v>5</v>
      </c>
      <c r="B13" s="8" t="s">
        <v>134</v>
      </c>
      <c r="C13" s="10" t="s">
        <v>135</v>
      </c>
      <c r="D13" s="12" t="s">
        <v>136</v>
      </c>
      <c r="E13" s="24">
        <v>5000</v>
      </c>
      <c r="F13" s="8" t="s">
        <v>146</v>
      </c>
      <c r="G13" s="67" t="s">
        <v>88</v>
      </c>
      <c r="H13" s="29"/>
      <c r="I13" s="8"/>
      <c r="J13" s="8"/>
      <c r="K13" s="8"/>
      <c r="L13" s="8"/>
      <c r="M13" s="59" t="s">
        <v>150</v>
      </c>
      <c r="N13" s="79" t="s">
        <v>137</v>
      </c>
      <c r="O13" s="59"/>
    </row>
    <row r="14" spans="1:15" ht="19.5" thickBot="1" x14ac:dyDescent="0.35">
      <c r="A14" s="9"/>
      <c r="B14" s="8"/>
      <c r="C14" s="10"/>
      <c r="D14" s="28" t="s">
        <v>34</v>
      </c>
      <c r="E14" s="42">
        <f>SUM(E7:E13)</f>
        <v>14300</v>
      </c>
      <c r="F14" s="8"/>
      <c r="G14" s="8"/>
      <c r="H14" s="29"/>
      <c r="I14" s="8"/>
      <c r="J14" s="8"/>
      <c r="K14" s="8"/>
      <c r="L14" s="8"/>
      <c r="M14" s="8"/>
      <c r="O14" s="8"/>
    </row>
    <row r="15" spans="1:15" ht="19.5" thickTop="1" x14ac:dyDescent="0.3">
      <c r="A15" s="10"/>
      <c r="B15" s="69" t="s">
        <v>55</v>
      </c>
      <c r="C15" s="10"/>
      <c r="D15" s="32"/>
      <c r="E15" s="60"/>
      <c r="F15" s="8"/>
      <c r="G15" s="8"/>
      <c r="H15" s="29"/>
      <c r="I15" s="8"/>
      <c r="J15" s="8"/>
      <c r="K15" s="8"/>
      <c r="L15" s="8"/>
      <c r="M15" s="8"/>
      <c r="O15" s="8"/>
    </row>
    <row r="16" spans="1:15" x14ac:dyDescent="0.3">
      <c r="A16" s="10">
        <v>1</v>
      </c>
      <c r="B16" s="8" t="s">
        <v>12</v>
      </c>
      <c r="C16" s="10" t="s">
        <v>13</v>
      </c>
      <c r="D16" s="12" t="s">
        <v>42</v>
      </c>
      <c r="E16" s="16">
        <v>2300</v>
      </c>
      <c r="F16" s="61" t="s">
        <v>142</v>
      </c>
      <c r="G16" s="67" t="s">
        <v>88</v>
      </c>
      <c r="H16" s="29"/>
      <c r="I16" s="8"/>
      <c r="J16" s="8"/>
      <c r="K16" s="8"/>
      <c r="L16" s="8"/>
      <c r="M16" s="8" t="s">
        <v>79</v>
      </c>
      <c r="O16" s="8" t="s">
        <v>79</v>
      </c>
    </row>
    <row r="17" spans="1:15" x14ac:dyDescent="0.3">
      <c r="A17" s="9">
        <v>2</v>
      </c>
      <c r="B17" s="8" t="s">
        <v>32</v>
      </c>
      <c r="C17" s="10" t="s">
        <v>14</v>
      </c>
      <c r="D17" s="12" t="s">
        <v>43</v>
      </c>
      <c r="E17" s="16">
        <v>5000</v>
      </c>
      <c r="F17" s="8" t="s">
        <v>147</v>
      </c>
      <c r="G17" s="67" t="s">
        <v>88</v>
      </c>
      <c r="H17" s="29"/>
      <c r="I17" s="8"/>
      <c r="J17" s="8"/>
      <c r="K17" s="8"/>
      <c r="L17" s="8"/>
      <c r="M17" s="8" t="s">
        <v>80</v>
      </c>
      <c r="N17" s="79" t="s">
        <v>117</v>
      </c>
      <c r="O17" s="8" t="s">
        <v>80</v>
      </c>
    </row>
    <row r="18" spans="1:15" x14ac:dyDescent="0.3">
      <c r="A18" s="9"/>
      <c r="B18" s="8" t="s">
        <v>57</v>
      </c>
      <c r="C18" s="10"/>
      <c r="D18" s="12"/>
      <c r="E18" s="16"/>
      <c r="F18" s="8"/>
      <c r="G18" s="8"/>
      <c r="H18" s="29"/>
      <c r="I18" s="8"/>
      <c r="J18" s="8"/>
      <c r="K18" s="8"/>
      <c r="L18" s="8"/>
      <c r="M18" s="8"/>
      <c r="O18" s="8"/>
    </row>
    <row r="19" spans="1:15" x14ac:dyDescent="0.3">
      <c r="A19" s="9"/>
      <c r="B19" s="8" t="s">
        <v>58</v>
      </c>
      <c r="C19" s="10"/>
      <c r="D19" s="12"/>
      <c r="E19" s="16"/>
      <c r="F19" s="8"/>
      <c r="G19" s="8"/>
      <c r="H19" s="29"/>
      <c r="I19" s="8"/>
      <c r="J19" s="8"/>
      <c r="K19" s="8"/>
      <c r="L19" s="8"/>
      <c r="M19" s="8"/>
      <c r="O19" s="8"/>
    </row>
    <row r="20" spans="1:15" x14ac:dyDescent="0.3">
      <c r="A20" s="75">
        <v>3</v>
      </c>
      <c r="B20" s="61" t="s">
        <v>15</v>
      </c>
      <c r="C20" s="60" t="s">
        <v>16</v>
      </c>
      <c r="D20" s="62" t="s">
        <v>96</v>
      </c>
      <c r="E20" s="63">
        <v>2600</v>
      </c>
      <c r="F20" s="61" t="s">
        <v>142</v>
      </c>
      <c r="G20" s="70" t="s">
        <v>88</v>
      </c>
      <c r="H20" s="64"/>
      <c r="I20" s="61"/>
      <c r="J20" s="61"/>
      <c r="K20" s="61"/>
      <c r="L20" s="61"/>
      <c r="M20" s="61" t="s">
        <v>81</v>
      </c>
      <c r="N20" s="79" t="s">
        <v>119</v>
      </c>
      <c r="O20" s="61" t="s">
        <v>81</v>
      </c>
    </row>
    <row r="21" spans="1:15" x14ac:dyDescent="0.3">
      <c r="A21" s="9">
        <v>4</v>
      </c>
      <c r="B21" s="8" t="s">
        <v>50</v>
      </c>
      <c r="C21" s="10" t="s">
        <v>17</v>
      </c>
      <c r="D21" s="12" t="s">
        <v>9</v>
      </c>
      <c r="E21" s="16">
        <v>4500</v>
      </c>
      <c r="F21" s="61" t="s">
        <v>142</v>
      </c>
      <c r="G21" s="67"/>
      <c r="H21" s="67"/>
      <c r="I21" s="67" t="s">
        <v>88</v>
      </c>
      <c r="J21" s="8"/>
      <c r="K21" s="8"/>
      <c r="L21" s="8"/>
      <c r="M21" s="8" t="s">
        <v>82</v>
      </c>
      <c r="N21" s="79" t="s">
        <v>121</v>
      </c>
      <c r="O21" s="8" t="s">
        <v>82</v>
      </c>
    </row>
    <row r="22" spans="1:15" x14ac:dyDescent="0.3">
      <c r="A22" s="9"/>
      <c r="B22" s="8" t="s">
        <v>59</v>
      </c>
      <c r="C22" s="10"/>
      <c r="D22" s="12"/>
      <c r="E22" s="16"/>
      <c r="F22" s="8"/>
      <c r="G22" s="8"/>
      <c r="H22" s="29"/>
      <c r="I22" s="8"/>
      <c r="J22" s="8"/>
      <c r="K22" s="8"/>
      <c r="L22" s="8"/>
      <c r="M22" s="8"/>
      <c r="O22" s="8" t="s">
        <v>115</v>
      </c>
    </row>
    <row r="23" spans="1:15" x14ac:dyDescent="0.3">
      <c r="A23" s="9"/>
      <c r="B23" s="8" t="s">
        <v>60</v>
      </c>
      <c r="C23" s="10"/>
      <c r="D23" s="12"/>
      <c r="E23" s="16"/>
      <c r="F23" s="8"/>
      <c r="G23" s="8"/>
      <c r="H23" s="29"/>
      <c r="I23" s="8"/>
      <c r="J23" s="8"/>
      <c r="K23" s="8"/>
      <c r="L23" s="8"/>
      <c r="M23" s="8"/>
      <c r="O23" s="18"/>
    </row>
    <row r="24" spans="1:15" x14ac:dyDescent="0.3">
      <c r="A24" s="60">
        <v>5</v>
      </c>
      <c r="B24" s="61" t="s">
        <v>31</v>
      </c>
      <c r="C24" s="60" t="s">
        <v>19</v>
      </c>
      <c r="D24" s="62" t="s">
        <v>44</v>
      </c>
      <c r="E24" s="63">
        <v>4500</v>
      </c>
      <c r="F24" s="61" t="s">
        <v>144</v>
      </c>
      <c r="G24" s="70" t="s">
        <v>88</v>
      </c>
      <c r="H24" s="64"/>
      <c r="I24" s="61"/>
      <c r="J24" s="61"/>
      <c r="K24" s="61"/>
      <c r="L24" s="61"/>
      <c r="M24" s="61" t="s">
        <v>83</v>
      </c>
      <c r="N24" s="79" t="s">
        <v>118</v>
      </c>
      <c r="O24" s="61" t="s">
        <v>83</v>
      </c>
    </row>
    <row r="25" spans="1:15" x14ac:dyDescent="0.3">
      <c r="A25" s="10"/>
      <c r="B25" s="8" t="s">
        <v>61</v>
      </c>
      <c r="C25" s="10"/>
      <c r="D25" s="12"/>
      <c r="E25" s="16"/>
      <c r="F25" s="8"/>
      <c r="G25" s="8"/>
      <c r="H25" s="29"/>
      <c r="I25" s="8"/>
      <c r="J25" s="8"/>
      <c r="K25" s="8"/>
      <c r="L25" s="8"/>
      <c r="M25" s="8"/>
      <c r="O25" s="8"/>
    </row>
    <row r="26" spans="1:15" x14ac:dyDescent="0.3">
      <c r="A26" s="10"/>
      <c r="B26" s="8" t="s">
        <v>49</v>
      </c>
      <c r="C26" s="10"/>
      <c r="D26" s="12"/>
      <c r="E26" s="16"/>
      <c r="F26" s="8"/>
      <c r="G26" s="8"/>
      <c r="H26" s="29"/>
      <c r="I26" s="8"/>
      <c r="J26" s="8"/>
      <c r="K26" s="8"/>
      <c r="L26" s="8"/>
      <c r="M26" s="8"/>
      <c r="O26" s="8"/>
    </row>
    <row r="27" spans="1:15" x14ac:dyDescent="0.3">
      <c r="A27" s="23"/>
      <c r="B27" s="18" t="s">
        <v>18</v>
      </c>
      <c r="C27" s="23"/>
      <c r="D27" s="65"/>
      <c r="E27" s="66"/>
      <c r="F27" s="18"/>
      <c r="G27" s="18"/>
      <c r="H27" s="57"/>
      <c r="I27" s="18"/>
      <c r="J27" s="18"/>
      <c r="K27" s="18"/>
      <c r="L27" s="18"/>
      <c r="M27" s="18"/>
      <c r="O27" s="8"/>
    </row>
    <row r="28" spans="1:15" x14ac:dyDescent="0.3">
      <c r="A28" s="60">
        <v>6</v>
      </c>
      <c r="B28" s="61" t="s">
        <v>51</v>
      </c>
      <c r="C28" s="60" t="s">
        <v>20</v>
      </c>
      <c r="D28" s="62" t="s">
        <v>45</v>
      </c>
      <c r="E28" s="63">
        <v>2800</v>
      </c>
      <c r="F28" s="61" t="s">
        <v>145</v>
      </c>
      <c r="G28" s="70" t="s">
        <v>88</v>
      </c>
      <c r="H28" s="64"/>
      <c r="I28" s="61"/>
      <c r="J28" s="61"/>
      <c r="K28" s="61"/>
      <c r="L28" s="61"/>
      <c r="M28" s="61" t="s">
        <v>86</v>
      </c>
      <c r="N28" s="79" t="s">
        <v>122</v>
      </c>
      <c r="O28" s="8" t="s">
        <v>86</v>
      </c>
    </row>
    <row r="29" spans="1:15" x14ac:dyDescent="0.3">
      <c r="A29" s="10"/>
      <c r="B29" s="8" t="s">
        <v>84</v>
      </c>
      <c r="C29" s="10"/>
      <c r="D29" s="12"/>
      <c r="E29" s="16"/>
      <c r="F29" s="8"/>
      <c r="G29" s="8"/>
      <c r="H29" s="29"/>
      <c r="I29" s="8"/>
      <c r="J29" s="8"/>
      <c r="K29" s="8"/>
      <c r="L29" s="8"/>
      <c r="M29" s="8"/>
      <c r="O29" s="8"/>
    </row>
    <row r="30" spans="1:15" x14ac:dyDescent="0.3">
      <c r="A30" s="10"/>
      <c r="B30" s="8" t="s">
        <v>85</v>
      </c>
      <c r="C30" s="10"/>
      <c r="D30" s="12"/>
      <c r="E30" s="16"/>
      <c r="F30" s="8"/>
      <c r="G30" s="8"/>
      <c r="H30" s="29"/>
      <c r="I30" s="8"/>
      <c r="J30" s="8"/>
      <c r="K30" s="8"/>
      <c r="L30" s="8"/>
      <c r="M30" s="8"/>
      <c r="O30" s="8"/>
    </row>
    <row r="31" spans="1:15" x14ac:dyDescent="0.3">
      <c r="A31" s="10">
        <v>7</v>
      </c>
      <c r="B31" s="8" t="s">
        <v>52</v>
      </c>
      <c r="C31" s="10" t="s">
        <v>21</v>
      </c>
      <c r="D31" s="12" t="s">
        <v>45</v>
      </c>
      <c r="E31" s="16">
        <v>2800</v>
      </c>
      <c r="F31" s="61" t="s">
        <v>142</v>
      </c>
      <c r="G31" s="67" t="s">
        <v>88</v>
      </c>
      <c r="H31" s="29"/>
      <c r="I31" s="8"/>
      <c r="J31" s="8"/>
      <c r="K31" s="8"/>
      <c r="L31" s="8"/>
      <c r="M31" s="8"/>
      <c r="N31" s="88" t="s">
        <v>119</v>
      </c>
      <c r="O31" s="8"/>
    </row>
    <row r="32" spans="1:15" x14ac:dyDescent="0.3">
      <c r="A32" s="10"/>
      <c r="B32" s="8" t="s">
        <v>62</v>
      </c>
      <c r="C32" s="10"/>
      <c r="D32" s="12"/>
      <c r="E32" s="16"/>
      <c r="F32" s="8"/>
      <c r="G32" s="8"/>
      <c r="H32" s="29"/>
      <c r="I32" s="8"/>
      <c r="J32" s="8"/>
      <c r="K32" s="8"/>
      <c r="L32" s="8"/>
      <c r="M32" s="8"/>
      <c r="O32" s="8"/>
    </row>
    <row r="33" spans="1:15" x14ac:dyDescent="0.3">
      <c r="A33" s="10">
        <v>8</v>
      </c>
      <c r="B33" s="8" t="s">
        <v>53</v>
      </c>
      <c r="C33" s="10" t="s">
        <v>22</v>
      </c>
      <c r="D33" s="12" t="s">
        <v>5</v>
      </c>
      <c r="E33" s="16">
        <v>3600</v>
      </c>
      <c r="F33" s="8" t="s">
        <v>153</v>
      </c>
      <c r="G33" s="67" t="s">
        <v>88</v>
      </c>
      <c r="H33" s="29"/>
      <c r="I33" s="8"/>
      <c r="J33" s="8"/>
      <c r="K33" s="8"/>
      <c r="L33" s="8"/>
      <c r="M33" s="8" t="s">
        <v>87</v>
      </c>
      <c r="N33" s="79" t="s">
        <v>120</v>
      </c>
      <c r="O33" s="8" t="s">
        <v>87</v>
      </c>
    </row>
    <row r="34" spans="1:15" x14ac:dyDescent="0.3">
      <c r="A34" s="10"/>
      <c r="B34" s="8" t="s">
        <v>89</v>
      </c>
      <c r="C34" s="10"/>
      <c r="D34" s="12"/>
      <c r="E34" s="16"/>
      <c r="F34" s="8"/>
      <c r="G34" s="8"/>
      <c r="H34" s="29"/>
      <c r="I34" s="8"/>
      <c r="J34" s="8"/>
      <c r="K34" s="8"/>
      <c r="L34" s="8"/>
      <c r="M34" s="8"/>
      <c r="O34" s="8"/>
    </row>
    <row r="35" spans="1:15" x14ac:dyDescent="0.3">
      <c r="A35" s="10"/>
      <c r="B35" s="8" t="s">
        <v>90</v>
      </c>
      <c r="C35" s="10"/>
      <c r="D35" s="12"/>
      <c r="E35" s="16"/>
      <c r="F35" s="8"/>
      <c r="G35" s="8"/>
      <c r="H35" s="29"/>
      <c r="I35" s="8"/>
      <c r="J35" s="8"/>
      <c r="K35" s="8"/>
      <c r="L35" s="8"/>
      <c r="M35" s="8"/>
      <c r="O35" s="8"/>
    </row>
    <row r="36" spans="1:15" x14ac:dyDescent="0.3">
      <c r="A36" s="10">
        <v>9</v>
      </c>
      <c r="B36" s="8" t="s">
        <v>138</v>
      </c>
      <c r="C36" s="10" t="s">
        <v>139</v>
      </c>
      <c r="D36" s="12" t="s">
        <v>136</v>
      </c>
      <c r="E36" s="16">
        <v>4500</v>
      </c>
      <c r="F36" s="8" t="s">
        <v>146</v>
      </c>
      <c r="G36" s="67" t="s">
        <v>88</v>
      </c>
      <c r="H36" s="29"/>
      <c r="I36" s="8"/>
      <c r="J36" s="8"/>
      <c r="K36" s="8"/>
      <c r="L36" s="8"/>
      <c r="M36" s="8"/>
      <c r="N36" s="79" t="s">
        <v>137</v>
      </c>
      <c r="O36" s="8"/>
    </row>
    <row r="37" spans="1:15" x14ac:dyDescent="0.3">
      <c r="A37" s="10">
        <v>10</v>
      </c>
      <c r="B37" s="8" t="s">
        <v>140</v>
      </c>
      <c r="C37" s="10" t="s">
        <v>141</v>
      </c>
      <c r="D37" s="12" t="s">
        <v>136</v>
      </c>
      <c r="E37" s="16">
        <v>2500</v>
      </c>
      <c r="F37" s="8" t="s">
        <v>146</v>
      </c>
      <c r="G37" s="67" t="s">
        <v>88</v>
      </c>
      <c r="H37" s="29"/>
      <c r="I37" s="8"/>
      <c r="J37" s="8"/>
      <c r="K37" s="8"/>
      <c r="L37" s="8"/>
      <c r="M37" s="8"/>
      <c r="N37" s="79" t="s">
        <v>137</v>
      </c>
      <c r="O37" s="8"/>
    </row>
    <row r="38" spans="1:15" ht="19.5" thickBot="1" x14ac:dyDescent="0.35">
      <c r="A38" s="10"/>
      <c r="B38" s="8"/>
      <c r="C38" s="10"/>
      <c r="D38" s="28" t="s">
        <v>34</v>
      </c>
      <c r="E38" s="43">
        <f>SUM(E16:E37)</f>
        <v>35100</v>
      </c>
      <c r="F38" s="8"/>
      <c r="G38" s="8"/>
      <c r="H38" s="29"/>
      <c r="I38" s="8"/>
      <c r="J38" s="8"/>
      <c r="K38" s="8"/>
      <c r="L38" s="8"/>
      <c r="M38" s="8"/>
      <c r="O38" s="8"/>
    </row>
    <row r="39" spans="1:15" ht="19.5" thickTop="1" x14ac:dyDescent="0.3">
      <c r="A39" s="10"/>
      <c r="B39" s="69" t="s">
        <v>48</v>
      </c>
      <c r="C39" s="10"/>
      <c r="D39" s="32"/>
      <c r="E39" s="20"/>
      <c r="F39" s="8"/>
      <c r="G39" s="8"/>
      <c r="H39" s="29"/>
      <c r="I39" s="8"/>
      <c r="J39" s="8"/>
      <c r="K39" s="8"/>
      <c r="L39" s="8"/>
      <c r="M39" s="8"/>
      <c r="O39" s="8"/>
    </row>
    <row r="40" spans="1:15" x14ac:dyDescent="0.3">
      <c r="A40" s="10">
        <v>1</v>
      </c>
      <c r="B40" s="8" t="s">
        <v>47</v>
      </c>
      <c r="C40" s="10" t="s">
        <v>23</v>
      </c>
      <c r="D40" s="12" t="s">
        <v>95</v>
      </c>
      <c r="E40" s="16">
        <v>8500</v>
      </c>
      <c r="F40" s="8" t="s">
        <v>145</v>
      </c>
      <c r="G40" s="67" t="s">
        <v>88</v>
      </c>
      <c r="H40" s="29"/>
      <c r="I40" s="8"/>
      <c r="J40" s="8"/>
      <c r="K40" s="8"/>
      <c r="L40" s="8"/>
      <c r="M40" s="8"/>
      <c r="O40" s="8"/>
    </row>
    <row r="41" spans="1:15" x14ac:dyDescent="0.3">
      <c r="A41" s="10"/>
      <c r="B41" s="8" t="s">
        <v>46</v>
      </c>
      <c r="C41" s="10"/>
      <c r="D41" s="27"/>
      <c r="E41" s="31"/>
      <c r="F41" s="8"/>
      <c r="G41" s="8"/>
      <c r="H41" s="29"/>
      <c r="I41" s="8"/>
      <c r="J41" s="8"/>
      <c r="K41" s="8"/>
      <c r="L41" s="8"/>
      <c r="M41" s="8"/>
      <c r="O41" s="8"/>
    </row>
    <row r="42" spans="1:15" ht="19.5" thickBot="1" x14ac:dyDescent="0.35">
      <c r="A42" s="23"/>
      <c r="B42" s="18"/>
      <c r="C42" s="23"/>
      <c r="D42" s="28" t="s">
        <v>34</v>
      </c>
      <c r="E42" s="26">
        <f>SUM(E40:E41)</f>
        <v>8500</v>
      </c>
      <c r="F42" s="18"/>
      <c r="G42" s="18"/>
      <c r="H42" s="57"/>
      <c r="I42" s="18"/>
      <c r="J42" s="18"/>
      <c r="K42" s="18"/>
      <c r="L42" s="18"/>
      <c r="M42" s="18"/>
      <c r="O42" s="18"/>
    </row>
    <row r="43" spans="1:15" ht="19.5" thickTop="1" x14ac:dyDescent="0.3">
      <c r="D43" s="54"/>
      <c r="E43" s="55"/>
      <c r="F43" s="6"/>
      <c r="H43" s="56"/>
    </row>
    <row r="44" spans="1:15" x14ac:dyDescent="0.3">
      <c r="D44" s="41"/>
    </row>
    <row r="45" spans="1:15" x14ac:dyDescent="0.3">
      <c r="D45" s="41"/>
      <c r="M45" s="71"/>
    </row>
    <row r="46" spans="1:15" x14ac:dyDescent="0.3">
      <c r="D46" s="41"/>
    </row>
    <row r="47" spans="1:15" x14ac:dyDescent="0.3">
      <c r="D47" s="41"/>
    </row>
    <row r="48" spans="1:15" x14ac:dyDescent="0.3">
      <c r="D48" s="41"/>
    </row>
    <row r="49" spans="4:4" x14ac:dyDescent="0.3">
      <c r="D49" s="41"/>
    </row>
    <row r="50" spans="4:4" x14ac:dyDescent="0.3">
      <c r="D50" s="41"/>
    </row>
    <row r="51" spans="4:4" x14ac:dyDescent="0.3">
      <c r="D51" s="41"/>
    </row>
    <row r="52" spans="4:4" x14ac:dyDescent="0.3">
      <c r="D52" s="41"/>
    </row>
    <row r="53" spans="4:4" x14ac:dyDescent="0.3">
      <c r="D53" s="41"/>
    </row>
    <row r="54" spans="4:4" x14ac:dyDescent="0.3">
      <c r="D54" s="41"/>
    </row>
    <row r="55" spans="4:4" x14ac:dyDescent="0.3">
      <c r="D55" s="41"/>
    </row>
    <row r="56" spans="4:4" x14ac:dyDescent="0.3">
      <c r="D56" s="41"/>
    </row>
    <row r="57" spans="4:4" x14ac:dyDescent="0.3">
      <c r="D57" s="41"/>
    </row>
    <row r="58" spans="4:4" x14ac:dyDescent="0.3">
      <c r="D58" s="41"/>
    </row>
    <row r="59" spans="4:4" x14ac:dyDescent="0.3">
      <c r="D59" s="41"/>
    </row>
    <row r="60" spans="4:4" x14ac:dyDescent="0.3">
      <c r="D60" s="41"/>
    </row>
    <row r="61" spans="4:4" x14ac:dyDescent="0.3">
      <c r="D61" s="41"/>
    </row>
    <row r="62" spans="4:4" x14ac:dyDescent="0.3">
      <c r="D62" s="41"/>
    </row>
    <row r="63" spans="4:4" x14ac:dyDescent="0.3">
      <c r="D63" s="41"/>
    </row>
    <row r="64" spans="4:4" x14ac:dyDescent="0.3">
      <c r="D64" s="41"/>
    </row>
    <row r="65" spans="4:4" x14ac:dyDescent="0.3">
      <c r="D65" s="41"/>
    </row>
    <row r="66" spans="4:4" x14ac:dyDescent="0.3">
      <c r="D66" s="41"/>
    </row>
    <row r="67" spans="4:4" x14ac:dyDescent="0.3">
      <c r="D67" s="41"/>
    </row>
    <row r="68" spans="4:4" x14ac:dyDescent="0.3">
      <c r="D68" s="41"/>
    </row>
    <row r="69" spans="4:4" x14ac:dyDescent="0.3">
      <c r="D69" s="41"/>
    </row>
    <row r="70" spans="4:4" x14ac:dyDescent="0.3">
      <c r="D70" s="41"/>
    </row>
    <row r="71" spans="4:4" x14ac:dyDescent="0.3">
      <c r="D71" s="41"/>
    </row>
    <row r="72" spans="4:4" x14ac:dyDescent="0.3">
      <c r="D72" s="41"/>
    </row>
    <row r="73" spans="4:4" x14ac:dyDescent="0.3">
      <c r="D73" s="41"/>
    </row>
    <row r="74" spans="4:4" x14ac:dyDescent="0.3">
      <c r="D74" s="41"/>
    </row>
    <row r="75" spans="4:4" x14ac:dyDescent="0.3">
      <c r="D75" s="41"/>
    </row>
    <row r="76" spans="4:4" x14ac:dyDescent="0.3">
      <c r="D76" s="41"/>
    </row>
    <row r="77" spans="4:4" x14ac:dyDescent="0.3">
      <c r="D77" s="41"/>
    </row>
    <row r="78" spans="4:4" x14ac:dyDescent="0.3">
      <c r="D78" s="41"/>
    </row>
    <row r="79" spans="4:4" x14ac:dyDescent="0.3">
      <c r="D79" s="41"/>
    </row>
    <row r="80" spans="4:4" x14ac:dyDescent="0.3">
      <c r="D80" s="41"/>
    </row>
    <row r="81" spans="4:4" x14ac:dyDescent="0.3">
      <c r="D81" s="41"/>
    </row>
    <row r="82" spans="4:4" x14ac:dyDescent="0.3">
      <c r="D82" s="41"/>
    </row>
    <row r="83" spans="4:4" x14ac:dyDescent="0.3">
      <c r="D83" s="41"/>
    </row>
    <row r="84" spans="4:4" x14ac:dyDescent="0.3">
      <c r="D84" s="41"/>
    </row>
    <row r="85" spans="4:4" x14ac:dyDescent="0.3">
      <c r="D85" s="41"/>
    </row>
    <row r="86" spans="4:4" x14ac:dyDescent="0.3">
      <c r="D86" s="41"/>
    </row>
    <row r="87" spans="4:4" x14ac:dyDescent="0.3">
      <c r="D87" s="41"/>
    </row>
    <row r="88" spans="4:4" x14ac:dyDescent="0.3">
      <c r="D88" s="41"/>
    </row>
    <row r="89" spans="4:4" x14ac:dyDescent="0.3">
      <c r="D89" s="41"/>
    </row>
    <row r="90" spans="4:4" x14ac:dyDescent="0.3">
      <c r="D90" s="41"/>
    </row>
    <row r="91" spans="4:4" x14ac:dyDescent="0.3">
      <c r="D91" s="41"/>
    </row>
    <row r="92" spans="4:4" x14ac:dyDescent="0.3">
      <c r="D92" s="41"/>
    </row>
    <row r="93" spans="4:4" x14ac:dyDescent="0.3">
      <c r="D93" s="41"/>
    </row>
    <row r="94" spans="4:4" x14ac:dyDescent="0.3">
      <c r="D94" s="41"/>
    </row>
    <row r="95" spans="4:4" x14ac:dyDescent="0.3">
      <c r="D95" s="41"/>
    </row>
    <row r="96" spans="4:4" x14ac:dyDescent="0.3">
      <c r="D96" s="41"/>
    </row>
    <row r="97" spans="4:4" x14ac:dyDescent="0.3">
      <c r="D97" s="41"/>
    </row>
    <row r="98" spans="4:4" x14ac:dyDescent="0.3">
      <c r="D98" s="41"/>
    </row>
    <row r="99" spans="4:4" x14ac:dyDescent="0.3">
      <c r="D99" s="41"/>
    </row>
    <row r="100" spans="4:4" x14ac:dyDescent="0.3">
      <c r="D100" s="41"/>
    </row>
    <row r="101" spans="4:4" x14ac:dyDescent="0.3">
      <c r="D101" s="41"/>
    </row>
    <row r="102" spans="4:4" x14ac:dyDescent="0.3">
      <c r="D102" s="41"/>
    </row>
    <row r="103" spans="4:4" x14ac:dyDescent="0.3">
      <c r="D103" s="41"/>
    </row>
    <row r="104" spans="4:4" x14ac:dyDescent="0.3">
      <c r="D104" s="41"/>
    </row>
  </sheetData>
  <mergeCells count="12">
    <mergeCell ref="A1:M1"/>
    <mergeCell ref="A2:M2"/>
    <mergeCell ref="A3:A5"/>
    <mergeCell ref="B3:B5"/>
    <mergeCell ref="C3:C5"/>
    <mergeCell ref="E3:E5"/>
    <mergeCell ref="F3:F5"/>
    <mergeCell ref="G3:L3"/>
    <mergeCell ref="M3:M5"/>
    <mergeCell ref="G4:G5"/>
    <mergeCell ref="H4:H5"/>
    <mergeCell ref="J4:J5"/>
  </mergeCells>
  <phoneticPr fontId="6" type="noConversion"/>
  <pageMargins left="0.23622047244094491" right="0.19685039370078741" top="0.78740157480314965" bottom="0.19685039370078741" header="0.31496062992125984" footer="0.31496062992125984"/>
  <pageSetup paperSize="9" orientation="landscape" horizontalDpi="4294967293" r:id="rId1"/>
  <headerFooter differentFirst="1"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0"/>
  <sheetViews>
    <sheetView tabSelected="1" view="pageBreakPreview" zoomScale="130" zoomScaleNormal="120" zoomScaleSheetLayoutView="130" workbookViewId="0">
      <selection activeCell="H10" sqref="H10"/>
    </sheetView>
  </sheetViews>
  <sheetFormatPr defaultColWidth="9" defaultRowHeight="18.75" x14ac:dyDescent="0.3"/>
  <cols>
    <col min="1" max="1" width="6.5" style="4" customWidth="1"/>
    <col min="2" max="2" width="33.125" style="5" customWidth="1"/>
    <col min="3" max="3" width="10.75" style="4" bestFit="1" customWidth="1"/>
    <col min="4" max="4" width="12.125" style="44" customWidth="1"/>
    <col min="5" max="5" width="9.625" style="5" customWidth="1"/>
    <col min="6" max="6" width="16" style="5" bestFit="1" customWidth="1"/>
    <col min="7" max="7" width="5.25" style="5" customWidth="1"/>
    <col min="8" max="8" width="4.875" style="5" customWidth="1"/>
    <col min="9" max="9" width="5.375" style="5" customWidth="1"/>
    <col min="10" max="10" width="5.5" style="5" customWidth="1"/>
    <col min="11" max="11" width="6.625" style="5" customWidth="1"/>
    <col min="12" max="12" width="7.625" style="5" customWidth="1"/>
    <col min="13" max="13" width="11.25" style="5" customWidth="1"/>
    <col min="14" max="16384" width="9" style="5"/>
  </cols>
  <sheetData>
    <row r="1" spans="1:13" ht="21" x14ac:dyDescent="0.35">
      <c r="A1" s="92" t="s">
        <v>133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</row>
    <row r="2" spans="1:13" ht="21" x14ac:dyDescent="0.35">
      <c r="A2" s="92" t="s">
        <v>111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</row>
    <row r="3" spans="1:13" x14ac:dyDescent="0.3">
      <c r="A3" s="93" t="s">
        <v>1</v>
      </c>
      <c r="B3" s="96" t="s">
        <v>2</v>
      </c>
      <c r="C3" s="99" t="s">
        <v>33</v>
      </c>
      <c r="D3" s="47"/>
      <c r="E3" s="102" t="s">
        <v>0</v>
      </c>
      <c r="F3" s="96" t="s">
        <v>67</v>
      </c>
      <c r="G3" s="105" t="s">
        <v>68</v>
      </c>
      <c r="H3" s="106"/>
      <c r="I3" s="106"/>
      <c r="J3" s="106"/>
      <c r="K3" s="106"/>
      <c r="L3" s="107"/>
      <c r="M3" s="96" t="s">
        <v>3</v>
      </c>
    </row>
    <row r="4" spans="1:13" x14ac:dyDescent="0.3">
      <c r="A4" s="94"/>
      <c r="B4" s="97"/>
      <c r="C4" s="100"/>
      <c r="D4" s="46" t="s">
        <v>6</v>
      </c>
      <c r="E4" s="103"/>
      <c r="F4" s="97"/>
      <c r="G4" s="93" t="s">
        <v>69</v>
      </c>
      <c r="H4" s="96" t="s">
        <v>70</v>
      </c>
      <c r="I4" s="48" t="s">
        <v>71</v>
      </c>
      <c r="J4" s="96" t="s">
        <v>72</v>
      </c>
      <c r="K4" s="48" t="s">
        <v>73</v>
      </c>
      <c r="L4" s="49" t="s">
        <v>74</v>
      </c>
      <c r="M4" s="97"/>
    </row>
    <row r="5" spans="1:13" x14ac:dyDescent="0.3">
      <c r="A5" s="95"/>
      <c r="B5" s="98"/>
      <c r="C5" s="101"/>
      <c r="D5" s="50" t="s">
        <v>7</v>
      </c>
      <c r="E5" s="104"/>
      <c r="F5" s="98"/>
      <c r="G5" s="95"/>
      <c r="H5" s="98"/>
      <c r="I5" s="51" t="s">
        <v>75</v>
      </c>
      <c r="J5" s="98"/>
      <c r="K5" s="51" t="s">
        <v>76</v>
      </c>
      <c r="L5" s="52" t="s">
        <v>77</v>
      </c>
      <c r="M5" s="98"/>
    </row>
    <row r="6" spans="1:13" x14ac:dyDescent="0.3">
      <c r="A6" s="10"/>
      <c r="B6" s="8" t="s">
        <v>24</v>
      </c>
      <c r="C6" s="10"/>
      <c r="D6" s="12"/>
      <c r="E6" s="15"/>
      <c r="F6" s="8"/>
      <c r="G6" s="8"/>
      <c r="H6" s="8"/>
      <c r="I6" s="8"/>
      <c r="J6" s="8"/>
      <c r="K6" s="8"/>
      <c r="L6" s="8"/>
      <c r="M6" s="8"/>
    </row>
    <row r="7" spans="1:13" x14ac:dyDescent="0.3">
      <c r="A7" s="10">
        <v>1</v>
      </c>
      <c r="B7" s="8" t="s">
        <v>106</v>
      </c>
      <c r="C7" s="10" t="s">
        <v>25</v>
      </c>
      <c r="D7" s="12" t="s">
        <v>56</v>
      </c>
      <c r="E7" s="15">
        <v>19990</v>
      </c>
      <c r="F7" s="8" t="s">
        <v>132</v>
      </c>
      <c r="G7" s="67" t="s">
        <v>88</v>
      </c>
      <c r="H7" s="8"/>
      <c r="I7" s="8"/>
      <c r="J7" s="8"/>
      <c r="K7" s="8"/>
      <c r="L7" s="8"/>
      <c r="M7" s="8"/>
    </row>
    <row r="8" spans="1:13" x14ac:dyDescent="0.3">
      <c r="A8" s="10">
        <v>2</v>
      </c>
      <c r="B8" s="8" t="s">
        <v>107</v>
      </c>
      <c r="C8" s="10" t="s">
        <v>26</v>
      </c>
      <c r="D8" s="12" t="s">
        <v>56</v>
      </c>
      <c r="E8" s="15"/>
      <c r="F8" s="8" t="s">
        <v>132</v>
      </c>
      <c r="G8" s="67" t="s">
        <v>88</v>
      </c>
      <c r="H8" s="8"/>
      <c r="I8" s="8"/>
      <c r="J8" s="8"/>
      <c r="K8" s="8"/>
      <c r="L8" s="8"/>
      <c r="M8" s="8"/>
    </row>
    <row r="9" spans="1:13" x14ac:dyDescent="0.3">
      <c r="A9" s="9">
        <v>3</v>
      </c>
      <c r="B9" s="8" t="s">
        <v>27</v>
      </c>
      <c r="C9" s="22" t="s">
        <v>28</v>
      </c>
      <c r="D9" s="12" t="s">
        <v>56</v>
      </c>
      <c r="E9" s="15">
        <v>3140</v>
      </c>
      <c r="F9" s="8" t="s">
        <v>132</v>
      </c>
      <c r="G9" s="67" t="s">
        <v>88</v>
      </c>
      <c r="H9" s="8"/>
      <c r="I9" s="8"/>
      <c r="J9" s="8"/>
      <c r="K9" s="8"/>
      <c r="L9" s="8"/>
      <c r="M9" s="8"/>
    </row>
    <row r="10" spans="1:13" s="79" customFormat="1" x14ac:dyDescent="0.3">
      <c r="A10" s="9">
        <v>4</v>
      </c>
      <c r="B10" s="8" t="s">
        <v>92</v>
      </c>
      <c r="C10" s="10" t="s">
        <v>93</v>
      </c>
      <c r="D10" s="12" t="s">
        <v>91</v>
      </c>
      <c r="E10" s="15">
        <v>3490</v>
      </c>
      <c r="F10" s="90" t="s">
        <v>114</v>
      </c>
      <c r="G10" s="67" t="s">
        <v>88</v>
      </c>
      <c r="H10" s="8"/>
      <c r="I10" s="84"/>
      <c r="J10" s="84"/>
      <c r="K10" s="84"/>
      <c r="L10" s="84"/>
      <c r="M10" s="84"/>
    </row>
    <row r="11" spans="1:13" s="79" customFormat="1" x14ac:dyDescent="0.3">
      <c r="A11" s="85"/>
      <c r="B11" s="84" t="s">
        <v>94</v>
      </c>
      <c r="C11" s="76"/>
      <c r="D11" s="27"/>
      <c r="E11" s="86"/>
      <c r="F11" s="84"/>
      <c r="G11" s="87"/>
      <c r="H11" s="84"/>
      <c r="I11" s="84"/>
      <c r="J11" s="84"/>
      <c r="K11" s="84"/>
      <c r="L11" s="84"/>
      <c r="M11" s="84"/>
    </row>
    <row r="12" spans="1:13" s="79" customFormat="1" x14ac:dyDescent="0.3">
      <c r="A12" s="9">
        <v>5</v>
      </c>
      <c r="B12" s="8" t="s">
        <v>97</v>
      </c>
      <c r="C12" s="10" t="s">
        <v>98</v>
      </c>
      <c r="D12" s="12" t="s">
        <v>100</v>
      </c>
      <c r="E12" s="15">
        <v>8600</v>
      </c>
      <c r="F12" s="8" t="s">
        <v>112</v>
      </c>
      <c r="G12" s="67" t="s">
        <v>88</v>
      </c>
      <c r="H12" s="8"/>
      <c r="I12" s="8"/>
      <c r="J12" s="8"/>
      <c r="K12" s="8"/>
      <c r="L12" s="8"/>
      <c r="M12" s="84"/>
    </row>
    <row r="13" spans="1:13" s="79" customFormat="1" x14ac:dyDescent="0.3">
      <c r="A13" s="9"/>
      <c r="B13" s="8" t="s">
        <v>99</v>
      </c>
      <c r="C13" s="10"/>
      <c r="D13" s="12"/>
      <c r="E13" s="15"/>
      <c r="F13" s="8"/>
      <c r="G13" s="67"/>
      <c r="H13" s="8"/>
      <c r="I13" s="8"/>
      <c r="J13" s="8"/>
      <c r="K13" s="8"/>
      <c r="L13" s="8"/>
      <c r="M13" s="84"/>
    </row>
    <row r="14" spans="1:13" s="79" customFormat="1" x14ac:dyDescent="0.3">
      <c r="A14" s="9">
        <v>6</v>
      </c>
      <c r="B14" s="8" t="s">
        <v>101</v>
      </c>
      <c r="C14" s="10" t="s">
        <v>102</v>
      </c>
      <c r="D14" s="12" t="s">
        <v>100</v>
      </c>
      <c r="E14" s="15">
        <v>2200</v>
      </c>
      <c r="F14" s="8" t="s">
        <v>112</v>
      </c>
      <c r="G14" s="67" t="s">
        <v>88</v>
      </c>
      <c r="H14" s="8"/>
      <c r="I14" s="8"/>
      <c r="J14" s="8"/>
      <c r="K14" s="8"/>
      <c r="L14" s="8"/>
      <c r="M14" s="84"/>
    </row>
    <row r="15" spans="1:13" s="79" customFormat="1" x14ac:dyDescent="0.3">
      <c r="A15" s="9">
        <v>7</v>
      </c>
      <c r="B15" s="8" t="s">
        <v>105</v>
      </c>
      <c r="C15" s="10" t="s">
        <v>104</v>
      </c>
      <c r="D15" s="12" t="s">
        <v>100</v>
      </c>
      <c r="E15" s="15">
        <v>2050</v>
      </c>
      <c r="F15" s="8" t="s">
        <v>112</v>
      </c>
      <c r="G15" s="67" t="s">
        <v>88</v>
      </c>
      <c r="H15" s="8"/>
      <c r="I15" s="8"/>
      <c r="J15" s="8"/>
      <c r="K15" s="8"/>
      <c r="L15" s="8"/>
      <c r="M15" s="84"/>
    </row>
    <row r="16" spans="1:13" s="79" customFormat="1" x14ac:dyDescent="0.3">
      <c r="A16" s="9"/>
      <c r="B16" s="8" t="s">
        <v>103</v>
      </c>
      <c r="C16" s="10"/>
      <c r="D16" s="10"/>
      <c r="E16" s="10"/>
      <c r="F16" s="8"/>
      <c r="G16" s="67"/>
      <c r="H16" s="8"/>
      <c r="I16" s="8"/>
      <c r="J16" s="8"/>
      <c r="K16" s="8"/>
      <c r="L16" s="8"/>
      <c r="M16" s="84"/>
    </row>
    <row r="17" spans="1:13" s="79" customFormat="1" x14ac:dyDescent="0.3">
      <c r="A17" s="9">
        <v>8</v>
      </c>
      <c r="B17" s="8" t="s">
        <v>105</v>
      </c>
      <c r="C17" s="10" t="s">
        <v>109</v>
      </c>
      <c r="D17" s="12" t="s">
        <v>110</v>
      </c>
      <c r="E17" s="15">
        <v>3000</v>
      </c>
      <c r="F17" s="8" t="s">
        <v>132</v>
      </c>
      <c r="G17" s="67" t="s">
        <v>88</v>
      </c>
      <c r="H17" s="8"/>
      <c r="I17" s="8"/>
      <c r="J17" s="8"/>
      <c r="K17" s="8"/>
      <c r="L17" s="8"/>
      <c r="M17" s="84"/>
    </row>
    <row r="18" spans="1:13" s="79" customFormat="1" x14ac:dyDescent="0.3">
      <c r="A18" s="9"/>
      <c r="B18" s="8" t="s">
        <v>108</v>
      </c>
      <c r="C18" s="10"/>
      <c r="D18" s="27"/>
      <c r="E18" s="86"/>
      <c r="F18" s="8"/>
      <c r="G18" s="67"/>
      <c r="H18" s="8"/>
      <c r="I18" s="8"/>
      <c r="J18" s="8"/>
      <c r="K18" s="8"/>
      <c r="L18" s="8"/>
      <c r="M18" s="84"/>
    </row>
    <row r="19" spans="1:13" s="79" customFormat="1" x14ac:dyDescent="0.3">
      <c r="A19" s="89">
        <v>9</v>
      </c>
      <c r="B19" s="90" t="s">
        <v>124</v>
      </c>
      <c r="C19" s="91" t="s">
        <v>126</v>
      </c>
      <c r="D19" s="12" t="s">
        <v>127</v>
      </c>
      <c r="E19" s="15">
        <v>28200</v>
      </c>
      <c r="F19" s="90" t="s">
        <v>114</v>
      </c>
      <c r="G19" s="67" t="s">
        <v>88</v>
      </c>
      <c r="H19" s="90"/>
      <c r="I19" s="90"/>
      <c r="J19" s="90"/>
      <c r="K19" s="90"/>
      <c r="L19" s="90"/>
      <c r="M19" s="84"/>
    </row>
    <row r="20" spans="1:13" s="79" customFormat="1" x14ac:dyDescent="0.3">
      <c r="A20" s="9"/>
      <c r="B20" s="8" t="s">
        <v>125</v>
      </c>
      <c r="C20" s="10"/>
      <c r="D20" s="12"/>
      <c r="E20" s="15"/>
      <c r="F20" s="8"/>
      <c r="G20" s="67"/>
      <c r="H20" s="8"/>
      <c r="I20" s="8"/>
      <c r="J20" s="8"/>
      <c r="K20" s="8"/>
      <c r="L20" s="8"/>
      <c r="M20" s="8"/>
    </row>
    <row r="21" spans="1:13" s="79" customFormat="1" x14ac:dyDescent="0.3">
      <c r="A21" s="9">
        <v>10</v>
      </c>
      <c r="B21" s="90" t="s">
        <v>128</v>
      </c>
      <c r="C21" s="10" t="s">
        <v>129</v>
      </c>
      <c r="D21" s="12" t="s">
        <v>127</v>
      </c>
      <c r="E21" s="15">
        <v>2800</v>
      </c>
      <c r="F21" s="90" t="s">
        <v>114</v>
      </c>
      <c r="G21" s="67" t="s">
        <v>88</v>
      </c>
      <c r="H21" s="8"/>
      <c r="I21" s="8"/>
      <c r="J21" s="8"/>
      <c r="K21" s="8"/>
      <c r="L21" s="8"/>
      <c r="M21" s="8"/>
    </row>
    <row r="22" spans="1:13" s="79" customFormat="1" x14ac:dyDescent="0.3">
      <c r="A22" s="9"/>
      <c r="B22" s="8" t="s">
        <v>125</v>
      </c>
      <c r="C22" s="10"/>
      <c r="D22" s="12"/>
      <c r="E22" s="15"/>
      <c r="F22" s="8"/>
      <c r="G22" s="67"/>
      <c r="H22" s="8"/>
      <c r="I22" s="8"/>
      <c r="J22" s="8"/>
      <c r="K22" s="8"/>
      <c r="L22" s="8"/>
      <c r="M22" s="8"/>
    </row>
    <row r="23" spans="1:13" s="79" customFormat="1" x14ac:dyDescent="0.3">
      <c r="A23" s="9">
        <v>11</v>
      </c>
      <c r="B23" s="8" t="s">
        <v>130</v>
      </c>
      <c r="C23" s="10" t="s">
        <v>152</v>
      </c>
      <c r="D23" s="12" t="s">
        <v>127</v>
      </c>
      <c r="E23" s="15">
        <v>1790</v>
      </c>
      <c r="F23" s="90" t="s">
        <v>114</v>
      </c>
      <c r="G23" s="67" t="s">
        <v>88</v>
      </c>
      <c r="H23" s="8"/>
      <c r="I23" s="8"/>
      <c r="J23" s="8"/>
      <c r="K23" s="8"/>
      <c r="L23" s="8"/>
      <c r="M23" s="8"/>
    </row>
    <row r="24" spans="1:13" s="79" customFormat="1" x14ac:dyDescent="0.3">
      <c r="A24" s="9"/>
      <c r="B24" s="8" t="s">
        <v>131</v>
      </c>
      <c r="C24" s="10"/>
      <c r="D24" s="12"/>
      <c r="E24" s="15"/>
      <c r="F24" s="8"/>
      <c r="G24" s="67"/>
      <c r="H24" s="8"/>
      <c r="I24" s="8"/>
      <c r="J24" s="8"/>
      <c r="K24" s="8"/>
      <c r="L24" s="8"/>
      <c r="M24" s="8"/>
    </row>
    <row r="25" spans="1:13" ht="24" customHeight="1" thickBot="1" x14ac:dyDescent="0.35">
      <c r="A25" s="78"/>
      <c r="B25" s="33"/>
      <c r="C25" s="34"/>
      <c r="D25" s="80" t="s">
        <v>34</v>
      </c>
      <c r="E25" s="81">
        <f>SUM(E7:E24)</f>
        <v>75260</v>
      </c>
      <c r="F25" s="34"/>
      <c r="G25" s="77"/>
      <c r="H25" s="34"/>
      <c r="I25" s="82"/>
      <c r="J25" s="83"/>
      <c r="K25" s="83"/>
      <c r="L25" s="83"/>
      <c r="M25" s="83"/>
    </row>
    <row r="26" spans="1:13" ht="19.5" thickTop="1" x14ac:dyDescent="0.3">
      <c r="A26" s="72"/>
      <c r="B26" s="19"/>
      <c r="C26" s="6"/>
      <c r="D26" s="7"/>
      <c r="E26" s="73"/>
      <c r="F26" s="4"/>
    </row>
    <row r="27" spans="1:13" x14ac:dyDescent="0.3">
      <c r="D27" s="41"/>
      <c r="G27" s="74"/>
    </row>
    <row r="28" spans="1:13" x14ac:dyDescent="0.3">
      <c r="D28" s="41"/>
    </row>
    <row r="29" spans="1:13" x14ac:dyDescent="0.3">
      <c r="D29" s="41"/>
    </row>
    <row r="30" spans="1:13" x14ac:dyDescent="0.3">
      <c r="D30" s="41"/>
    </row>
  </sheetData>
  <mergeCells count="12">
    <mergeCell ref="A1:M1"/>
    <mergeCell ref="A2:M2"/>
    <mergeCell ref="A3:A5"/>
    <mergeCell ref="M3:M5"/>
    <mergeCell ref="G4:G5"/>
    <mergeCell ref="H4:H5"/>
    <mergeCell ref="J4:J5"/>
    <mergeCell ref="B3:B5"/>
    <mergeCell ref="C3:C5"/>
    <mergeCell ref="E3:E5"/>
    <mergeCell ref="F3:F5"/>
    <mergeCell ref="G3:L3"/>
  </mergeCells>
  <pageMargins left="0.16" right="0.23622047244094491" top="0.74803149606299213" bottom="0.74803149606299213" header="0.31496062992125984" footer="0.31496062992125984"/>
  <pageSetup paperSize="9" orientation="landscape" horizontalDpi="4294967293" r:id="rId1"/>
  <headerFooter differentFirst="1" scaleWithDoc="0" alignWithMargins="0">
    <oddHeader>&amp;C&amp;"TH SarabunPSK,ธรรมดา"&amp;14&amp;P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0"/>
  <sheetViews>
    <sheetView zoomScaleNormal="100" zoomScalePageLayoutView="78" workbookViewId="0">
      <selection sqref="A1:M8"/>
    </sheetView>
  </sheetViews>
  <sheetFormatPr defaultColWidth="9" defaultRowHeight="18.75" x14ac:dyDescent="0.3"/>
  <cols>
    <col min="1" max="1" width="6.5" style="2" customWidth="1"/>
    <col min="2" max="2" width="31.625" style="1" customWidth="1"/>
    <col min="3" max="3" width="13.25" style="2" customWidth="1"/>
    <col min="4" max="4" width="10.75" style="3" customWidth="1"/>
    <col min="5" max="5" width="9.375" style="1" customWidth="1"/>
    <col min="6" max="6" width="17.375" style="1" bestFit="1" customWidth="1"/>
    <col min="7" max="7" width="5.875" style="1" customWidth="1"/>
    <col min="8" max="9" width="5.25" style="1" customWidth="1"/>
    <col min="10" max="10" width="6.625" style="1" customWidth="1"/>
    <col min="11" max="11" width="5.25" style="1" customWidth="1"/>
    <col min="12" max="12" width="8.125" style="1" customWidth="1"/>
    <col min="13" max="13" width="9" style="1" customWidth="1"/>
    <col min="14" max="16384" width="9" style="1"/>
  </cols>
  <sheetData>
    <row r="1" spans="1:14" s="5" customFormat="1" ht="23.25" x14ac:dyDescent="0.35">
      <c r="A1" s="108" t="s">
        <v>123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</row>
    <row r="2" spans="1:14" s="5" customFormat="1" ht="21" x14ac:dyDescent="0.35">
      <c r="A2" s="92" t="s">
        <v>111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</row>
    <row r="3" spans="1:14" s="5" customFormat="1" x14ac:dyDescent="0.3">
      <c r="A3" s="93" t="s">
        <v>1</v>
      </c>
      <c r="B3" s="96" t="s">
        <v>2</v>
      </c>
      <c r="C3" s="99" t="s">
        <v>33</v>
      </c>
      <c r="D3" s="47"/>
      <c r="E3" s="102" t="s">
        <v>0</v>
      </c>
      <c r="F3" s="96" t="s">
        <v>67</v>
      </c>
      <c r="G3" s="105" t="s">
        <v>68</v>
      </c>
      <c r="H3" s="106"/>
      <c r="I3" s="106"/>
      <c r="J3" s="106"/>
      <c r="K3" s="106"/>
      <c r="L3" s="107"/>
      <c r="M3" s="96" t="s">
        <v>3</v>
      </c>
    </row>
    <row r="4" spans="1:14" s="5" customFormat="1" x14ac:dyDescent="0.3">
      <c r="A4" s="94"/>
      <c r="B4" s="97"/>
      <c r="C4" s="100"/>
      <c r="D4" s="46" t="s">
        <v>6</v>
      </c>
      <c r="E4" s="103"/>
      <c r="F4" s="97"/>
      <c r="G4" s="93" t="s">
        <v>69</v>
      </c>
      <c r="H4" s="96" t="s">
        <v>70</v>
      </c>
      <c r="I4" s="48" t="s">
        <v>71</v>
      </c>
      <c r="J4" s="96" t="s">
        <v>72</v>
      </c>
      <c r="K4" s="48" t="s">
        <v>73</v>
      </c>
      <c r="L4" s="49" t="s">
        <v>74</v>
      </c>
      <c r="M4" s="97"/>
    </row>
    <row r="5" spans="1:14" s="5" customFormat="1" x14ac:dyDescent="0.3">
      <c r="A5" s="95"/>
      <c r="B5" s="98"/>
      <c r="C5" s="101"/>
      <c r="D5" s="50" t="s">
        <v>7</v>
      </c>
      <c r="E5" s="104"/>
      <c r="F5" s="98"/>
      <c r="G5" s="95"/>
      <c r="H5" s="98"/>
      <c r="I5" s="51" t="s">
        <v>75</v>
      </c>
      <c r="J5" s="98"/>
      <c r="K5" s="51" t="s">
        <v>76</v>
      </c>
      <c r="L5" s="52" t="s">
        <v>77</v>
      </c>
      <c r="M5" s="98"/>
    </row>
    <row r="6" spans="1:14" s="5" customFormat="1" x14ac:dyDescent="0.3">
      <c r="A6" s="10"/>
      <c r="B6" s="17" t="s">
        <v>54</v>
      </c>
      <c r="C6" s="10"/>
      <c r="D6" s="24"/>
      <c r="E6" s="13"/>
      <c r="F6" s="8"/>
      <c r="G6" s="10"/>
      <c r="H6" s="8"/>
      <c r="I6" s="8"/>
      <c r="J6" s="8"/>
      <c r="K6" s="8"/>
      <c r="L6" s="8"/>
      <c r="M6" s="8"/>
    </row>
    <row r="7" spans="1:14" s="5" customFormat="1" x14ac:dyDescent="0.3">
      <c r="A7" s="10">
        <v>1</v>
      </c>
      <c r="B7" s="8" t="s">
        <v>29</v>
      </c>
      <c r="C7" s="10" t="s">
        <v>30</v>
      </c>
      <c r="D7" s="12" t="s">
        <v>63</v>
      </c>
      <c r="E7" s="30">
        <v>590</v>
      </c>
      <c r="F7" s="8" t="s">
        <v>151</v>
      </c>
      <c r="G7" s="67"/>
      <c r="H7" s="21"/>
      <c r="I7" s="67" t="s">
        <v>88</v>
      </c>
      <c r="J7" s="8"/>
      <c r="K7" s="8"/>
      <c r="L7" s="8"/>
      <c r="M7" s="8"/>
      <c r="N7" s="79" t="s">
        <v>113</v>
      </c>
    </row>
    <row r="8" spans="1:14" s="5" customFormat="1" ht="19.5" thickBot="1" x14ac:dyDescent="0.35">
      <c r="A8" s="23"/>
      <c r="B8" s="18"/>
      <c r="C8" s="23"/>
      <c r="D8" s="25" t="s">
        <v>34</v>
      </c>
      <c r="E8" s="26">
        <f>SUM(E7:E7)</f>
        <v>590</v>
      </c>
      <c r="F8" s="23"/>
      <c r="G8" s="23"/>
      <c r="H8" s="18"/>
      <c r="I8" s="18"/>
      <c r="J8" s="18"/>
      <c r="K8" s="18"/>
      <c r="L8" s="18"/>
      <c r="M8" s="18"/>
    </row>
    <row r="9" spans="1:14" s="5" customFormat="1" ht="19.5" thickTop="1" x14ac:dyDescent="0.3">
      <c r="A9" s="4"/>
      <c r="C9" s="4"/>
      <c r="D9" s="58"/>
      <c r="E9" s="55"/>
      <c r="F9" s="4"/>
      <c r="G9" s="4"/>
    </row>
    <row r="10" spans="1:14" s="5" customFormat="1" x14ac:dyDescent="0.3">
      <c r="A10" s="4"/>
      <c r="C10" s="4"/>
      <c r="D10" s="58"/>
      <c r="E10" s="55"/>
      <c r="F10" s="4"/>
      <c r="G10" s="4"/>
    </row>
    <row r="11" spans="1:14" s="5" customFormat="1" x14ac:dyDescent="0.3">
      <c r="A11" s="4"/>
      <c r="C11" s="4"/>
      <c r="D11" s="58"/>
      <c r="E11" s="55"/>
      <c r="F11" s="4"/>
      <c r="G11" s="4"/>
    </row>
    <row r="12" spans="1:14" s="5" customFormat="1" x14ac:dyDescent="0.3">
      <c r="A12" s="4"/>
      <c r="C12" s="4"/>
      <c r="D12" s="58"/>
      <c r="E12" s="55"/>
      <c r="F12" s="4"/>
      <c r="G12" s="4"/>
    </row>
    <row r="13" spans="1:14" s="5" customFormat="1" x14ac:dyDescent="0.3">
      <c r="A13" s="4"/>
      <c r="C13" s="4"/>
      <c r="D13" s="58"/>
      <c r="E13" s="55"/>
      <c r="F13" s="4"/>
      <c r="G13" s="4"/>
    </row>
    <row r="14" spans="1:14" s="5" customFormat="1" x14ac:dyDescent="0.3">
      <c r="A14" s="4"/>
      <c r="C14" s="4"/>
      <c r="D14" s="58"/>
      <c r="E14" s="55"/>
      <c r="F14" s="4"/>
      <c r="G14" s="4"/>
    </row>
    <row r="15" spans="1:14" s="5" customFormat="1" x14ac:dyDescent="0.3">
      <c r="A15" s="4"/>
      <c r="C15" s="4"/>
      <c r="D15" s="58"/>
      <c r="E15" s="55"/>
      <c r="F15" s="4"/>
      <c r="G15" s="4"/>
    </row>
    <row r="16" spans="1:14" s="5" customFormat="1" x14ac:dyDescent="0.3">
      <c r="A16" s="4"/>
      <c r="C16" s="4"/>
      <c r="D16" s="58"/>
      <c r="E16" s="55"/>
      <c r="F16" s="4"/>
      <c r="G16" s="4"/>
    </row>
    <row r="17" spans="1:7" s="5" customFormat="1" x14ac:dyDescent="0.3">
      <c r="A17" s="4"/>
      <c r="C17" s="4"/>
      <c r="D17" s="58"/>
      <c r="E17" s="55"/>
      <c r="F17" s="4"/>
      <c r="G17" s="4"/>
    </row>
    <row r="18" spans="1:7" s="5" customFormat="1" x14ac:dyDescent="0.3">
      <c r="A18" s="4"/>
      <c r="C18" s="4"/>
      <c r="D18" s="58"/>
      <c r="E18" s="55"/>
      <c r="F18" s="4"/>
      <c r="G18" s="4"/>
    </row>
    <row r="19" spans="1:7" s="5" customFormat="1" x14ac:dyDescent="0.3">
      <c r="A19" s="4"/>
      <c r="C19" s="4"/>
      <c r="D19" s="58"/>
      <c r="E19" s="55"/>
      <c r="F19" s="4"/>
      <c r="G19" s="4"/>
    </row>
    <row r="20" spans="1:7" s="5" customFormat="1" x14ac:dyDescent="0.3">
      <c r="A20" s="4"/>
      <c r="C20" s="4"/>
      <c r="D20" s="58"/>
      <c r="E20" s="55"/>
      <c r="F20" s="4"/>
      <c r="G20" s="4"/>
    </row>
  </sheetData>
  <mergeCells count="12">
    <mergeCell ref="A1:M1"/>
    <mergeCell ref="A2:M2"/>
    <mergeCell ref="A3:A5"/>
    <mergeCell ref="B3:B5"/>
    <mergeCell ref="C3:C5"/>
    <mergeCell ref="E3:E5"/>
    <mergeCell ref="F3:F5"/>
    <mergeCell ref="G3:L3"/>
    <mergeCell ref="M3:M5"/>
    <mergeCell ref="G4:G5"/>
    <mergeCell ref="H4:H5"/>
    <mergeCell ref="J4:J5"/>
  </mergeCells>
  <pageMargins left="0.27559055118110237" right="0.19685039370078741" top="0.55118110236220474" bottom="0.74803149606299213" header="0.31496062992125984" footer="0.31496062992125984"/>
  <pageSetup paperSize="9" orientation="landscape" horizontalDpi="4294967293" r:id="rId1"/>
  <headerFooter differentFirst="1"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</vt:i4>
      </vt:variant>
      <vt:variant>
        <vt:lpstr>ช่วงที่มีชื่อ</vt:lpstr>
      </vt:variant>
      <vt:variant>
        <vt:i4>2</vt:i4>
      </vt:variant>
    </vt:vector>
  </HeadingPairs>
  <TitlesOfParts>
    <vt:vector size="5" baseType="lpstr">
      <vt:lpstr>สำนักงาน</vt:lpstr>
      <vt:lpstr>คอมพิวเตอร์</vt:lpstr>
      <vt:lpstr>ต่ำกว่าเกณฑ์</vt:lpstr>
      <vt:lpstr>สำนักงาน!Print_Area</vt:lpstr>
      <vt:lpstr>สำนักงาน!Print_Titles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ThinkCentre</cp:lastModifiedBy>
  <cp:lastPrinted>2024-10-24T04:42:06Z</cp:lastPrinted>
  <dcterms:created xsi:type="dcterms:W3CDTF">2015-07-09T01:24:36Z</dcterms:created>
  <dcterms:modified xsi:type="dcterms:W3CDTF">2024-10-31T06:39:26Z</dcterms:modified>
</cp:coreProperties>
</file>