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งานเครื่องเก่า\E\UBONTAI งานต่าง ๆ\ครุภัณฑ์ 2567\ครุภัณฑ์ 2567 แต่ละงาน\"/>
    </mc:Choice>
  </mc:AlternateContent>
  <xr:revisionPtr revIDLastSave="0" documentId="13_ncr:1_{56366DB0-A9DF-4342-9A70-1E0E9DB54349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1.สำนักงาน" sheetId="1" r:id="rId1"/>
    <sheet name="5.คอมพิวเตอร์" sheetId="7" r:id="rId2"/>
    <sheet name="ต่ำกว่าเกณฑ์" sheetId="13" r:id="rId3"/>
    <sheet name="Sheet1" sheetId="36" r:id="rId4"/>
    <sheet name="Sheet2" sheetId="37" r:id="rId5"/>
  </sheets>
  <definedNames>
    <definedName name="_xlnm._FilterDatabase" localSheetId="0" hidden="1">'1.สำนักงาน'!$C$7:$C$9</definedName>
    <definedName name="_xlnm.Print_Titles" localSheetId="0">'1.สำนักงาน'!$3:$5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1" i="7" l="1"/>
  <c r="E23" i="1"/>
  <c r="E12" i="1"/>
  <c r="E11" i="13"/>
  <c r="E20" i="1"/>
  <c r="E16" i="13"/>
</calcChain>
</file>

<file path=xl/sharedStrings.xml><?xml version="1.0" encoding="utf-8"?>
<sst xmlns="http://schemas.openxmlformats.org/spreadsheetml/2006/main" count="289" uniqueCount="128">
  <si>
    <t>ราคาที่ได้มา</t>
  </si>
  <si>
    <t>โต๊ะคอมพิวเตอร์</t>
  </si>
  <si>
    <t>400-52-5939</t>
  </si>
  <si>
    <t>รายการ</t>
  </si>
  <si>
    <t>หมายเหตุ</t>
  </si>
  <si>
    <t>21 มี.ค. 2545</t>
  </si>
  <si>
    <t>วัน เดือน ปี</t>
  </si>
  <si>
    <t>ที่ได้มา</t>
  </si>
  <si>
    <t>400-37-2369</t>
  </si>
  <si>
    <t>งานวิเคราะห์</t>
  </si>
  <si>
    <t>400-37-2370</t>
  </si>
  <si>
    <t>ตู้เหล็กเก็บเอกสาร ชนิด 2 บาน ยี่ห้อคิงคอง</t>
  </si>
  <si>
    <t>406-30-0393</t>
  </si>
  <si>
    <t>26 มิ.ย. 2530</t>
  </si>
  <si>
    <t>406-37-0660</t>
  </si>
  <si>
    <t>406-39-0787</t>
  </si>
  <si>
    <t>28 ก.พ. 2539</t>
  </si>
  <si>
    <t>406-41-0932</t>
  </si>
  <si>
    <t xml:space="preserve">ตู้บานเลื่อนกระจกขนาด 1486x406x876 ซม. </t>
  </si>
  <si>
    <t>406-42-0959</t>
  </si>
  <si>
    <t>29 ม.ค. 2542</t>
  </si>
  <si>
    <t>406-45-1033</t>
  </si>
  <si>
    <t>น.ส.ญาดา ณ วงค์จันทร์</t>
  </si>
  <si>
    <t>เก้าอี้ทำงาน ยี่ห้อ MONO</t>
  </si>
  <si>
    <t>401-56-0728 (ต)</t>
  </si>
  <si>
    <t>16 ก.ย. 2556</t>
  </si>
  <si>
    <t>เก้าอี้ทำงาน ยี่ห้อ TAIYO</t>
  </si>
  <si>
    <t>401-57-0803 (ต)</t>
  </si>
  <si>
    <t>28 ก.ค. 2557</t>
  </si>
  <si>
    <t>เก้าอี้ทำงาน ยี่ห้อ ITOKI</t>
  </si>
  <si>
    <t>401-58-0861 (ต)</t>
  </si>
  <si>
    <t>22 มิ.ย. 2558</t>
  </si>
  <si>
    <t>ชั้นวางเอกสารแบบ 5 ช่อง</t>
  </si>
  <si>
    <t>404-58-0028 (ต)</t>
  </si>
  <si>
    <t xml:space="preserve">โต๊ะวางคอมพิวเตอร์ </t>
  </si>
  <si>
    <t>400-44-3968</t>
  </si>
  <si>
    <t>10 ส.ค. 2555</t>
  </si>
  <si>
    <t>รหัสครุภัณฑ์</t>
  </si>
  <si>
    <t>รวม</t>
  </si>
  <si>
    <t xml:space="preserve"> 15 ก.ค. 2552</t>
  </si>
  <si>
    <t>28 ก.พ. 2537</t>
  </si>
  <si>
    <t>2 ธ.ค. 2536</t>
  </si>
  <si>
    <t>โต๊ะ (400)</t>
  </si>
  <si>
    <t>เก้าอี้ (401)</t>
  </si>
  <si>
    <t>ตู้ (406)</t>
  </si>
  <si>
    <t>23 พ.ค. 2559</t>
  </si>
  <si>
    <t>416-55-0694</t>
  </si>
  <si>
    <t>416-55-0683</t>
  </si>
  <si>
    <t>เครื่องสำรองไฟ ยี่ห้อ ZIRCON รุ่น Galaxy</t>
  </si>
  <si>
    <t>416-59-0898</t>
  </si>
  <si>
    <t>ตู้เก็บเอกสารชนิดบานเลื่อนขนาด 5 ฟุต พร้อมฐาน</t>
  </si>
  <si>
    <t>ตู้เก็บเอกสาร ชนิด 2 บาน ยี่ห้อ TAIYO  พร้อมฐาน</t>
  </si>
  <si>
    <t>จอภาพแบบ LCD ขนาด 20 นิ้ว ยี่ห้อ Acer Veriton</t>
  </si>
  <si>
    <t>เครื่องคอมพิวเตอร์ยี่ห้อ ACER รุ่น Veriton M4610G</t>
  </si>
  <si>
    <t>ชั้นวางของ (404)</t>
  </si>
  <si>
    <t>22  มิ.ย. 2558</t>
  </si>
  <si>
    <t>26 มี.ค. 2544</t>
  </si>
  <si>
    <t>28 ต.ค. 2541</t>
  </si>
  <si>
    <t>สถานที่ใช้งาน</t>
  </si>
  <si>
    <t>สภาพครุภัณฑ์</t>
  </si>
  <si>
    <t>ใช้ได้</t>
  </si>
  <si>
    <t>ชำรุด</t>
  </si>
  <si>
    <t>เสื่อม</t>
  </si>
  <si>
    <t>สูญหาย</t>
  </si>
  <si>
    <t>เก็บ</t>
  </si>
  <si>
    <t>หมดความ</t>
  </si>
  <si>
    <t>สภาพ</t>
  </si>
  <si>
    <t>ไว้นาน</t>
  </si>
  <si>
    <t>จำเป็น</t>
  </si>
  <si>
    <t xml:space="preserve">ตู้เก็บเอกสาร ชนิดบานเลื่อนกระจก </t>
  </si>
  <si>
    <t>ü</t>
  </si>
  <si>
    <t xml:space="preserve">โต๊ะทำงาน ระดับ 3-6 </t>
  </si>
  <si>
    <t>โต๊ะทำงาน ระดับ 3-6</t>
  </si>
  <si>
    <t xml:space="preserve">เครื่องเย็บกระดาษ </t>
  </si>
  <si>
    <t>เครื่องเย็บกระดาษ (470)</t>
  </si>
  <si>
    <t>470-32-0006</t>
  </si>
  <si>
    <t>8 มี.ค. 2532</t>
  </si>
  <si>
    <t>ในตู้ 1 ข้างห้องครัว</t>
  </si>
  <si>
    <t>เครื่องพิมพ์ ยี่ห้อ EPSON รุ่น L3110</t>
  </si>
  <si>
    <t>416-63-1709</t>
  </si>
  <si>
    <t>25 มิ.ย. 2563</t>
  </si>
  <si>
    <t>เครื่องพิมพ์ ยี่ห้อ Pantum รุ่น P2500W</t>
  </si>
  <si>
    <t>416-63-1401</t>
  </si>
  <si>
    <t>8 ต.ค. 2562</t>
  </si>
  <si>
    <t>416-65-1970</t>
  </si>
  <si>
    <t xml:space="preserve">เครื่องคอมพิวเตอร์ ยี่ห้อ ACER รุ่น ES2740G </t>
  </si>
  <si>
    <t>6 มิ.ย. 2565</t>
  </si>
  <si>
    <t xml:space="preserve">เครื่องสำรองไฟฟ้า ขนาด 1kVA ยี่ห้อ ZIRCON </t>
  </si>
  <si>
    <t>รุ่น EMPOW 1200VA720W</t>
  </si>
  <si>
    <t>416-65-1990</t>
  </si>
  <si>
    <t>416-65-1971</t>
  </si>
  <si>
    <t xml:space="preserve">Core I3-10105 </t>
  </si>
  <si>
    <t>จอคอมพิวเตอร์  (จอแสดงภาพขนาด 19.5 นิ้ว)</t>
  </si>
  <si>
    <t>ยี่ห้อ Acer รุ่น V206HQL</t>
  </si>
  <si>
    <t>เครื่องคอมพิวเตอร์โน็คบุ๊ค สำหรับงานประมวลผล</t>
  </si>
  <si>
    <t>ยี่ห้อ Acer รุ่น TMP214-41-G2</t>
  </si>
  <si>
    <t>416-65-1957</t>
  </si>
  <si>
    <t>งานวิเคราะห์นโยบายและแผน ฝ่ายแผนงานและงบประมาณ กองยุทธศาสตร์และงบประมาณ</t>
  </si>
  <si>
    <t>น.ส.วราพรรณ ทะชมภู</t>
  </si>
  <si>
    <t>นายพิชญะ ดวงฟู</t>
  </si>
  <si>
    <t>นางพรพิมล อินเตชะ</t>
  </si>
  <si>
    <t>โต๊ะทำงาน ระดับ 1-2</t>
  </si>
  <si>
    <t>400-44-3980</t>
  </si>
  <si>
    <t>30 ก.ค. 2544</t>
  </si>
  <si>
    <t>ทะเบียนรายงานผลการตรวจนับครุภัณฑ์สำนักงาน  ประจำปี 2567</t>
  </si>
  <si>
    <t>ทะเบียนรายงานผลการตรวจนับครุภัณฑ์คอมพิวเตอร์ ประจำปี 2567</t>
  </si>
  <si>
    <t>ทะเบียนรายงานผลการตรวจนับครุภัณฑ์สำนักงาน (ต่ำกว่าเกณฑ์) ประจำปี 2567</t>
  </si>
  <si>
    <t>เครื่องแสกนเนอร์ สำหรับงานเก็บเอกสารระดับศูนย์บริการ แบบที่ 1 ยี่ห้อ HP รุ่น SCANJET PRO 2000S2 เลขประจำเครื่อง CN38IB203K</t>
  </si>
  <si>
    <t>416-66-2405</t>
  </si>
  <si>
    <t>*พี่เอ็กใช้</t>
  </si>
  <si>
    <t>ที่เก็บของ สวนเทศบาล 7ฯ</t>
  </si>
  <si>
    <t>หน้าห้องประชุม</t>
  </si>
  <si>
    <t>*พี่บีใช้</t>
  </si>
  <si>
    <t>416-66-2388</t>
  </si>
  <si>
    <t>เครื่องคอมพิวเตอร์สำหรับประมวลผลแบบที่ 2 ยี่ห้อ Acer รุ่น Veriton S2690G</t>
  </si>
  <si>
    <t>15 พ.ย. 2566</t>
  </si>
  <si>
    <t xml:space="preserve">จอแสดงภาพขนาด 23.8 นิ้ว แบบที่ 2 ยี่ห้อ Acer รุ่น Veriton S2690G </t>
  </si>
  <si>
    <t>416-66-2392</t>
  </si>
  <si>
    <t>416-66-2393</t>
  </si>
  <si>
    <t>เครื่องสำรองไฟ ยี่ห้อ Chuphotic รุ่น PT 1000 HOE</t>
  </si>
  <si>
    <t>416-66-2398</t>
  </si>
  <si>
    <t>416-66-2397</t>
  </si>
  <si>
    <t>นางนารี เมืองมูล</t>
  </si>
  <si>
    <t>ข้างโต๊ะนางพรพิมล + นางนารี เมืองมูล</t>
  </si>
  <si>
    <t>เบาะเสีย</t>
  </si>
  <si>
    <t>ของเราจริงๆไม่ดีจำหน่ายเป็นของงานเครื่องพี่เอ็กแทน</t>
  </si>
  <si>
    <t>ลำดับ
ที่</t>
  </si>
  <si>
    <t>416-66-2389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</si>
</sst>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87" formatCode="_-* #,##0_-;\-* #,##0_-;_-* &quot;-&quot;??_-;_-@_-"/>
  </numFmts>
  <fonts count="13" x14ac:knownFonts="1">
    <font>
      <sz val="11"/>
      <color theme="1"/>
      <name val="Tahoma"/>
      <family val="2"/>
      <charset val="222"/>
    </font>
    <font>
      <b/>
      <sz val="14"/>
      <name val="TH SarabunPSK"/>
      <family val="2"/>
    </font>
    <font>
      <sz val="14"/>
      <name val="TH SarabunPSK"/>
      <family val="2"/>
    </font>
    <font>
      <sz val="12"/>
      <name val="TH SarabunPSK"/>
      <family val="2"/>
    </font>
    <font>
      <sz val="11"/>
      <color indexed="8"/>
      <name val="Tahoma"/>
      <family val="2"/>
      <charset val="222"/>
    </font>
    <font>
      <sz val="14"/>
      <color indexed="8"/>
      <name val="TH SarabunPSK"/>
      <family val="2"/>
    </font>
    <font>
      <sz val="14"/>
      <color indexed="10"/>
      <name val="TH SarabunPSK"/>
      <family val="2"/>
    </font>
    <font>
      <b/>
      <sz val="14"/>
      <color indexed="8"/>
      <name val="TH SarabunPSK"/>
      <family val="2"/>
    </font>
    <font>
      <sz val="8"/>
      <name val="Tahoma"/>
      <family val="2"/>
      <charset val="222"/>
    </font>
    <font>
      <sz val="14"/>
      <color theme="1"/>
      <name val="TH SarabunPSK"/>
      <family val="2"/>
    </font>
    <font>
      <sz val="14"/>
      <color rgb="FFFF0000"/>
      <name val="TH SarabunPSK"/>
      <family val="2"/>
    </font>
    <font>
      <b/>
      <sz val="12"/>
      <name val="TH SarabunPSK"/>
      <family val="2"/>
    </font>
    <font>
      <sz val="14"/>
      <name val="Wingdings"/>
      <charset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177">
    <xf numFmtId="0" fontId="0" fillId="0" borderId="0" xfId="0"/>
    <xf numFmtId="0" fontId="5" fillId="0" borderId="0" xfId="0" applyFont="1"/>
    <xf numFmtId="0" fontId="5" fillId="0" borderId="0" xfId="0" applyFont="1" applyAlignment="1">
      <alignment horizontal="center"/>
    </xf>
    <xf numFmtId="187" fontId="5" fillId="0" borderId="0" xfId="1" applyNumberFormat="1" applyFont="1"/>
    <xf numFmtId="0" fontId="2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 vertical="center"/>
    </xf>
    <xf numFmtId="0" fontId="9" fillId="0" borderId="0" xfId="0" applyFont="1"/>
    <xf numFmtId="49" fontId="2" fillId="0" borderId="0" xfId="0" applyNumberFormat="1" applyFont="1" applyAlignment="1">
      <alignment horizontal="center"/>
    </xf>
    <xf numFmtId="0" fontId="2" fillId="0" borderId="15" xfId="0" applyFont="1" applyBorder="1" applyAlignment="1">
      <alignment horizontal="left" vertical="center"/>
    </xf>
    <xf numFmtId="0" fontId="2" fillId="0" borderId="15" xfId="0" applyFont="1" applyBorder="1"/>
    <xf numFmtId="0" fontId="2" fillId="0" borderId="15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/>
    </xf>
    <xf numFmtId="49" fontId="2" fillId="0" borderId="15" xfId="0" applyNumberFormat="1" applyFont="1" applyBorder="1" applyAlignment="1">
      <alignment horizontal="center"/>
    </xf>
    <xf numFmtId="0" fontId="5" fillId="0" borderId="15" xfId="0" applyFont="1" applyBorder="1"/>
    <xf numFmtId="49" fontId="2" fillId="0" borderId="15" xfId="0" applyNumberFormat="1" applyFont="1" applyBorder="1"/>
    <xf numFmtId="0" fontId="2" fillId="0" borderId="15" xfId="0" applyFont="1" applyBorder="1" applyAlignment="1">
      <alignment horizontal="left"/>
    </xf>
    <xf numFmtId="0" fontId="6" fillId="0" borderId="15" xfId="0" applyFont="1" applyBorder="1"/>
    <xf numFmtId="0" fontId="5" fillId="0" borderId="15" xfId="0" applyFont="1" applyBorder="1" applyAlignment="1">
      <alignment horizontal="center"/>
    </xf>
    <xf numFmtId="187" fontId="5" fillId="0" borderId="0" xfId="1" applyNumberFormat="1" applyFont="1" applyBorder="1"/>
    <xf numFmtId="0" fontId="5" fillId="0" borderId="15" xfId="0" applyFont="1" applyBorder="1" applyAlignment="1">
      <alignment horizontal="center" vertical="center"/>
    </xf>
    <xf numFmtId="0" fontId="2" fillId="0" borderId="19" xfId="0" applyFont="1" applyBorder="1"/>
    <xf numFmtId="187" fontId="2" fillId="0" borderId="15" xfId="1" applyNumberFormat="1" applyFont="1" applyBorder="1" applyAlignment="1">
      <alignment horizontal="right"/>
    </xf>
    <xf numFmtId="187" fontId="2" fillId="0" borderId="15" xfId="1" applyNumberFormat="1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1" fillId="0" borderId="15" xfId="0" applyFont="1" applyBorder="1"/>
    <xf numFmtId="3" fontId="2" fillId="0" borderId="15" xfId="0" applyNumberFormat="1" applyFont="1" applyBorder="1" applyAlignment="1">
      <alignment horizontal="right"/>
    </xf>
    <xf numFmtId="0" fontId="2" fillId="0" borderId="20" xfId="0" applyFont="1" applyBorder="1"/>
    <xf numFmtId="187" fontId="2" fillId="0" borderId="15" xfId="1" applyNumberFormat="1" applyFont="1" applyBorder="1" applyAlignment="1">
      <alignment horizontal="right" vertical="center"/>
    </xf>
    <xf numFmtId="0" fontId="7" fillId="0" borderId="15" xfId="0" applyFont="1" applyBorder="1" applyAlignment="1">
      <alignment horizontal="center" vertical="center"/>
    </xf>
    <xf numFmtId="187" fontId="5" fillId="0" borderId="15" xfId="1" applyNumberFormat="1" applyFont="1" applyBorder="1"/>
    <xf numFmtId="0" fontId="7" fillId="0" borderId="0" xfId="0" applyFont="1" applyAlignment="1">
      <alignment horizontal="center"/>
    </xf>
    <xf numFmtId="0" fontId="2" fillId="0" borderId="0" xfId="0" applyFont="1" applyAlignment="1">
      <alignment horizontal="left" vertical="center"/>
    </xf>
    <xf numFmtId="49" fontId="7" fillId="0" borderId="15" xfId="0" applyNumberFormat="1" applyFont="1" applyBorder="1" applyAlignment="1">
      <alignment horizontal="center"/>
    </xf>
    <xf numFmtId="0" fontId="2" fillId="0" borderId="15" xfId="0" applyFont="1" applyBorder="1" applyAlignment="1">
      <alignment horizontal="right"/>
    </xf>
    <xf numFmtId="0" fontId="6" fillId="0" borderId="0" xfId="0" applyFont="1"/>
    <xf numFmtId="3" fontId="2" fillId="0" borderId="0" xfId="0" applyNumberFormat="1" applyFont="1" applyAlignment="1">
      <alignment horizontal="right"/>
    </xf>
    <xf numFmtId="49" fontId="2" fillId="0" borderId="0" xfId="0" applyNumberFormat="1" applyFont="1"/>
    <xf numFmtId="0" fontId="5" fillId="0" borderId="19" xfId="0" applyFont="1" applyBorder="1"/>
    <xf numFmtId="187" fontId="7" fillId="0" borderId="15" xfId="1" applyNumberFormat="1" applyFont="1" applyBorder="1" applyAlignment="1">
      <alignment horizontal="right" vertical="center"/>
    </xf>
    <xf numFmtId="0" fontId="7" fillId="0" borderId="15" xfId="0" applyFont="1" applyBorder="1" applyAlignment="1">
      <alignment horizontal="left" vertical="center"/>
    </xf>
    <xf numFmtId="0" fontId="2" fillId="0" borderId="20" xfId="0" applyFont="1" applyBorder="1" applyAlignment="1">
      <alignment horizontal="center"/>
    </xf>
    <xf numFmtId="0" fontId="2" fillId="0" borderId="14" xfId="0" applyFont="1" applyBorder="1"/>
    <xf numFmtId="3" fontId="2" fillId="0" borderId="15" xfId="0" applyNumberFormat="1" applyFont="1" applyBorder="1" applyAlignment="1">
      <alignment horizontal="center"/>
    </xf>
    <xf numFmtId="3" fontId="2" fillId="0" borderId="12" xfId="0" applyNumberFormat="1" applyFont="1" applyBorder="1" applyAlignment="1">
      <alignment horizontal="center"/>
    </xf>
    <xf numFmtId="0" fontId="2" fillId="0" borderId="12" xfId="0" applyFont="1" applyBorder="1" applyAlignment="1">
      <alignment horizontal="right"/>
    </xf>
    <xf numFmtId="3" fontId="1" fillId="0" borderId="13" xfId="0" applyNumberFormat="1" applyFont="1" applyBorder="1" applyAlignment="1">
      <alignment horizontal="center"/>
    </xf>
    <xf numFmtId="3" fontId="1" fillId="0" borderId="13" xfId="0" applyNumberFormat="1" applyFont="1" applyBorder="1" applyAlignment="1">
      <alignment horizontal="right"/>
    </xf>
    <xf numFmtId="187" fontId="1" fillId="0" borderId="13" xfId="1" applyNumberFormat="1" applyFont="1" applyBorder="1" applyAlignment="1">
      <alignment horizontal="center"/>
    </xf>
    <xf numFmtId="0" fontId="3" fillId="0" borderId="15" xfId="0" applyFont="1" applyBorder="1" applyAlignment="1">
      <alignment horizontal="left"/>
    </xf>
    <xf numFmtId="3" fontId="10" fillId="0" borderId="15" xfId="0" applyNumberFormat="1" applyFont="1" applyBorder="1" applyAlignment="1">
      <alignment horizontal="right"/>
    </xf>
    <xf numFmtId="49" fontId="2" fillId="0" borderId="7" xfId="0" applyNumberFormat="1" applyFont="1" applyBorder="1" applyAlignment="1">
      <alignment horizontal="center"/>
    </xf>
    <xf numFmtId="187" fontId="5" fillId="0" borderId="0" xfId="0" applyNumberFormat="1" applyFont="1" applyAlignment="1">
      <alignment horizontal="center"/>
    </xf>
    <xf numFmtId="187" fontId="5" fillId="0" borderId="0" xfId="0" applyNumberFormat="1" applyFont="1"/>
    <xf numFmtId="187" fontId="2" fillId="0" borderId="15" xfId="1" applyNumberFormat="1" applyFont="1" applyBorder="1"/>
    <xf numFmtId="0" fontId="1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horizontal="center" vertical="center"/>
    </xf>
    <xf numFmtId="0" fontId="3" fillId="0" borderId="0" xfId="0" applyFont="1"/>
    <xf numFmtId="0" fontId="2" fillId="0" borderId="18" xfId="0" applyFont="1" applyBorder="1" applyAlignment="1">
      <alignment horizontal="center" vertical="center"/>
    </xf>
    <xf numFmtId="0" fontId="1" fillId="0" borderId="19" xfId="0" applyFont="1" applyBorder="1" applyAlignment="1">
      <alignment horizontal="left" vertical="center"/>
    </xf>
    <xf numFmtId="0" fontId="1" fillId="0" borderId="17" xfId="0" applyFont="1" applyBorder="1" applyAlignment="1">
      <alignment horizontal="center" vertical="center"/>
    </xf>
    <xf numFmtId="187" fontId="1" fillId="0" borderId="19" xfId="1" applyNumberFormat="1" applyFont="1" applyBorder="1" applyAlignment="1">
      <alignment vertical="center"/>
    </xf>
    <xf numFmtId="0" fontId="1" fillId="0" borderId="19" xfId="0" applyFont="1" applyBorder="1" applyAlignment="1">
      <alignment horizontal="center" vertical="center"/>
    </xf>
    <xf numFmtId="187" fontId="2" fillId="0" borderId="15" xfId="1" applyNumberFormat="1" applyFont="1" applyBorder="1" applyAlignment="1"/>
    <xf numFmtId="187" fontId="2" fillId="0" borderId="0" xfId="1" applyNumberFormat="1" applyFont="1" applyBorder="1"/>
    <xf numFmtId="3" fontId="2" fillId="0" borderId="15" xfId="0" applyNumberFormat="1" applyFont="1" applyBorder="1"/>
    <xf numFmtId="15" fontId="2" fillId="0" borderId="15" xfId="0" applyNumberFormat="1" applyFont="1" applyBorder="1" applyAlignment="1">
      <alignment horizontal="center"/>
    </xf>
    <xf numFmtId="187" fontId="2" fillId="0" borderId="15" xfId="1" applyNumberFormat="1" applyFont="1" applyBorder="1" applyAlignment="1">
      <alignment vertical="center"/>
    </xf>
    <xf numFmtId="49" fontId="2" fillId="0" borderId="15" xfId="0" applyNumberFormat="1" applyFont="1" applyBorder="1" applyAlignment="1">
      <alignment horizontal="center" vertical="center" wrapText="1"/>
    </xf>
    <xf numFmtId="187" fontId="1" fillId="0" borderId="13" xfId="0" applyNumberFormat="1" applyFont="1" applyBorder="1" applyAlignment="1">
      <alignment horizontal="center"/>
    </xf>
    <xf numFmtId="49" fontId="2" fillId="0" borderId="15" xfId="0" applyNumberFormat="1" applyFont="1" applyBorder="1" applyAlignment="1">
      <alignment vertical="top" wrapText="1"/>
    </xf>
    <xf numFmtId="3" fontId="2" fillId="0" borderId="15" xfId="0" applyNumberFormat="1" applyFont="1" applyBorder="1" applyAlignment="1">
      <alignment horizontal="right" vertical="top"/>
    </xf>
    <xf numFmtId="187" fontId="1" fillId="0" borderId="13" xfId="0" applyNumberFormat="1" applyFont="1" applyBorder="1" applyAlignment="1">
      <alignment horizontal="right"/>
    </xf>
    <xf numFmtId="0" fontId="2" fillId="0" borderId="9" xfId="0" applyFont="1" applyBorder="1" applyAlignment="1">
      <alignment horizontal="center"/>
    </xf>
    <xf numFmtId="187" fontId="2" fillId="0" borderId="0" xfId="1" applyNumberFormat="1" applyFont="1"/>
    <xf numFmtId="0" fontId="3" fillId="0" borderId="15" xfId="0" applyFont="1" applyBorder="1" applyAlignment="1">
      <alignment horizontal="left" vertical="center"/>
    </xf>
    <xf numFmtId="43" fontId="2" fillId="0" borderId="15" xfId="1" applyFont="1" applyBorder="1"/>
    <xf numFmtId="49" fontId="2" fillId="0" borderId="15" xfId="0" applyNumberFormat="1" applyFont="1" applyBorder="1" applyAlignment="1">
      <alignment horizontal="center" vertical="top"/>
    </xf>
    <xf numFmtId="187" fontId="1" fillId="0" borderId="7" xfId="1" applyNumberFormat="1" applyFont="1" applyBorder="1" applyAlignment="1">
      <alignment horizontal="center"/>
    </xf>
    <xf numFmtId="187" fontId="1" fillId="0" borderId="3" xfId="1" applyNumberFormat="1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187" fontId="1" fillId="0" borderId="2" xfId="1" applyNumberFormat="1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3" fontId="2" fillId="0" borderId="7" xfId="0" applyNumberFormat="1" applyFont="1" applyBorder="1" applyAlignment="1">
      <alignment horizontal="right"/>
    </xf>
    <xf numFmtId="0" fontId="11" fillId="0" borderId="19" xfId="0" applyFont="1" applyBorder="1" applyAlignment="1">
      <alignment horizontal="left" vertical="center"/>
    </xf>
    <xf numFmtId="3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right"/>
    </xf>
    <xf numFmtId="3" fontId="1" fillId="0" borderId="1" xfId="0" applyNumberFormat="1" applyFont="1" applyBorder="1" applyAlignment="1">
      <alignment horizontal="center"/>
    </xf>
    <xf numFmtId="3" fontId="1" fillId="0" borderId="1" xfId="0" applyNumberFormat="1" applyFont="1" applyBorder="1" applyAlignment="1">
      <alignment horizontal="right"/>
    </xf>
    <xf numFmtId="0" fontId="5" fillId="0" borderId="0" xfId="0" applyFont="1" applyAlignment="1">
      <alignment horizontal="center" vertical="center"/>
    </xf>
    <xf numFmtId="187" fontId="2" fillId="0" borderId="0" xfId="1" applyNumberFormat="1" applyFont="1" applyBorder="1" applyAlignment="1">
      <alignment horizontal="center" vertical="center"/>
    </xf>
    <xf numFmtId="0" fontId="2" fillId="0" borderId="16" xfId="0" applyFont="1" applyBorder="1"/>
    <xf numFmtId="0" fontId="2" fillId="0" borderId="16" xfId="0" applyFont="1" applyBorder="1" applyAlignment="1">
      <alignment horizontal="center"/>
    </xf>
    <xf numFmtId="0" fontId="6" fillId="0" borderId="16" xfId="0" applyFont="1" applyBorder="1"/>
    <xf numFmtId="0" fontId="2" fillId="0" borderId="22" xfId="0" applyFont="1" applyBorder="1"/>
    <xf numFmtId="0" fontId="2" fillId="0" borderId="23" xfId="0" applyFont="1" applyBorder="1"/>
    <xf numFmtId="187" fontId="1" fillId="0" borderId="19" xfId="1" applyNumberFormat="1" applyFont="1" applyBorder="1" applyAlignment="1">
      <alignment horizontal="center"/>
    </xf>
    <xf numFmtId="187" fontId="1" fillId="0" borderId="0" xfId="1" applyNumberFormat="1" applyFont="1" applyBorder="1" applyAlignment="1">
      <alignment horizontal="center"/>
    </xf>
    <xf numFmtId="187" fontId="1" fillId="0" borderId="0" xfId="0" applyNumberFormat="1" applyFont="1" applyAlignment="1">
      <alignment horizontal="center"/>
    </xf>
    <xf numFmtId="0" fontId="3" fillId="0" borderId="0" xfId="0" applyFont="1" applyAlignment="1">
      <alignment horizontal="left"/>
    </xf>
    <xf numFmtId="0" fontId="12" fillId="0" borderId="15" xfId="0" applyFont="1" applyBorder="1" applyAlignment="1">
      <alignment horizontal="center"/>
    </xf>
    <xf numFmtId="49" fontId="2" fillId="0" borderId="14" xfId="0" applyNumberFormat="1" applyFont="1" applyBorder="1" applyAlignment="1">
      <alignment horizontal="center"/>
    </xf>
    <xf numFmtId="3" fontId="2" fillId="0" borderId="14" xfId="0" applyNumberFormat="1" applyFont="1" applyBorder="1" applyAlignment="1">
      <alignment horizontal="right"/>
    </xf>
    <xf numFmtId="187" fontId="1" fillId="0" borderId="2" xfId="1" applyNumberFormat="1" applyFont="1" applyBorder="1" applyAlignment="1">
      <alignment horizontal="center" vertical="center"/>
    </xf>
    <xf numFmtId="49" fontId="1" fillId="0" borderId="2" xfId="0" applyNumberFormat="1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187" fontId="5" fillId="0" borderId="2" xfId="1" applyNumberFormat="1" applyFont="1" applyBorder="1"/>
    <xf numFmtId="0" fontId="5" fillId="0" borderId="2" xfId="0" applyFont="1" applyBorder="1"/>
    <xf numFmtId="0" fontId="11" fillId="0" borderId="3" xfId="0" applyFont="1" applyBorder="1" applyAlignment="1">
      <alignment horizontal="center"/>
    </xf>
    <xf numFmtId="0" fontId="11" fillId="0" borderId="2" xfId="0" applyFont="1" applyBorder="1" applyAlignment="1">
      <alignment horizontal="center"/>
    </xf>
    <xf numFmtId="49" fontId="2" fillId="0" borderId="15" xfId="0" applyNumberFormat="1" applyFont="1" applyBorder="1" applyAlignment="1">
      <alignment horizontal="center" vertical="center"/>
    </xf>
    <xf numFmtId="0" fontId="12" fillId="0" borderId="15" xfId="0" applyFont="1" applyBorder="1" applyAlignment="1">
      <alignment horizontal="center" vertical="center"/>
    </xf>
    <xf numFmtId="0" fontId="5" fillId="0" borderId="15" xfId="0" applyFont="1" applyBorder="1" applyAlignment="1">
      <alignment vertical="center"/>
    </xf>
    <xf numFmtId="0" fontId="2" fillId="0" borderId="15" xfId="0" applyFont="1" applyBorder="1" applyAlignment="1">
      <alignment vertical="center"/>
    </xf>
    <xf numFmtId="0" fontId="2" fillId="0" borderId="7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49" fontId="2" fillId="0" borderId="14" xfId="0" applyNumberFormat="1" applyFont="1" applyBorder="1"/>
    <xf numFmtId="49" fontId="2" fillId="0" borderId="14" xfId="0" applyNumberFormat="1" applyFont="1" applyBorder="1" applyAlignment="1">
      <alignment wrapText="1"/>
    </xf>
    <xf numFmtId="49" fontId="2" fillId="0" borderId="15" xfId="0" applyNumberFormat="1" applyFont="1" applyBorder="1" applyAlignment="1">
      <alignment wrapText="1"/>
    </xf>
    <xf numFmtId="0" fontId="2" fillId="2" borderId="0" xfId="0" applyFont="1" applyFill="1"/>
    <xf numFmtId="187" fontId="2" fillId="0" borderId="15" xfId="1" applyNumberFormat="1" applyFont="1" applyFill="1" applyBorder="1" applyAlignment="1">
      <alignment horizontal="right"/>
    </xf>
    <xf numFmtId="49" fontId="2" fillId="0" borderId="15" xfId="0" applyNumberFormat="1" applyFont="1" applyBorder="1" applyAlignment="1">
      <alignment vertical="center"/>
    </xf>
    <xf numFmtId="3" fontId="2" fillId="0" borderId="15" xfId="0" applyNumberFormat="1" applyFont="1" applyBorder="1" applyAlignment="1">
      <alignment horizontal="right" vertical="center"/>
    </xf>
    <xf numFmtId="0" fontId="2" fillId="0" borderId="15" xfId="0" applyFont="1" applyBorder="1" applyAlignment="1">
      <alignment horizontal="left" vertical="center" wrapText="1"/>
    </xf>
    <xf numFmtId="49" fontId="2" fillId="0" borderId="0" xfId="0" applyNumberFormat="1" applyFont="1" applyAlignment="1">
      <alignment wrapText="1"/>
    </xf>
    <xf numFmtId="187" fontId="2" fillId="0" borderId="0" xfId="1" applyNumberFormat="1" applyFont="1" applyBorder="1" applyAlignment="1">
      <alignment horizontal="right" vertical="center"/>
    </xf>
    <xf numFmtId="0" fontId="12" fillId="0" borderId="0" xfId="0" applyFont="1" applyAlignment="1">
      <alignment horizontal="center" vertical="center"/>
    </xf>
    <xf numFmtId="0" fontId="2" fillId="0" borderId="24" xfId="0" applyFont="1" applyBorder="1"/>
    <xf numFmtId="49" fontId="2" fillId="0" borderId="7" xfId="0" applyNumberFormat="1" applyFont="1" applyBorder="1" applyAlignment="1">
      <alignment wrapText="1"/>
    </xf>
    <xf numFmtId="0" fontId="2" fillId="0" borderId="12" xfId="0" applyFont="1" applyBorder="1" applyAlignment="1">
      <alignment horizontal="center" vertical="center"/>
    </xf>
    <xf numFmtId="49" fontId="2" fillId="0" borderId="12" xfId="0" applyNumberFormat="1" applyFont="1" applyBorder="1" applyAlignment="1">
      <alignment horizontal="center"/>
    </xf>
    <xf numFmtId="187" fontId="2" fillId="0" borderId="12" xfId="1" applyNumberFormat="1" applyFont="1" applyBorder="1" applyAlignment="1">
      <alignment horizontal="right" vertical="center"/>
    </xf>
    <xf numFmtId="0" fontId="12" fillId="0" borderId="12" xfId="0" applyFont="1" applyBorder="1" applyAlignment="1">
      <alignment horizontal="center" vertical="center"/>
    </xf>
    <xf numFmtId="0" fontId="5" fillId="0" borderId="12" xfId="0" applyFont="1" applyBorder="1"/>
    <xf numFmtId="0" fontId="2" fillId="0" borderId="12" xfId="0" applyFont="1" applyBorder="1"/>
    <xf numFmtId="0" fontId="2" fillId="0" borderId="12" xfId="0" applyFont="1" applyBorder="1" applyAlignment="1">
      <alignment horizontal="left" vertical="center"/>
    </xf>
    <xf numFmtId="187" fontId="1" fillId="0" borderId="14" xfId="1" applyNumberFormat="1" applyFont="1" applyBorder="1" applyAlignment="1">
      <alignment horizontal="center"/>
    </xf>
    <xf numFmtId="187" fontId="1" fillId="0" borderId="12" xfId="1" applyNumberFormat="1" applyFont="1" applyBorder="1" applyAlignment="1">
      <alignment horizontal="center"/>
    </xf>
    <xf numFmtId="0" fontId="1" fillId="0" borderId="32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187" fontId="1" fillId="0" borderId="3" xfId="1" applyNumberFormat="1" applyFont="1" applyBorder="1" applyAlignment="1">
      <alignment horizontal="center" vertical="center"/>
    </xf>
    <xf numFmtId="187" fontId="1" fillId="0" borderId="7" xfId="1" applyNumberFormat="1" applyFont="1" applyBorder="1" applyAlignment="1">
      <alignment horizontal="center" vertical="center"/>
    </xf>
    <xf numFmtId="187" fontId="1" fillId="0" borderId="2" xfId="1" applyNumberFormat="1" applyFont="1" applyBorder="1" applyAlignment="1">
      <alignment horizontal="center" vertical="center"/>
    </xf>
    <xf numFmtId="0" fontId="1" fillId="0" borderId="10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8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1" fillId="0" borderId="28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 wrapText="1"/>
    </xf>
    <xf numFmtId="0" fontId="1" fillId="0" borderId="29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187" fontId="1" fillId="0" borderId="14" xfId="1" applyNumberFormat="1" applyFont="1" applyBorder="1" applyAlignment="1">
      <alignment horizontal="center" vertical="center"/>
    </xf>
    <xf numFmtId="187" fontId="1" fillId="0" borderId="12" xfId="1" applyNumberFormat="1" applyFont="1" applyBorder="1" applyAlignment="1">
      <alignment horizontal="center" vertical="center"/>
    </xf>
  </cellXfs>
  <cellStyles count="2">
    <cellStyle name="จุลภาค" xfId="1" builtinId="3"/>
    <cellStyle name="ปกติ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42"/>
  <sheetViews>
    <sheetView topLeftCell="A7" zoomScale="120" zoomScaleNormal="120" workbookViewId="0">
      <selection activeCell="C19" sqref="C19"/>
    </sheetView>
  </sheetViews>
  <sheetFormatPr defaultColWidth="9" defaultRowHeight="18.75" x14ac:dyDescent="0.3"/>
  <cols>
    <col min="1" max="1" width="4.5" style="4" bestFit="1" customWidth="1"/>
    <col min="2" max="2" width="32.375" style="5" bestFit="1" customWidth="1"/>
    <col min="3" max="3" width="12.75" style="4" customWidth="1"/>
    <col min="4" max="4" width="11.375" style="75" customWidth="1"/>
    <col min="5" max="5" width="11.875" style="4" customWidth="1"/>
    <col min="6" max="6" width="11.125" style="5" customWidth="1"/>
    <col min="7" max="7" width="4.5" style="5" customWidth="1"/>
    <col min="8" max="8" width="4.625" style="58" customWidth="1"/>
    <col min="9" max="9" width="5.25" style="5" customWidth="1"/>
    <col min="10" max="10" width="6.375" style="5" customWidth="1"/>
    <col min="11" max="11" width="5.5" style="5" customWidth="1"/>
    <col min="12" max="12" width="5.625" style="5" customWidth="1"/>
    <col min="13" max="13" width="17.375" style="5" bestFit="1" customWidth="1"/>
    <col min="14" max="16384" width="9" style="5"/>
  </cols>
  <sheetData>
    <row r="1" spans="1:13" ht="17.25" customHeight="1" x14ac:dyDescent="0.3">
      <c r="A1" s="143" t="s">
        <v>104</v>
      </c>
      <c r="B1" s="143"/>
      <c r="C1" s="143"/>
      <c r="D1" s="143"/>
      <c r="E1" s="143"/>
      <c r="F1" s="143"/>
      <c r="G1" s="143"/>
      <c r="H1" s="143"/>
      <c r="I1" s="143"/>
      <c r="J1" s="143"/>
      <c r="K1" s="143"/>
      <c r="L1" s="143"/>
      <c r="M1" s="143"/>
    </row>
    <row r="2" spans="1:13" ht="17.25" customHeight="1" x14ac:dyDescent="0.3">
      <c r="A2" s="144" t="s">
        <v>97</v>
      </c>
      <c r="B2" s="144"/>
      <c r="C2" s="144"/>
      <c r="D2" s="144"/>
      <c r="E2" s="144"/>
      <c r="F2" s="144"/>
      <c r="G2" s="144"/>
      <c r="H2" s="144"/>
      <c r="I2" s="144"/>
      <c r="J2" s="144"/>
      <c r="K2" s="144"/>
      <c r="L2" s="144"/>
      <c r="M2" s="144"/>
    </row>
    <row r="3" spans="1:13" x14ac:dyDescent="0.3">
      <c r="A3" s="145" t="s">
        <v>126</v>
      </c>
      <c r="B3" s="148" t="s">
        <v>3</v>
      </c>
      <c r="C3" s="151" t="s">
        <v>37</v>
      </c>
      <c r="D3" s="80"/>
      <c r="E3" s="154" t="s">
        <v>0</v>
      </c>
      <c r="F3" s="148" t="s">
        <v>58</v>
      </c>
      <c r="G3" s="157" t="s">
        <v>59</v>
      </c>
      <c r="H3" s="158"/>
      <c r="I3" s="158"/>
      <c r="J3" s="158"/>
      <c r="K3" s="158"/>
      <c r="L3" s="159"/>
      <c r="M3" s="148" t="s">
        <v>4</v>
      </c>
    </row>
    <row r="4" spans="1:13" x14ac:dyDescent="0.3">
      <c r="A4" s="146"/>
      <c r="B4" s="149"/>
      <c r="C4" s="152"/>
      <c r="D4" s="79" t="s">
        <v>6</v>
      </c>
      <c r="E4" s="155"/>
      <c r="F4" s="149"/>
      <c r="G4" s="160" t="s">
        <v>60</v>
      </c>
      <c r="H4" s="148" t="s">
        <v>61</v>
      </c>
      <c r="I4" s="81" t="s">
        <v>62</v>
      </c>
      <c r="J4" s="148" t="s">
        <v>63</v>
      </c>
      <c r="K4" s="81" t="s">
        <v>64</v>
      </c>
      <c r="L4" s="111" t="s">
        <v>65</v>
      </c>
      <c r="M4" s="149"/>
    </row>
    <row r="5" spans="1:13" x14ac:dyDescent="0.3">
      <c r="A5" s="147"/>
      <c r="B5" s="150"/>
      <c r="C5" s="153"/>
      <c r="D5" s="83" t="s">
        <v>7</v>
      </c>
      <c r="E5" s="156"/>
      <c r="F5" s="150"/>
      <c r="G5" s="147"/>
      <c r="H5" s="150"/>
      <c r="I5" s="84" t="s">
        <v>66</v>
      </c>
      <c r="J5" s="150"/>
      <c r="K5" s="84" t="s">
        <v>67</v>
      </c>
      <c r="L5" s="112" t="s">
        <v>68</v>
      </c>
      <c r="M5" s="150"/>
    </row>
    <row r="6" spans="1:13" ht="17.25" customHeight="1" x14ac:dyDescent="0.3">
      <c r="A6" s="59"/>
      <c r="B6" s="60" t="s">
        <v>42</v>
      </c>
      <c r="C6" s="61"/>
      <c r="D6" s="99"/>
      <c r="E6" s="62"/>
      <c r="F6" s="61"/>
      <c r="G6" s="63"/>
      <c r="H6" s="87"/>
      <c r="I6" s="21"/>
      <c r="J6" s="21"/>
      <c r="K6" s="21"/>
      <c r="L6" s="21"/>
      <c r="M6" s="21"/>
    </row>
    <row r="7" spans="1:13" ht="17.25" customHeight="1" x14ac:dyDescent="0.3">
      <c r="A7" s="12">
        <v>1</v>
      </c>
      <c r="B7" s="15" t="s">
        <v>71</v>
      </c>
      <c r="C7" s="12" t="s">
        <v>8</v>
      </c>
      <c r="D7" s="13" t="s">
        <v>41</v>
      </c>
      <c r="E7" s="66">
        <v>0</v>
      </c>
      <c r="F7" s="12" t="s">
        <v>9</v>
      </c>
      <c r="G7" s="103" t="s">
        <v>70</v>
      </c>
      <c r="H7" s="76"/>
      <c r="I7" s="10"/>
      <c r="J7" s="10"/>
      <c r="K7" s="10"/>
      <c r="L7" s="10"/>
      <c r="M7" s="16" t="s">
        <v>110</v>
      </c>
    </row>
    <row r="8" spans="1:13" ht="17.25" customHeight="1" x14ac:dyDescent="0.3">
      <c r="A8" s="12">
        <v>2</v>
      </c>
      <c r="B8" s="15" t="s">
        <v>72</v>
      </c>
      <c r="C8" s="12" t="s">
        <v>10</v>
      </c>
      <c r="D8" s="13" t="s">
        <v>40</v>
      </c>
      <c r="E8" s="66">
        <v>0</v>
      </c>
      <c r="F8" s="12" t="s">
        <v>9</v>
      </c>
      <c r="G8" s="103" t="s">
        <v>70</v>
      </c>
      <c r="H8" s="76"/>
      <c r="I8" s="10"/>
      <c r="J8" s="10"/>
      <c r="K8" s="10"/>
      <c r="L8" s="10"/>
      <c r="M8" s="16" t="s">
        <v>110</v>
      </c>
    </row>
    <row r="9" spans="1:13" ht="17.25" customHeight="1" x14ac:dyDescent="0.3">
      <c r="A9" s="12">
        <v>3</v>
      </c>
      <c r="B9" s="16" t="s">
        <v>34</v>
      </c>
      <c r="C9" s="11" t="s">
        <v>35</v>
      </c>
      <c r="D9" s="69" t="s">
        <v>56</v>
      </c>
      <c r="E9" s="68">
        <v>2000</v>
      </c>
      <c r="F9" s="12" t="s">
        <v>9</v>
      </c>
      <c r="G9" s="103" t="s">
        <v>70</v>
      </c>
      <c r="H9" s="9"/>
      <c r="I9" s="10"/>
      <c r="J9" s="10"/>
      <c r="K9" s="10"/>
      <c r="L9" s="10"/>
      <c r="M9" s="16" t="s">
        <v>110</v>
      </c>
    </row>
    <row r="10" spans="1:13" ht="17.25" customHeight="1" x14ac:dyDescent="0.3">
      <c r="A10" s="12">
        <v>4</v>
      </c>
      <c r="B10" s="16" t="s">
        <v>101</v>
      </c>
      <c r="C10" s="12" t="s">
        <v>102</v>
      </c>
      <c r="D10" s="69" t="s">
        <v>103</v>
      </c>
      <c r="E10" s="68">
        <v>1800</v>
      </c>
      <c r="F10" s="12" t="s">
        <v>9</v>
      </c>
      <c r="G10" s="103" t="s">
        <v>70</v>
      </c>
      <c r="H10" s="9"/>
      <c r="I10" s="10"/>
      <c r="J10" s="10"/>
      <c r="K10" s="10"/>
      <c r="L10" s="10"/>
      <c r="M10" s="16" t="s">
        <v>110</v>
      </c>
    </row>
    <row r="11" spans="1:13" ht="17.25" customHeight="1" x14ac:dyDescent="0.3">
      <c r="A11" s="11">
        <v>5</v>
      </c>
      <c r="B11" s="10" t="s">
        <v>1</v>
      </c>
      <c r="C11" s="12" t="s">
        <v>2</v>
      </c>
      <c r="D11" s="67" t="s">
        <v>39</v>
      </c>
      <c r="E11" s="64">
        <v>2000</v>
      </c>
      <c r="F11" s="12" t="s">
        <v>9</v>
      </c>
      <c r="G11" s="103" t="s">
        <v>70</v>
      </c>
      <c r="H11" s="49"/>
      <c r="I11" s="12"/>
      <c r="J11" s="12"/>
      <c r="K11" s="54"/>
      <c r="L11" s="10"/>
      <c r="M11" s="16" t="s">
        <v>110</v>
      </c>
    </row>
    <row r="12" spans="1:13" ht="17.25" customHeight="1" thickBot="1" x14ac:dyDescent="0.35">
      <c r="A12" s="11"/>
      <c r="B12" s="10"/>
      <c r="C12" s="12"/>
      <c r="D12" s="48" t="s">
        <v>38</v>
      </c>
      <c r="E12" s="70">
        <f>SUM(E7:E11)</f>
        <v>5800</v>
      </c>
      <c r="F12" s="77"/>
      <c r="G12" s="10"/>
      <c r="H12" s="49"/>
      <c r="I12" s="10"/>
      <c r="J12" s="10"/>
      <c r="K12" s="10"/>
      <c r="L12" s="10"/>
      <c r="M12" s="16"/>
    </row>
    <row r="13" spans="1:13" ht="17.25" customHeight="1" thickTop="1" x14ac:dyDescent="0.3">
      <c r="A13" s="12"/>
      <c r="B13" s="25" t="s">
        <v>44</v>
      </c>
      <c r="C13" s="12"/>
      <c r="D13" s="54"/>
      <c r="E13" s="12"/>
      <c r="F13" s="10"/>
      <c r="G13" s="10"/>
      <c r="H13" s="49"/>
      <c r="I13" s="10"/>
      <c r="J13" s="10"/>
      <c r="K13" s="10"/>
      <c r="L13" s="10"/>
      <c r="M13" s="16"/>
    </row>
    <row r="14" spans="1:13" ht="17.25" customHeight="1" x14ac:dyDescent="0.3">
      <c r="A14" s="12">
        <v>1</v>
      </c>
      <c r="B14" s="10" t="s">
        <v>11</v>
      </c>
      <c r="C14" s="12" t="s">
        <v>12</v>
      </c>
      <c r="D14" s="13" t="s">
        <v>13</v>
      </c>
      <c r="E14" s="26">
        <v>1400</v>
      </c>
      <c r="F14" s="12" t="s">
        <v>9</v>
      </c>
      <c r="G14" s="103" t="s">
        <v>70</v>
      </c>
      <c r="H14" s="49"/>
      <c r="I14" s="10"/>
      <c r="J14" s="10"/>
      <c r="K14" s="10"/>
      <c r="L14" s="10"/>
      <c r="M14" s="16" t="s">
        <v>110</v>
      </c>
    </row>
    <row r="15" spans="1:13" ht="17.25" customHeight="1" x14ac:dyDescent="0.3">
      <c r="A15" s="12">
        <v>2</v>
      </c>
      <c r="B15" s="16" t="s">
        <v>50</v>
      </c>
      <c r="C15" s="12" t="s">
        <v>14</v>
      </c>
      <c r="D15" s="67">
        <v>232672</v>
      </c>
      <c r="E15" s="22">
        <v>4000</v>
      </c>
      <c r="F15" s="12" t="s">
        <v>9</v>
      </c>
      <c r="G15" s="103" t="s">
        <v>70</v>
      </c>
      <c r="H15" s="49"/>
      <c r="I15" s="10"/>
      <c r="J15" s="10"/>
      <c r="K15" s="10"/>
      <c r="L15" s="10"/>
      <c r="M15" s="16" t="s">
        <v>111</v>
      </c>
    </row>
    <row r="16" spans="1:13" ht="17.25" customHeight="1" x14ac:dyDescent="0.3">
      <c r="A16" s="12">
        <v>3</v>
      </c>
      <c r="B16" s="71" t="s">
        <v>51</v>
      </c>
      <c r="C16" s="11" t="s">
        <v>15</v>
      </c>
      <c r="D16" s="78" t="s">
        <v>16</v>
      </c>
      <c r="E16" s="72">
        <v>2300</v>
      </c>
      <c r="F16" s="12" t="s">
        <v>9</v>
      </c>
      <c r="G16" s="103" t="s">
        <v>70</v>
      </c>
      <c r="H16" s="49"/>
      <c r="I16" s="10"/>
      <c r="J16" s="10"/>
      <c r="K16" s="10"/>
      <c r="L16" s="10"/>
      <c r="M16" s="16" t="s">
        <v>110</v>
      </c>
    </row>
    <row r="17" spans="1:13" ht="17.25" customHeight="1" x14ac:dyDescent="0.3">
      <c r="A17" s="12">
        <v>4</v>
      </c>
      <c r="B17" s="15" t="s">
        <v>69</v>
      </c>
      <c r="C17" s="12" t="s">
        <v>17</v>
      </c>
      <c r="D17" s="13" t="s">
        <v>57</v>
      </c>
      <c r="E17" s="26">
        <v>4950</v>
      </c>
      <c r="F17" s="12" t="s">
        <v>9</v>
      </c>
      <c r="G17" s="103" t="s">
        <v>70</v>
      </c>
      <c r="H17" s="49"/>
      <c r="I17" s="10"/>
      <c r="J17" s="10"/>
      <c r="K17" s="10"/>
      <c r="L17" s="10"/>
      <c r="M17" s="16" t="s">
        <v>110</v>
      </c>
    </row>
    <row r="18" spans="1:13" ht="17.25" customHeight="1" x14ac:dyDescent="0.3">
      <c r="A18" s="12">
        <v>5</v>
      </c>
      <c r="B18" s="15" t="s">
        <v>18</v>
      </c>
      <c r="C18" s="12" t="s">
        <v>19</v>
      </c>
      <c r="D18" s="13" t="s">
        <v>20</v>
      </c>
      <c r="E18" s="26">
        <v>4500</v>
      </c>
      <c r="F18" s="12" t="s">
        <v>9</v>
      </c>
      <c r="G18" s="103" t="s">
        <v>70</v>
      </c>
      <c r="H18" s="49"/>
      <c r="I18" s="10"/>
      <c r="J18" s="10"/>
      <c r="K18" s="10"/>
      <c r="L18" s="10"/>
      <c r="M18" s="16" t="s">
        <v>110</v>
      </c>
    </row>
    <row r="19" spans="1:13" ht="37.5" x14ac:dyDescent="0.3">
      <c r="A19" s="11">
        <v>6</v>
      </c>
      <c r="B19" s="124" t="s">
        <v>18</v>
      </c>
      <c r="C19" s="11" t="s">
        <v>21</v>
      </c>
      <c r="D19" s="113" t="s">
        <v>5</v>
      </c>
      <c r="E19" s="125">
        <v>3600</v>
      </c>
      <c r="F19" s="11" t="s">
        <v>9</v>
      </c>
      <c r="G19" s="114" t="s">
        <v>70</v>
      </c>
      <c r="H19" s="76"/>
      <c r="I19" s="116"/>
      <c r="J19" s="116"/>
      <c r="K19" s="116"/>
      <c r="L19" s="116"/>
      <c r="M19" s="126" t="s">
        <v>123</v>
      </c>
    </row>
    <row r="20" spans="1:13" ht="17.25" customHeight="1" thickBot="1" x14ac:dyDescent="0.35">
      <c r="A20" s="12"/>
      <c r="B20" s="10"/>
      <c r="C20" s="12"/>
      <c r="D20" s="48" t="s">
        <v>38</v>
      </c>
      <c r="E20" s="73">
        <f>SUM(E14:E19)</f>
        <v>20750</v>
      </c>
      <c r="F20" s="23"/>
      <c r="G20" s="10"/>
      <c r="H20" s="49"/>
      <c r="I20" s="10"/>
      <c r="J20" s="10"/>
      <c r="K20" s="10"/>
      <c r="L20" s="10"/>
      <c r="M20" s="16"/>
    </row>
    <row r="21" spans="1:13" ht="17.25" customHeight="1" thickTop="1" x14ac:dyDescent="0.3">
      <c r="A21" s="12"/>
      <c r="B21" s="25" t="s">
        <v>74</v>
      </c>
      <c r="C21" s="12"/>
      <c r="D21" s="12"/>
      <c r="E21" s="54"/>
      <c r="F21" s="12"/>
      <c r="G21" s="10"/>
      <c r="H21" s="10"/>
      <c r="I21" s="49"/>
      <c r="J21" s="10"/>
      <c r="K21" s="10"/>
      <c r="L21" s="10"/>
      <c r="M21" s="10"/>
    </row>
    <row r="22" spans="1:13" ht="17.25" customHeight="1" x14ac:dyDescent="0.3">
      <c r="A22" s="12">
        <v>1</v>
      </c>
      <c r="B22" s="10" t="s">
        <v>73</v>
      </c>
      <c r="C22" s="12" t="s">
        <v>75</v>
      </c>
      <c r="D22" s="104" t="s">
        <v>76</v>
      </c>
      <c r="E22" s="105">
        <v>2500</v>
      </c>
      <c r="F22" s="11" t="s">
        <v>9</v>
      </c>
      <c r="G22" s="103" t="s">
        <v>70</v>
      </c>
      <c r="H22" s="103"/>
      <c r="I22" s="103"/>
      <c r="J22" s="10"/>
      <c r="K22" s="10"/>
      <c r="L22" s="10"/>
      <c r="M22" s="16" t="s">
        <v>77</v>
      </c>
    </row>
    <row r="23" spans="1:13" ht="17.25" customHeight="1" thickBot="1" x14ac:dyDescent="0.35">
      <c r="A23" s="12"/>
      <c r="B23" s="10"/>
      <c r="C23" s="12"/>
      <c r="D23" s="48" t="s">
        <v>38</v>
      </c>
      <c r="E23" s="73">
        <f>SUM(E22)</f>
        <v>2500</v>
      </c>
      <c r="F23" s="11"/>
      <c r="G23" s="103"/>
      <c r="H23" s="103"/>
      <c r="I23" s="103"/>
      <c r="J23" s="10"/>
      <c r="K23" s="10"/>
      <c r="L23" s="10"/>
      <c r="M23" s="49"/>
    </row>
    <row r="24" spans="1:13" ht="19.5" thickTop="1" x14ac:dyDescent="0.3">
      <c r="D24" s="100"/>
      <c r="E24" s="101"/>
      <c r="H24" s="102"/>
      <c r="M24" s="102"/>
    </row>
    <row r="25" spans="1:13" x14ac:dyDescent="0.3">
      <c r="D25" s="65"/>
    </row>
    <row r="26" spans="1:13" x14ac:dyDescent="0.3">
      <c r="D26" s="65"/>
    </row>
    <row r="27" spans="1:13" x14ac:dyDescent="0.3">
      <c r="D27" s="65"/>
    </row>
    <row r="28" spans="1:13" x14ac:dyDescent="0.3">
      <c r="D28" s="65"/>
    </row>
    <row r="29" spans="1:13" x14ac:dyDescent="0.3">
      <c r="D29" s="65"/>
    </row>
    <row r="30" spans="1:13" x14ac:dyDescent="0.3">
      <c r="D30" s="65"/>
    </row>
    <row r="31" spans="1:13" x14ac:dyDescent="0.3">
      <c r="D31" s="65"/>
    </row>
    <row r="32" spans="1:13" x14ac:dyDescent="0.3">
      <c r="D32" s="65"/>
    </row>
    <row r="33" spans="1:4" x14ac:dyDescent="0.3">
      <c r="D33" s="65"/>
    </row>
    <row r="34" spans="1:4" x14ac:dyDescent="0.3">
      <c r="D34" s="65"/>
    </row>
    <row r="35" spans="1:4" x14ac:dyDescent="0.3">
      <c r="D35" s="65"/>
    </row>
    <row r="36" spans="1:4" x14ac:dyDescent="0.3">
      <c r="D36" s="65"/>
    </row>
    <row r="37" spans="1:4" x14ac:dyDescent="0.3">
      <c r="D37" s="65"/>
    </row>
    <row r="38" spans="1:4" x14ac:dyDescent="0.3">
      <c r="D38" s="65"/>
    </row>
    <row r="39" spans="1:4" x14ac:dyDescent="0.3">
      <c r="D39" s="65"/>
    </row>
    <row r="40" spans="1:4" x14ac:dyDescent="0.3">
      <c r="D40" s="65"/>
    </row>
    <row r="41" spans="1:4" x14ac:dyDescent="0.3">
      <c r="D41" s="65"/>
    </row>
    <row r="42" spans="1:4" x14ac:dyDescent="0.3">
      <c r="D42" s="65"/>
    </row>
    <row r="43" spans="1:4" x14ac:dyDescent="0.3">
      <c r="A43" s="74"/>
      <c r="D43" s="65"/>
    </row>
    <row r="44" spans="1:4" x14ac:dyDescent="0.3">
      <c r="A44" s="74"/>
      <c r="D44" s="65"/>
    </row>
    <row r="45" spans="1:4" x14ac:dyDescent="0.3">
      <c r="A45" s="74"/>
      <c r="D45" s="65"/>
    </row>
    <row r="46" spans="1:4" x14ac:dyDescent="0.3">
      <c r="A46" s="74"/>
      <c r="D46" s="65"/>
    </row>
    <row r="47" spans="1:4" x14ac:dyDescent="0.3">
      <c r="A47" s="74"/>
      <c r="D47" s="65"/>
    </row>
    <row r="48" spans="1:4" x14ac:dyDescent="0.3">
      <c r="A48" s="74"/>
      <c r="D48" s="65"/>
    </row>
    <row r="49" spans="1:4" x14ac:dyDescent="0.3">
      <c r="A49" s="74"/>
      <c r="D49" s="65"/>
    </row>
    <row r="50" spans="1:4" x14ac:dyDescent="0.3">
      <c r="A50" s="74"/>
      <c r="D50" s="65"/>
    </row>
    <row r="51" spans="1:4" x14ac:dyDescent="0.3">
      <c r="D51" s="65"/>
    </row>
    <row r="52" spans="1:4" x14ac:dyDescent="0.3">
      <c r="D52" s="65"/>
    </row>
    <row r="53" spans="1:4" x14ac:dyDescent="0.3">
      <c r="D53" s="65"/>
    </row>
    <row r="54" spans="1:4" x14ac:dyDescent="0.3">
      <c r="D54" s="65"/>
    </row>
    <row r="55" spans="1:4" x14ac:dyDescent="0.3">
      <c r="D55" s="65"/>
    </row>
    <row r="56" spans="1:4" x14ac:dyDescent="0.3">
      <c r="D56" s="65"/>
    </row>
    <row r="57" spans="1:4" x14ac:dyDescent="0.3">
      <c r="D57" s="65"/>
    </row>
    <row r="58" spans="1:4" x14ac:dyDescent="0.3">
      <c r="D58" s="65"/>
    </row>
    <row r="59" spans="1:4" x14ac:dyDescent="0.3">
      <c r="D59" s="65"/>
    </row>
    <row r="60" spans="1:4" x14ac:dyDescent="0.3">
      <c r="D60" s="65"/>
    </row>
    <row r="61" spans="1:4" x14ac:dyDescent="0.3">
      <c r="D61" s="65"/>
    </row>
    <row r="62" spans="1:4" x14ac:dyDescent="0.3">
      <c r="D62" s="65"/>
    </row>
    <row r="63" spans="1:4" x14ac:dyDescent="0.3">
      <c r="D63" s="65"/>
    </row>
    <row r="64" spans="1:4" x14ac:dyDescent="0.3">
      <c r="D64" s="65"/>
    </row>
    <row r="65" spans="4:4" x14ac:dyDescent="0.3">
      <c r="D65" s="65"/>
    </row>
    <row r="66" spans="4:4" x14ac:dyDescent="0.3">
      <c r="D66" s="65"/>
    </row>
    <row r="67" spans="4:4" x14ac:dyDescent="0.3">
      <c r="D67" s="65"/>
    </row>
    <row r="68" spans="4:4" x14ac:dyDescent="0.3">
      <c r="D68" s="65"/>
    </row>
    <row r="69" spans="4:4" x14ac:dyDescent="0.3">
      <c r="D69" s="65"/>
    </row>
    <row r="70" spans="4:4" x14ac:dyDescent="0.3">
      <c r="D70" s="65"/>
    </row>
    <row r="71" spans="4:4" x14ac:dyDescent="0.3">
      <c r="D71" s="65"/>
    </row>
    <row r="72" spans="4:4" x14ac:dyDescent="0.3">
      <c r="D72" s="65"/>
    </row>
    <row r="73" spans="4:4" x14ac:dyDescent="0.3">
      <c r="D73" s="65"/>
    </row>
    <row r="74" spans="4:4" x14ac:dyDescent="0.3">
      <c r="D74" s="65"/>
    </row>
    <row r="75" spans="4:4" x14ac:dyDescent="0.3">
      <c r="D75" s="65"/>
    </row>
    <row r="76" spans="4:4" x14ac:dyDescent="0.3">
      <c r="D76" s="65"/>
    </row>
    <row r="77" spans="4:4" x14ac:dyDescent="0.3">
      <c r="D77" s="65"/>
    </row>
    <row r="78" spans="4:4" x14ac:dyDescent="0.3">
      <c r="D78" s="65"/>
    </row>
    <row r="79" spans="4:4" x14ac:dyDescent="0.3">
      <c r="D79" s="65"/>
    </row>
    <row r="80" spans="4:4" x14ac:dyDescent="0.3">
      <c r="D80" s="65"/>
    </row>
    <row r="81" spans="4:4" x14ac:dyDescent="0.3">
      <c r="D81" s="65"/>
    </row>
    <row r="82" spans="4:4" x14ac:dyDescent="0.3">
      <c r="D82" s="65"/>
    </row>
    <row r="83" spans="4:4" x14ac:dyDescent="0.3">
      <c r="D83" s="65"/>
    </row>
    <row r="84" spans="4:4" x14ac:dyDescent="0.3">
      <c r="D84" s="65"/>
    </row>
    <row r="85" spans="4:4" x14ac:dyDescent="0.3">
      <c r="D85" s="65"/>
    </row>
    <row r="86" spans="4:4" x14ac:dyDescent="0.3">
      <c r="D86" s="65"/>
    </row>
    <row r="87" spans="4:4" x14ac:dyDescent="0.3">
      <c r="D87" s="65"/>
    </row>
    <row r="88" spans="4:4" x14ac:dyDescent="0.3">
      <c r="D88" s="65"/>
    </row>
    <row r="89" spans="4:4" x14ac:dyDescent="0.3">
      <c r="D89" s="65"/>
    </row>
    <row r="90" spans="4:4" x14ac:dyDescent="0.3">
      <c r="D90" s="65"/>
    </row>
    <row r="91" spans="4:4" x14ac:dyDescent="0.3">
      <c r="D91" s="65"/>
    </row>
    <row r="92" spans="4:4" x14ac:dyDescent="0.3">
      <c r="D92" s="65"/>
    </row>
    <row r="93" spans="4:4" x14ac:dyDescent="0.3">
      <c r="D93" s="65"/>
    </row>
    <row r="94" spans="4:4" x14ac:dyDescent="0.3">
      <c r="D94" s="65"/>
    </row>
    <row r="95" spans="4:4" x14ac:dyDescent="0.3">
      <c r="D95" s="65"/>
    </row>
    <row r="96" spans="4:4" x14ac:dyDescent="0.3">
      <c r="D96" s="65"/>
    </row>
    <row r="97" spans="4:4" x14ac:dyDescent="0.3">
      <c r="D97" s="65"/>
    </row>
    <row r="98" spans="4:4" x14ac:dyDescent="0.3">
      <c r="D98" s="65"/>
    </row>
    <row r="99" spans="4:4" x14ac:dyDescent="0.3">
      <c r="D99" s="65"/>
    </row>
    <row r="100" spans="4:4" x14ac:dyDescent="0.3">
      <c r="D100" s="65"/>
    </row>
    <row r="101" spans="4:4" x14ac:dyDescent="0.3">
      <c r="D101" s="65"/>
    </row>
    <row r="102" spans="4:4" x14ac:dyDescent="0.3">
      <c r="D102" s="65"/>
    </row>
    <row r="103" spans="4:4" x14ac:dyDescent="0.3">
      <c r="D103" s="65"/>
    </row>
    <row r="104" spans="4:4" x14ac:dyDescent="0.3">
      <c r="D104" s="65"/>
    </row>
    <row r="105" spans="4:4" x14ac:dyDescent="0.3">
      <c r="D105" s="65"/>
    </row>
    <row r="106" spans="4:4" x14ac:dyDescent="0.3">
      <c r="D106" s="65"/>
    </row>
    <row r="107" spans="4:4" x14ac:dyDescent="0.3">
      <c r="D107" s="65"/>
    </row>
    <row r="108" spans="4:4" x14ac:dyDescent="0.3">
      <c r="D108" s="65"/>
    </row>
    <row r="109" spans="4:4" x14ac:dyDescent="0.3">
      <c r="D109" s="65"/>
    </row>
    <row r="110" spans="4:4" x14ac:dyDescent="0.3">
      <c r="D110" s="65"/>
    </row>
    <row r="111" spans="4:4" x14ac:dyDescent="0.3">
      <c r="D111" s="65"/>
    </row>
    <row r="112" spans="4:4" x14ac:dyDescent="0.3">
      <c r="D112" s="65"/>
    </row>
    <row r="113" spans="4:4" x14ac:dyDescent="0.3">
      <c r="D113" s="65"/>
    </row>
    <row r="114" spans="4:4" x14ac:dyDescent="0.3">
      <c r="D114" s="65"/>
    </row>
    <row r="115" spans="4:4" x14ac:dyDescent="0.3">
      <c r="D115" s="65"/>
    </row>
    <row r="116" spans="4:4" x14ac:dyDescent="0.3">
      <c r="D116" s="65"/>
    </row>
    <row r="117" spans="4:4" x14ac:dyDescent="0.3">
      <c r="D117" s="65"/>
    </row>
    <row r="118" spans="4:4" x14ac:dyDescent="0.3">
      <c r="D118" s="65"/>
    </row>
    <row r="119" spans="4:4" x14ac:dyDescent="0.3">
      <c r="D119" s="65"/>
    </row>
    <row r="120" spans="4:4" x14ac:dyDescent="0.3">
      <c r="D120" s="65"/>
    </row>
    <row r="121" spans="4:4" x14ac:dyDescent="0.3">
      <c r="D121" s="65"/>
    </row>
    <row r="122" spans="4:4" x14ac:dyDescent="0.3">
      <c r="D122" s="65"/>
    </row>
    <row r="123" spans="4:4" x14ac:dyDescent="0.3">
      <c r="D123" s="65"/>
    </row>
    <row r="124" spans="4:4" x14ac:dyDescent="0.3">
      <c r="D124" s="65"/>
    </row>
    <row r="125" spans="4:4" x14ac:dyDescent="0.3">
      <c r="D125" s="65"/>
    </row>
    <row r="126" spans="4:4" x14ac:dyDescent="0.3">
      <c r="D126" s="65"/>
    </row>
    <row r="127" spans="4:4" x14ac:dyDescent="0.3">
      <c r="D127" s="65"/>
    </row>
    <row r="128" spans="4:4" x14ac:dyDescent="0.3">
      <c r="D128" s="65"/>
    </row>
    <row r="129" spans="4:4" x14ac:dyDescent="0.3">
      <c r="D129" s="65"/>
    </row>
    <row r="130" spans="4:4" x14ac:dyDescent="0.3">
      <c r="D130" s="65"/>
    </row>
    <row r="131" spans="4:4" x14ac:dyDescent="0.3">
      <c r="D131" s="65"/>
    </row>
    <row r="132" spans="4:4" x14ac:dyDescent="0.3">
      <c r="D132" s="65"/>
    </row>
    <row r="133" spans="4:4" x14ac:dyDescent="0.3">
      <c r="D133" s="65"/>
    </row>
    <row r="134" spans="4:4" x14ac:dyDescent="0.3">
      <c r="D134" s="65"/>
    </row>
    <row r="135" spans="4:4" x14ac:dyDescent="0.3">
      <c r="D135" s="65"/>
    </row>
    <row r="136" spans="4:4" x14ac:dyDescent="0.3">
      <c r="D136" s="65"/>
    </row>
    <row r="137" spans="4:4" x14ac:dyDescent="0.3">
      <c r="D137" s="65"/>
    </row>
    <row r="138" spans="4:4" x14ac:dyDescent="0.3">
      <c r="D138" s="65"/>
    </row>
    <row r="139" spans="4:4" x14ac:dyDescent="0.3">
      <c r="D139" s="65"/>
    </row>
    <row r="140" spans="4:4" x14ac:dyDescent="0.3">
      <c r="D140" s="65"/>
    </row>
    <row r="141" spans="4:4" x14ac:dyDescent="0.3">
      <c r="D141" s="65"/>
    </row>
    <row r="142" spans="4:4" x14ac:dyDescent="0.3">
      <c r="D142" s="65"/>
    </row>
  </sheetData>
  <mergeCells count="12">
    <mergeCell ref="A1:M1"/>
    <mergeCell ref="A2:M2"/>
    <mergeCell ref="A3:A5"/>
    <mergeCell ref="B3:B5"/>
    <mergeCell ref="C3:C5"/>
    <mergeCell ref="E3:E5"/>
    <mergeCell ref="F3:F5"/>
    <mergeCell ref="G3:L3"/>
    <mergeCell ref="M3:M5"/>
    <mergeCell ref="G4:G5"/>
    <mergeCell ref="H4:H5"/>
    <mergeCell ref="J4:J5"/>
  </mergeCells>
  <phoneticPr fontId="8" type="noConversion"/>
  <pageMargins left="0.23622047244094491" right="0.19685039370078741" top="0.54" bottom="0.59055118110236227" header="0.31496062992125984" footer="0.31496062992125984"/>
  <pageSetup paperSize="9" orientation="landscape" horizontalDpi="4294967293" verticalDpi="0" r:id="rId1"/>
  <headerFooter differentFirst="1" scaleWithDoc="0" alignWithMargins="0">
    <oddHeader>&amp;C&amp;"TH SarabunPSK,ตัวหนา"&amp;14&amp;P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36"/>
  <sheetViews>
    <sheetView tabSelected="1" topLeftCell="A16" zoomScale="110" zoomScaleNormal="110" workbookViewId="0">
      <selection activeCell="C22" sqref="C22"/>
    </sheetView>
  </sheetViews>
  <sheetFormatPr defaultColWidth="9" defaultRowHeight="18.75" x14ac:dyDescent="0.3"/>
  <cols>
    <col min="1" max="1" width="4.625" style="2" bestFit="1" customWidth="1"/>
    <col min="2" max="2" width="33.125" style="1" customWidth="1"/>
    <col min="3" max="3" width="12.125" style="2" customWidth="1"/>
    <col min="4" max="4" width="12.125" style="3" customWidth="1"/>
    <col min="5" max="5" width="11.375" style="1" customWidth="1"/>
    <col min="6" max="6" width="10.125" style="1" customWidth="1"/>
    <col min="7" max="7" width="5.25" style="1" customWidth="1"/>
    <col min="8" max="8" width="5.625" style="1" customWidth="1"/>
    <col min="9" max="9" width="5.125" style="1" customWidth="1"/>
    <col min="10" max="10" width="5.75" style="1" customWidth="1"/>
    <col min="11" max="11" width="6" style="1" customWidth="1"/>
    <col min="12" max="12" width="8" style="1" customWidth="1"/>
    <col min="13" max="13" width="15.625" style="1" bestFit="1" customWidth="1"/>
    <col min="14" max="16384" width="9" style="1"/>
  </cols>
  <sheetData>
    <row r="1" spans="1:15" s="5" customFormat="1" x14ac:dyDescent="0.3">
      <c r="A1" s="143" t="s">
        <v>105</v>
      </c>
      <c r="B1" s="143"/>
      <c r="C1" s="143"/>
      <c r="D1" s="143"/>
      <c r="E1" s="143"/>
      <c r="F1" s="143"/>
      <c r="G1" s="143"/>
      <c r="H1" s="143"/>
      <c r="I1" s="143"/>
      <c r="J1" s="143"/>
      <c r="K1" s="143"/>
      <c r="L1" s="143"/>
      <c r="M1" s="143"/>
    </row>
    <row r="2" spans="1:15" s="5" customFormat="1" x14ac:dyDescent="0.3">
      <c r="A2" s="144" t="s">
        <v>97</v>
      </c>
      <c r="B2" s="144"/>
      <c r="C2" s="144"/>
      <c r="D2" s="144"/>
      <c r="E2" s="144"/>
      <c r="F2" s="144"/>
      <c r="G2" s="144"/>
      <c r="H2" s="144"/>
      <c r="I2" s="144"/>
      <c r="J2" s="144"/>
      <c r="K2" s="144"/>
      <c r="L2" s="144"/>
      <c r="M2" s="144"/>
    </row>
    <row r="3" spans="1:15" s="5" customFormat="1" x14ac:dyDescent="0.3">
      <c r="A3" s="145" t="s">
        <v>126</v>
      </c>
      <c r="B3" s="148" t="s">
        <v>3</v>
      </c>
      <c r="C3" s="151" t="s">
        <v>37</v>
      </c>
      <c r="D3" s="80"/>
      <c r="E3" s="154" t="s">
        <v>0</v>
      </c>
      <c r="F3" s="148" t="s">
        <v>58</v>
      </c>
      <c r="G3" s="157" t="s">
        <v>59</v>
      </c>
      <c r="H3" s="158"/>
      <c r="I3" s="158"/>
      <c r="J3" s="158"/>
      <c r="K3" s="158"/>
      <c r="L3" s="159"/>
      <c r="M3" s="148" t="s">
        <v>4</v>
      </c>
    </row>
    <row r="4" spans="1:15" s="5" customFormat="1" x14ac:dyDescent="0.3">
      <c r="A4" s="146"/>
      <c r="B4" s="149"/>
      <c r="C4" s="152"/>
      <c r="D4" s="79" t="s">
        <v>6</v>
      </c>
      <c r="E4" s="155"/>
      <c r="F4" s="149"/>
      <c r="G4" s="160" t="s">
        <v>60</v>
      </c>
      <c r="H4" s="148" t="s">
        <v>61</v>
      </c>
      <c r="I4" s="81" t="s">
        <v>62</v>
      </c>
      <c r="J4" s="148" t="s">
        <v>63</v>
      </c>
      <c r="K4" s="81" t="s">
        <v>64</v>
      </c>
      <c r="L4" s="82" t="s">
        <v>65</v>
      </c>
      <c r="M4" s="149"/>
    </row>
    <row r="5" spans="1:15" s="5" customFormat="1" x14ac:dyDescent="0.3">
      <c r="A5" s="147"/>
      <c r="B5" s="150"/>
      <c r="C5" s="153"/>
      <c r="D5" s="83" t="s">
        <v>7</v>
      </c>
      <c r="E5" s="156"/>
      <c r="F5" s="150"/>
      <c r="G5" s="147"/>
      <c r="H5" s="150"/>
      <c r="I5" s="84" t="s">
        <v>66</v>
      </c>
      <c r="J5" s="150"/>
      <c r="K5" s="84" t="s">
        <v>67</v>
      </c>
      <c r="L5" s="85" t="s">
        <v>68</v>
      </c>
      <c r="M5" s="150"/>
    </row>
    <row r="6" spans="1:15" x14ac:dyDescent="0.3">
      <c r="A6" s="20">
        <v>1</v>
      </c>
      <c r="B6" s="15" t="s">
        <v>52</v>
      </c>
      <c r="C6" s="12" t="s">
        <v>47</v>
      </c>
      <c r="D6" s="13" t="s">
        <v>36</v>
      </c>
      <c r="E6" s="28">
        <v>3800</v>
      </c>
      <c r="F6" s="18" t="s">
        <v>9</v>
      </c>
      <c r="G6" s="103" t="s">
        <v>70</v>
      </c>
      <c r="H6" s="14"/>
      <c r="I6" s="30"/>
      <c r="J6" s="14"/>
      <c r="K6" s="14"/>
      <c r="L6" s="14"/>
      <c r="M6" s="9" t="s">
        <v>122</v>
      </c>
    </row>
    <row r="7" spans="1:15" x14ac:dyDescent="0.3">
      <c r="A7" s="20">
        <v>2</v>
      </c>
      <c r="B7" s="15" t="s">
        <v>53</v>
      </c>
      <c r="C7" s="12" t="s">
        <v>46</v>
      </c>
      <c r="D7" s="13" t="s">
        <v>36</v>
      </c>
      <c r="E7" s="28">
        <v>21900</v>
      </c>
      <c r="F7" s="18" t="s">
        <v>9</v>
      </c>
      <c r="G7" s="103" t="s">
        <v>70</v>
      </c>
      <c r="H7" s="14"/>
      <c r="I7" s="30"/>
      <c r="J7" s="14"/>
      <c r="K7" s="14"/>
      <c r="L7" s="14"/>
      <c r="M7" s="9" t="s">
        <v>122</v>
      </c>
    </row>
    <row r="8" spans="1:15" s="5" customFormat="1" x14ac:dyDescent="0.3">
      <c r="A8" s="20">
        <v>3</v>
      </c>
      <c r="B8" s="15" t="s">
        <v>48</v>
      </c>
      <c r="C8" s="12" t="s">
        <v>49</v>
      </c>
      <c r="D8" s="13" t="s">
        <v>45</v>
      </c>
      <c r="E8" s="123">
        <v>1400</v>
      </c>
      <c r="F8" s="18" t="s">
        <v>9</v>
      </c>
      <c r="G8" s="103"/>
      <c r="H8" s="103" t="s">
        <v>70</v>
      </c>
      <c r="I8" s="10"/>
      <c r="J8" s="10"/>
      <c r="K8" s="10"/>
      <c r="L8" s="10"/>
      <c r="M8" s="9" t="s">
        <v>98</v>
      </c>
    </row>
    <row r="9" spans="1:15" s="5" customFormat="1" x14ac:dyDescent="0.3">
      <c r="A9" s="20">
        <v>4</v>
      </c>
      <c r="B9" s="10" t="s">
        <v>81</v>
      </c>
      <c r="C9" s="12" t="s">
        <v>82</v>
      </c>
      <c r="D9" s="13" t="s">
        <v>83</v>
      </c>
      <c r="E9" s="28">
        <v>2100</v>
      </c>
      <c r="F9" s="12" t="s">
        <v>9</v>
      </c>
      <c r="G9" s="103" t="s">
        <v>70</v>
      </c>
      <c r="H9" s="10"/>
      <c r="I9" s="10"/>
      <c r="J9" s="10"/>
      <c r="K9" s="10"/>
      <c r="L9" s="10"/>
      <c r="M9" s="9" t="s">
        <v>99</v>
      </c>
      <c r="N9" s="5" t="s">
        <v>109</v>
      </c>
      <c r="O9" s="122" t="s">
        <v>125</v>
      </c>
    </row>
    <row r="10" spans="1:15" s="5" customFormat="1" x14ac:dyDescent="0.3">
      <c r="A10" s="20">
        <v>5</v>
      </c>
      <c r="B10" s="10" t="s">
        <v>78</v>
      </c>
      <c r="C10" s="12" t="s">
        <v>79</v>
      </c>
      <c r="D10" s="13" t="s">
        <v>80</v>
      </c>
      <c r="E10" s="28">
        <v>3800</v>
      </c>
      <c r="F10" s="12" t="s">
        <v>9</v>
      </c>
      <c r="G10" s="103" t="s">
        <v>70</v>
      </c>
      <c r="H10" s="10"/>
      <c r="I10" s="10"/>
      <c r="J10" s="10"/>
      <c r="K10" s="10"/>
      <c r="L10" s="10"/>
      <c r="M10" s="9" t="s">
        <v>98</v>
      </c>
    </row>
    <row r="11" spans="1:15" s="5" customFormat="1" x14ac:dyDescent="0.3">
      <c r="A11" s="20">
        <v>6</v>
      </c>
      <c r="B11" s="10" t="s">
        <v>85</v>
      </c>
      <c r="C11" s="12" t="s">
        <v>84</v>
      </c>
      <c r="D11" s="13" t="s">
        <v>86</v>
      </c>
      <c r="E11" s="28">
        <v>12710</v>
      </c>
      <c r="F11" s="12" t="s">
        <v>9</v>
      </c>
      <c r="G11" s="103" t="s">
        <v>70</v>
      </c>
      <c r="H11" s="10"/>
      <c r="I11" s="10"/>
      <c r="J11" s="10"/>
      <c r="K11" s="10"/>
      <c r="L11" s="10"/>
      <c r="M11" s="9" t="s">
        <v>99</v>
      </c>
      <c r="N11" s="5" t="s">
        <v>112</v>
      </c>
    </row>
    <row r="12" spans="1:15" s="5" customFormat="1" x14ac:dyDescent="0.3">
      <c r="A12" s="20"/>
      <c r="B12" s="10" t="s">
        <v>91</v>
      </c>
      <c r="C12" s="12"/>
      <c r="D12" s="13"/>
      <c r="E12" s="28"/>
      <c r="F12" s="12"/>
      <c r="G12" s="103"/>
      <c r="H12" s="10"/>
      <c r="I12" s="10"/>
      <c r="J12" s="10"/>
      <c r="K12" s="10"/>
      <c r="L12" s="10"/>
      <c r="M12" s="9"/>
    </row>
    <row r="13" spans="1:15" s="5" customFormat="1" x14ac:dyDescent="0.3">
      <c r="A13" s="20">
        <v>7</v>
      </c>
      <c r="B13" s="10" t="s">
        <v>92</v>
      </c>
      <c r="C13" s="12" t="s">
        <v>90</v>
      </c>
      <c r="D13" s="13" t="s">
        <v>86</v>
      </c>
      <c r="E13" s="28">
        <v>3790</v>
      </c>
      <c r="F13" s="12" t="s">
        <v>9</v>
      </c>
      <c r="G13" s="103" t="s">
        <v>70</v>
      </c>
      <c r="H13" s="10"/>
      <c r="I13" s="10"/>
      <c r="J13" s="10"/>
      <c r="K13" s="10"/>
      <c r="L13" s="10"/>
      <c r="M13" s="9" t="s">
        <v>99</v>
      </c>
      <c r="N13" s="5" t="s">
        <v>112</v>
      </c>
    </row>
    <row r="14" spans="1:15" s="5" customFormat="1" x14ac:dyDescent="0.3">
      <c r="A14" s="20"/>
      <c r="B14" s="10" t="s">
        <v>93</v>
      </c>
      <c r="C14" s="12"/>
      <c r="D14" s="13"/>
      <c r="E14" s="28"/>
      <c r="F14" s="12"/>
      <c r="G14" s="103"/>
      <c r="H14" s="10"/>
      <c r="I14" s="10"/>
      <c r="J14" s="10"/>
      <c r="K14" s="10"/>
      <c r="L14" s="10"/>
      <c r="M14" s="9"/>
    </row>
    <row r="15" spans="1:15" s="5" customFormat="1" x14ac:dyDescent="0.3">
      <c r="A15" s="20">
        <v>8</v>
      </c>
      <c r="B15" s="10" t="s">
        <v>87</v>
      </c>
      <c r="C15" s="12" t="s">
        <v>89</v>
      </c>
      <c r="D15" s="13" t="s">
        <v>86</v>
      </c>
      <c r="E15" s="28">
        <v>3000</v>
      </c>
      <c r="F15" s="12" t="s">
        <v>9</v>
      </c>
      <c r="G15" s="103"/>
      <c r="H15" s="103" t="s">
        <v>70</v>
      </c>
      <c r="I15" s="10"/>
      <c r="J15" s="10"/>
      <c r="K15" s="10"/>
      <c r="L15" s="10"/>
      <c r="M15" s="9" t="s">
        <v>99</v>
      </c>
    </row>
    <row r="16" spans="1:15" s="5" customFormat="1" x14ac:dyDescent="0.3">
      <c r="A16" s="20"/>
      <c r="B16" s="15" t="s">
        <v>88</v>
      </c>
      <c r="C16" s="12"/>
      <c r="D16" s="13"/>
      <c r="E16" s="28"/>
      <c r="F16" s="18"/>
      <c r="G16" s="103"/>
      <c r="H16" s="14"/>
      <c r="I16" s="10"/>
      <c r="J16" s="10"/>
      <c r="K16" s="10"/>
      <c r="L16" s="10"/>
      <c r="M16" s="9"/>
    </row>
    <row r="17" spans="1:13" s="5" customFormat="1" x14ac:dyDescent="0.3">
      <c r="A17" s="20">
        <v>9</v>
      </c>
      <c r="B17" s="15" t="s">
        <v>94</v>
      </c>
      <c r="C17" s="12" t="s">
        <v>96</v>
      </c>
      <c r="D17" s="13" t="s">
        <v>86</v>
      </c>
      <c r="E17" s="28">
        <v>20000</v>
      </c>
      <c r="F17" s="12" t="s">
        <v>9</v>
      </c>
      <c r="G17" s="103" t="s">
        <v>70</v>
      </c>
      <c r="H17" s="14"/>
      <c r="I17" s="10"/>
      <c r="J17" s="10"/>
      <c r="K17" s="10"/>
      <c r="L17" s="10"/>
      <c r="M17" s="9" t="s">
        <v>22</v>
      </c>
    </row>
    <row r="18" spans="1:13" s="5" customFormat="1" x14ac:dyDescent="0.3">
      <c r="A18" s="11"/>
      <c r="B18" s="15" t="s">
        <v>95</v>
      </c>
      <c r="C18" s="12"/>
      <c r="D18" s="13"/>
      <c r="E18" s="28"/>
      <c r="F18" s="18"/>
      <c r="G18" s="103"/>
      <c r="H18" s="14"/>
      <c r="I18" s="10"/>
      <c r="J18" s="10"/>
      <c r="K18" s="10"/>
      <c r="L18" s="10"/>
      <c r="M18" s="9"/>
    </row>
    <row r="19" spans="1:13" s="5" customFormat="1" ht="56.25" x14ac:dyDescent="0.3">
      <c r="A19" s="11">
        <v>10</v>
      </c>
      <c r="B19" s="120" t="s">
        <v>107</v>
      </c>
      <c r="C19" s="11" t="s">
        <v>108</v>
      </c>
      <c r="D19" s="113" t="s">
        <v>115</v>
      </c>
      <c r="E19" s="28">
        <v>8200</v>
      </c>
      <c r="F19" s="11" t="s">
        <v>9</v>
      </c>
      <c r="G19" s="114" t="s">
        <v>70</v>
      </c>
      <c r="H19" s="115"/>
      <c r="I19" s="116"/>
      <c r="J19" s="116"/>
      <c r="K19" s="116"/>
      <c r="L19" s="116"/>
      <c r="M19" s="9" t="s">
        <v>99</v>
      </c>
    </row>
    <row r="20" spans="1:13" s="5" customFormat="1" ht="37.5" x14ac:dyDescent="0.3">
      <c r="A20" s="117">
        <v>11</v>
      </c>
      <c r="B20" s="121" t="s">
        <v>114</v>
      </c>
      <c r="C20" s="11" t="s">
        <v>113</v>
      </c>
      <c r="D20" s="13" t="s">
        <v>115</v>
      </c>
      <c r="E20" s="28">
        <v>28200</v>
      </c>
      <c r="F20" s="11" t="s">
        <v>9</v>
      </c>
      <c r="G20" s="114" t="s">
        <v>70</v>
      </c>
      <c r="H20" s="14"/>
      <c r="I20" s="10"/>
      <c r="J20" s="10"/>
      <c r="K20" s="10"/>
      <c r="L20" s="10"/>
      <c r="M20" s="9" t="s">
        <v>100</v>
      </c>
    </row>
    <row r="21" spans="1:13" s="5" customFormat="1" ht="37.5" x14ac:dyDescent="0.3">
      <c r="A21" s="11">
        <v>12</v>
      </c>
      <c r="B21" s="121" t="s">
        <v>114</v>
      </c>
      <c r="C21" s="11" t="s">
        <v>127</v>
      </c>
      <c r="D21" s="13" t="s">
        <v>115</v>
      </c>
      <c r="E21" s="28">
        <v>28200</v>
      </c>
      <c r="F21" s="11" t="s">
        <v>9</v>
      </c>
      <c r="G21" s="114" t="s">
        <v>70</v>
      </c>
      <c r="H21" s="14"/>
      <c r="I21" s="42"/>
      <c r="J21" s="42"/>
      <c r="K21" s="10"/>
      <c r="L21" s="42"/>
      <c r="M21" s="9" t="s">
        <v>98</v>
      </c>
    </row>
    <row r="22" spans="1:13" s="5" customFormat="1" x14ac:dyDescent="0.3">
      <c r="A22" s="6"/>
      <c r="B22" s="127"/>
      <c r="C22" s="6"/>
      <c r="D22" s="8"/>
      <c r="E22" s="128"/>
      <c r="F22" s="6"/>
      <c r="G22" s="129"/>
      <c r="H22" s="1"/>
      <c r="I22" s="130"/>
      <c r="J22" s="130"/>
      <c r="L22" s="130"/>
      <c r="M22" s="32"/>
    </row>
    <row r="23" spans="1:13" s="5" customFormat="1" x14ac:dyDescent="0.3">
      <c r="A23" s="169" t="s">
        <v>126</v>
      </c>
      <c r="B23" s="172" t="s">
        <v>3</v>
      </c>
      <c r="C23" s="173" t="s">
        <v>37</v>
      </c>
      <c r="D23" s="139"/>
      <c r="E23" s="175" t="s">
        <v>0</v>
      </c>
      <c r="F23" s="172" t="s">
        <v>58</v>
      </c>
      <c r="G23" s="161" t="s">
        <v>59</v>
      </c>
      <c r="H23" s="162"/>
      <c r="I23" s="162"/>
      <c r="J23" s="162"/>
      <c r="K23" s="162"/>
      <c r="L23" s="163"/>
      <c r="M23" s="164" t="s">
        <v>4</v>
      </c>
    </row>
    <row r="24" spans="1:13" s="5" customFormat="1" x14ac:dyDescent="0.3">
      <c r="A24" s="170"/>
      <c r="B24" s="149"/>
      <c r="C24" s="152"/>
      <c r="D24" s="79" t="s">
        <v>6</v>
      </c>
      <c r="E24" s="155"/>
      <c r="F24" s="149"/>
      <c r="G24" s="160" t="s">
        <v>60</v>
      </c>
      <c r="H24" s="148" t="s">
        <v>61</v>
      </c>
      <c r="I24" s="81" t="s">
        <v>62</v>
      </c>
      <c r="J24" s="148" t="s">
        <v>63</v>
      </c>
      <c r="K24" s="81" t="s">
        <v>64</v>
      </c>
      <c r="L24" s="82" t="s">
        <v>65</v>
      </c>
      <c r="M24" s="165"/>
    </row>
    <row r="25" spans="1:13" s="5" customFormat="1" x14ac:dyDescent="0.3">
      <c r="A25" s="171"/>
      <c r="B25" s="168"/>
      <c r="C25" s="174"/>
      <c r="D25" s="140" t="s">
        <v>7</v>
      </c>
      <c r="E25" s="176"/>
      <c r="F25" s="168"/>
      <c r="G25" s="167"/>
      <c r="H25" s="168"/>
      <c r="I25" s="141" t="s">
        <v>66</v>
      </c>
      <c r="J25" s="168"/>
      <c r="K25" s="141" t="s">
        <v>67</v>
      </c>
      <c r="L25" s="142" t="s">
        <v>68</v>
      </c>
      <c r="M25" s="166"/>
    </row>
    <row r="26" spans="1:13" s="5" customFormat="1" ht="37.5" x14ac:dyDescent="0.3">
      <c r="A26" s="117">
        <v>13</v>
      </c>
      <c r="B26" s="131" t="s">
        <v>116</v>
      </c>
      <c r="C26" s="132" t="s">
        <v>117</v>
      </c>
      <c r="D26" s="133" t="s">
        <v>115</v>
      </c>
      <c r="E26" s="134">
        <v>2800</v>
      </c>
      <c r="F26" s="132" t="s">
        <v>9</v>
      </c>
      <c r="G26" s="135" t="s">
        <v>70</v>
      </c>
      <c r="H26" s="136"/>
      <c r="I26" s="137"/>
      <c r="J26" s="137"/>
      <c r="K26" s="137"/>
      <c r="L26" s="137"/>
      <c r="M26" s="138" t="s">
        <v>100</v>
      </c>
    </row>
    <row r="27" spans="1:13" s="5" customFormat="1" ht="37.5" x14ac:dyDescent="0.3">
      <c r="A27" s="118">
        <v>14</v>
      </c>
      <c r="B27" s="120" t="s">
        <v>116</v>
      </c>
      <c r="C27" s="11" t="s">
        <v>118</v>
      </c>
      <c r="D27" s="13" t="s">
        <v>115</v>
      </c>
      <c r="E27" s="28">
        <v>2800</v>
      </c>
      <c r="F27" s="11" t="s">
        <v>9</v>
      </c>
      <c r="G27" s="114" t="s">
        <v>70</v>
      </c>
      <c r="H27" s="14"/>
      <c r="I27" s="10"/>
      <c r="J27" s="10"/>
      <c r="K27" s="10"/>
      <c r="L27" s="10"/>
      <c r="M27" s="9" t="s">
        <v>98</v>
      </c>
    </row>
    <row r="28" spans="1:13" s="5" customFormat="1" x14ac:dyDescent="0.3">
      <c r="A28" s="118">
        <v>15</v>
      </c>
      <c r="B28" s="119" t="s">
        <v>119</v>
      </c>
      <c r="C28" s="11" t="s">
        <v>121</v>
      </c>
      <c r="D28" s="13" t="s">
        <v>115</v>
      </c>
      <c r="E28" s="28">
        <v>1790</v>
      </c>
      <c r="F28" s="11" t="s">
        <v>9</v>
      </c>
      <c r="G28" s="114" t="s">
        <v>70</v>
      </c>
      <c r="H28" s="14"/>
      <c r="I28" s="10"/>
      <c r="J28" s="10"/>
      <c r="K28" s="10"/>
      <c r="L28" s="10"/>
      <c r="M28" s="9" t="s">
        <v>100</v>
      </c>
    </row>
    <row r="29" spans="1:13" s="5" customFormat="1" x14ac:dyDescent="0.3">
      <c r="A29" s="118">
        <v>16</v>
      </c>
      <c r="B29" s="119" t="s">
        <v>119</v>
      </c>
      <c r="C29" s="11" t="s">
        <v>120</v>
      </c>
      <c r="D29" s="13" t="s">
        <v>115</v>
      </c>
      <c r="E29" s="28">
        <v>1790</v>
      </c>
      <c r="F29" s="11" t="s">
        <v>9</v>
      </c>
      <c r="G29" s="114" t="s">
        <v>70</v>
      </c>
      <c r="H29" s="14"/>
      <c r="I29" s="10"/>
      <c r="J29" s="10"/>
      <c r="K29" s="10"/>
      <c r="L29" s="10"/>
      <c r="M29" s="9" t="s">
        <v>98</v>
      </c>
    </row>
    <row r="30" spans="1:13" s="5" customFormat="1" x14ac:dyDescent="0.3">
      <c r="A30" s="118"/>
      <c r="B30" s="119"/>
      <c r="C30" s="12"/>
      <c r="D30" s="13"/>
      <c r="E30" s="22"/>
      <c r="F30" s="18"/>
      <c r="G30" s="103"/>
      <c r="H30" s="14"/>
      <c r="I30" s="10"/>
      <c r="J30" s="10"/>
      <c r="K30" s="10"/>
      <c r="L30" s="10"/>
      <c r="M30" s="76"/>
    </row>
    <row r="31" spans="1:13" x14ac:dyDescent="0.3">
      <c r="A31" s="55"/>
      <c r="B31" s="56"/>
      <c r="C31" s="57"/>
      <c r="D31" s="107" t="s">
        <v>38</v>
      </c>
      <c r="E31" s="106">
        <f>SUM(E6:E29)</f>
        <v>146280</v>
      </c>
      <c r="F31" s="57"/>
      <c r="G31" s="108"/>
      <c r="H31" s="57"/>
      <c r="I31" s="109"/>
      <c r="J31" s="110"/>
      <c r="K31" s="110"/>
      <c r="L31" s="110"/>
      <c r="M31" s="110"/>
    </row>
    <row r="32" spans="1:13" x14ac:dyDescent="0.3">
      <c r="A32" s="31"/>
      <c r="B32" s="32"/>
      <c r="C32" s="6"/>
      <c r="D32" s="8"/>
      <c r="E32" s="52"/>
      <c r="F32" s="2"/>
    </row>
    <row r="33" spans="4:7" x14ac:dyDescent="0.3">
      <c r="D33" s="19"/>
      <c r="G33" s="53"/>
    </row>
    <row r="34" spans="4:7" x14ac:dyDescent="0.3">
      <c r="D34" s="19"/>
    </row>
    <row r="35" spans="4:7" x14ac:dyDescent="0.3">
      <c r="D35" s="19"/>
    </row>
    <row r="36" spans="4:7" x14ac:dyDescent="0.3">
      <c r="D36" s="19"/>
    </row>
  </sheetData>
  <mergeCells count="22">
    <mergeCell ref="A1:M1"/>
    <mergeCell ref="A2:M2"/>
    <mergeCell ref="A3:A5"/>
    <mergeCell ref="M3:M5"/>
    <mergeCell ref="G4:G5"/>
    <mergeCell ref="H4:H5"/>
    <mergeCell ref="J4:J5"/>
    <mergeCell ref="B3:B5"/>
    <mergeCell ref="C3:C5"/>
    <mergeCell ref="E3:E5"/>
    <mergeCell ref="F3:F5"/>
    <mergeCell ref="G3:L3"/>
    <mergeCell ref="A23:A25"/>
    <mergeCell ref="B23:B25"/>
    <mergeCell ref="C23:C25"/>
    <mergeCell ref="E23:E25"/>
    <mergeCell ref="F23:F25"/>
    <mergeCell ref="G23:L23"/>
    <mergeCell ref="M23:M25"/>
    <mergeCell ref="G24:G25"/>
    <mergeCell ref="H24:H25"/>
    <mergeCell ref="J24:J25"/>
  </mergeCells>
  <pageMargins left="0.15748031496062992" right="0.15748031496062992" top="0.74803149606299213" bottom="0.74803149606299213" header="0.31496062992125984" footer="0.31496062992125984"/>
  <pageSetup paperSize="9" orientation="landscape" horizontalDpi="4294967293" verticalDpi="0" r:id="rId1"/>
  <headerFooter differentFirst="1" scaleWithDoc="0" alignWithMargins="0">
    <oddHeader>&amp;C&amp;"TH SarabunPSK,ธรรมดา"&amp;14&amp;P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24"/>
  <sheetViews>
    <sheetView zoomScale="110" zoomScaleNormal="110" zoomScalePageLayoutView="78" workbookViewId="0">
      <selection activeCell="G12" sqref="G12"/>
    </sheetView>
  </sheetViews>
  <sheetFormatPr defaultColWidth="9" defaultRowHeight="18.75" x14ac:dyDescent="0.3"/>
  <cols>
    <col min="1" max="1" width="4.625" style="2" bestFit="1" customWidth="1"/>
    <col min="2" max="2" width="30.125" style="1" customWidth="1"/>
    <col min="3" max="3" width="12.75" style="2" customWidth="1"/>
    <col min="4" max="4" width="11.625" style="3" customWidth="1"/>
    <col min="5" max="5" width="12" style="1" customWidth="1"/>
    <col min="6" max="6" width="11.25" style="1" customWidth="1"/>
    <col min="7" max="7" width="4.5" style="1" customWidth="1"/>
    <col min="8" max="8" width="4.75" style="1" customWidth="1"/>
    <col min="9" max="9" width="5.375" style="1" customWidth="1"/>
    <col min="10" max="10" width="6" style="1" customWidth="1"/>
    <col min="11" max="11" width="5.125" style="1" customWidth="1"/>
    <col min="12" max="12" width="7.625" style="1" customWidth="1"/>
    <col min="13" max="13" width="15.375" style="1" customWidth="1"/>
    <col min="14" max="16384" width="9" style="1"/>
  </cols>
  <sheetData>
    <row r="1" spans="1:14" s="5" customFormat="1" x14ac:dyDescent="0.3">
      <c r="A1" s="143" t="s">
        <v>106</v>
      </c>
      <c r="B1" s="143"/>
      <c r="C1" s="143"/>
      <c r="D1" s="143"/>
      <c r="E1" s="143"/>
      <c r="F1" s="143"/>
      <c r="G1" s="143"/>
      <c r="H1" s="143"/>
      <c r="I1" s="143"/>
      <c r="J1" s="143"/>
      <c r="K1" s="143"/>
      <c r="L1" s="143"/>
      <c r="M1" s="143"/>
    </row>
    <row r="2" spans="1:14" s="5" customFormat="1" x14ac:dyDescent="0.3">
      <c r="A2" s="144" t="s">
        <v>97</v>
      </c>
      <c r="B2" s="144"/>
      <c r="C2" s="144"/>
      <c r="D2" s="144"/>
      <c r="E2" s="144"/>
      <c r="F2" s="144"/>
      <c r="G2" s="144"/>
      <c r="H2" s="144"/>
      <c r="I2" s="144"/>
      <c r="J2" s="144"/>
      <c r="K2" s="144"/>
      <c r="L2" s="144"/>
      <c r="M2" s="144"/>
    </row>
    <row r="3" spans="1:14" s="5" customFormat="1" x14ac:dyDescent="0.3">
      <c r="A3" s="145" t="s">
        <v>126</v>
      </c>
      <c r="B3" s="148" t="s">
        <v>3</v>
      </c>
      <c r="C3" s="151" t="s">
        <v>37</v>
      </c>
      <c r="D3" s="80"/>
      <c r="E3" s="154" t="s">
        <v>0</v>
      </c>
      <c r="F3" s="148" t="s">
        <v>58</v>
      </c>
      <c r="G3" s="157" t="s">
        <v>59</v>
      </c>
      <c r="H3" s="158"/>
      <c r="I3" s="158"/>
      <c r="J3" s="158"/>
      <c r="K3" s="158"/>
      <c r="L3" s="159"/>
      <c r="M3" s="148" t="s">
        <v>4</v>
      </c>
    </row>
    <row r="4" spans="1:14" s="5" customFormat="1" x14ac:dyDescent="0.3">
      <c r="A4" s="146"/>
      <c r="B4" s="149"/>
      <c r="C4" s="152"/>
      <c r="D4" s="79" t="s">
        <v>6</v>
      </c>
      <c r="E4" s="155"/>
      <c r="F4" s="149"/>
      <c r="G4" s="160" t="s">
        <v>60</v>
      </c>
      <c r="H4" s="148" t="s">
        <v>61</v>
      </c>
      <c r="I4" s="81" t="s">
        <v>62</v>
      </c>
      <c r="J4" s="148" t="s">
        <v>63</v>
      </c>
      <c r="K4" s="81" t="s">
        <v>64</v>
      </c>
      <c r="L4" s="82" t="s">
        <v>65</v>
      </c>
      <c r="M4" s="149"/>
    </row>
    <row r="5" spans="1:14" s="5" customFormat="1" x14ac:dyDescent="0.3">
      <c r="A5" s="147"/>
      <c r="B5" s="150"/>
      <c r="C5" s="153"/>
      <c r="D5" s="83" t="s">
        <v>7</v>
      </c>
      <c r="E5" s="156"/>
      <c r="F5" s="150"/>
      <c r="G5" s="147"/>
      <c r="H5" s="150"/>
      <c r="I5" s="84" t="s">
        <v>66</v>
      </c>
      <c r="J5" s="150"/>
      <c r="K5" s="84" t="s">
        <v>67</v>
      </c>
      <c r="L5" s="85" t="s">
        <v>68</v>
      </c>
      <c r="M5" s="150"/>
    </row>
    <row r="6" spans="1:14" x14ac:dyDescent="0.3">
      <c r="A6" s="29"/>
      <c r="B6" s="40" t="s">
        <v>43</v>
      </c>
      <c r="C6" s="29"/>
      <c r="D6" s="33"/>
      <c r="E6" s="39"/>
      <c r="F6" s="18"/>
      <c r="G6" s="18"/>
      <c r="H6" s="29"/>
      <c r="I6" s="38"/>
      <c r="J6" s="38"/>
      <c r="K6" s="38"/>
      <c r="L6" s="38"/>
      <c r="M6" s="38"/>
    </row>
    <row r="7" spans="1:14" s="5" customFormat="1" x14ac:dyDescent="0.3">
      <c r="A7" s="12">
        <v>1</v>
      </c>
      <c r="B7" s="15" t="s">
        <v>23</v>
      </c>
      <c r="C7" s="12" t="s">
        <v>24</v>
      </c>
      <c r="D7" s="13" t="s">
        <v>25</v>
      </c>
      <c r="E7" s="26">
        <v>3500</v>
      </c>
      <c r="F7" s="12" t="s">
        <v>9</v>
      </c>
      <c r="G7" s="103" t="s">
        <v>70</v>
      </c>
      <c r="H7" s="10"/>
      <c r="I7" s="10"/>
      <c r="J7" s="10"/>
      <c r="K7" s="10"/>
      <c r="L7" s="10"/>
      <c r="M7" s="94" t="s">
        <v>100</v>
      </c>
    </row>
    <row r="8" spans="1:14" s="5" customFormat="1" x14ac:dyDescent="0.3">
      <c r="A8" s="12">
        <v>2</v>
      </c>
      <c r="B8" s="10" t="s">
        <v>26</v>
      </c>
      <c r="C8" s="12" t="s">
        <v>27</v>
      </c>
      <c r="D8" s="13" t="s">
        <v>28</v>
      </c>
      <c r="E8" s="26">
        <v>3500</v>
      </c>
      <c r="F8" s="12" t="s">
        <v>9</v>
      </c>
      <c r="G8" s="103"/>
      <c r="H8" s="103" t="s">
        <v>70</v>
      </c>
      <c r="I8" s="10"/>
      <c r="J8" s="10"/>
      <c r="K8" s="10"/>
      <c r="L8" s="10"/>
      <c r="M8" s="9" t="s">
        <v>99</v>
      </c>
      <c r="N8" s="122" t="s">
        <v>124</v>
      </c>
    </row>
    <row r="9" spans="1:14" s="5" customFormat="1" x14ac:dyDescent="0.3">
      <c r="A9" s="12">
        <v>3</v>
      </c>
      <c r="B9" s="10" t="s">
        <v>29</v>
      </c>
      <c r="C9" s="12" t="s">
        <v>30</v>
      </c>
      <c r="D9" s="13" t="s">
        <v>31</v>
      </c>
      <c r="E9" s="26">
        <v>2500</v>
      </c>
      <c r="F9" s="12" t="s">
        <v>9</v>
      </c>
      <c r="G9" s="103" t="s">
        <v>70</v>
      </c>
      <c r="H9" s="10"/>
      <c r="I9" s="10"/>
      <c r="J9" s="10"/>
      <c r="K9" s="10"/>
      <c r="L9" s="10"/>
      <c r="M9" s="9" t="s">
        <v>98</v>
      </c>
    </row>
    <row r="10" spans="1:14" s="5" customFormat="1" x14ac:dyDescent="0.3">
      <c r="A10" s="12"/>
      <c r="B10" s="10"/>
      <c r="C10" s="12"/>
      <c r="D10" s="13"/>
      <c r="E10" s="50"/>
      <c r="F10" s="10"/>
      <c r="G10" s="10"/>
      <c r="H10" s="12"/>
      <c r="I10" s="10"/>
      <c r="J10" s="10"/>
      <c r="K10" s="10"/>
      <c r="L10" s="10"/>
      <c r="M10" s="95"/>
    </row>
    <row r="11" spans="1:14" s="35" customFormat="1" ht="19.5" thickBot="1" x14ac:dyDescent="0.35">
      <c r="A11" s="12"/>
      <c r="B11" s="10"/>
      <c r="C11" s="12"/>
      <c r="D11" s="46" t="s">
        <v>38</v>
      </c>
      <c r="E11" s="47">
        <f>SUM(E7:E10)</f>
        <v>9500</v>
      </c>
      <c r="F11" s="17"/>
      <c r="G11" s="17"/>
      <c r="H11" s="17"/>
      <c r="I11" s="17"/>
      <c r="J11" s="17"/>
      <c r="K11" s="17"/>
      <c r="L11" s="17"/>
      <c r="M11" s="96"/>
    </row>
    <row r="12" spans="1:14" s="35" customFormat="1" ht="19.5" thickTop="1" x14ac:dyDescent="0.3">
      <c r="A12" s="12"/>
      <c r="B12" s="10"/>
      <c r="C12" s="12"/>
      <c r="D12" s="44"/>
      <c r="E12" s="45"/>
      <c r="F12" s="17"/>
      <c r="G12" s="17"/>
      <c r="H12" s="17"/>
      <c r="I12" s="17"/>
      <c r="J12" s="17"/>
      <c r="K12" s="17"/>
      <c r="L12" s="17"/>
      <c r="M12" s="96"/>
    </row>
    <row r="13" spans="1:14" s="5" customFormat="1" x14ac:dyDescent="0.3">
      <c r="A13" s="12"/>
      <c r="B13" s="25" t="s">
        <v>54</v>
      </c>
      <c r="C13" s="12"/>
      <c r="D13" s="43"/>
      <c r="E13" s="34"/>
      <c r="F13" s="12"/>
      <c r="G13" s="12"/>
      <c r="H13" s="10"/>
      <c r="I13" s="10"/>
      <c r="J13" s="10"/>
      <c r="K13" s="10"/>
      <c r="L13" s="10"/>
      <c r="M13" s="94"/>
    </row>
    <row r="14" spans="1:14" s="5" customFormat="1" ht="17.25" customHeight="1" x14ac:dyDescent="0.3">
      <c r="A14" s="24">
        <v>1</v>
      </c>
      <c r="B14" s="42" t="s">
        <v>32</v>
      </c>
      <c r="C14" s="24" t="s">
        <v>33</v>
      </c>
      <c r="D14" s="13" t="s">
        <v>55</v>
      </c>
      <c r="E14" s="26">
        <v>900</v>
      </c>
      <c r="F14" s="24" t="s">
        <v>9</v>
      </c>
      <c r="G14" s="103" t="s">
        <v>70</v>
      </c>
      <c r="H14" s="42"/>
      <c r="I14" s="12"/>
      <c r="J14" s="10"/>
      <c r="K14" s="10"/>
      <c r="L14" s="10"/>
      <c r="M14" s="9" t="s">
        <v>98</v>
      </c>
    </row>
    <row r="15" spans="1:14" s="5" customFormat="1" ht="17.25" customHeight="1" x14ac:dyDescent="0.3">
      <c r="A15" s="24"/>
      <c r="B15" s="42"/>
      <c r="C15" s="24"/>
      <c r="D15" s="51"/>
      <c r="E15" s="86"/>
      <c r="F15" s="24"/>
      <c r="G15" s="24"/>
      <c r="H15" s="42"/>
      <c r="I15" s="12"/>
      <c r="J15" s="10"/>
      <c r="K15" s="10"/>
      <c r="L15" s="10"/>
      <c r="M15" s="97"/>
    </row>
    <row r="16" spans="1:14" s="5" customFormat="1" x14ac:dyDescent="0.3">
      <c r="A16" s="41"/>
      <c r="B16" s="27"/>
      <c r="C16" s="41"/>
      <c r="D16" s="90" t="s">
        <v>38</v>
      </c>
      <c r="E16" s="91">
        <f>SUM(E14)</f>
        <v>900</v>
      </c>
      <c r="F16" s="41"/>
      <c r="G16" s="41"/>
      <c r="H16" s="27"/>
      <c r="I16" s="27"/>
      <c r="J16" s="27"/>
      <c r="K16" s="27"/>
      <c r="L16" s="27"/>
      <c r="M16" s="98"/>
    </row>
    <row r="17" spans="1:8" s="5" customFormat="1" x14ac:dyDescent="0.3">
      <c r="A17" s="4"/>
      <c r="C17" s="4"/>
      <c r="D17" s="88"/>
      <c r="E17" s="89"/>
      <c r="F17" s="4"/>
      <c r="G17" s="4"/>
    </row>
    <row r="18" spans="1:8" s="5" customFormat="1" x14ac:dyDescent="0.3">
      <c r="A18" s="4"/>
      <c r="B18" s="37"/>
      <c r="C18" s="4"/>
      <c r="D18" s="8"/>
      <c r="E18" s="36"/>
    </row>
    <row r="19" spans="1:8" s="35" customFormat="1" x14ac:dyDescent="0.3">
      <c r="A19" s="92"/>
      <c r="B19" s="32"/>
      <c r="C19" s="6"/>
      <c r="D19" s="8"/>
      <c r="E19" s="93"/>
      <c r="F19" s="6"/>
      <c r="H19" s="6"/>
    </row>
    <row r="20" spans="1:8" s="5" customFormat="1" x14ac:dyDescent="0.3">
      <c r="A20" s="4"/>
      <c r="B20" s="37"/>
      <c r="C20" s="4"/>
      <c r="D20" s="8"/>
      <c r="E20" s="36"/>
    </row>
    <row r="21" spans="1:8" s="5" customFormat="1" x14ac:dyDescent="0.3">
      <c r="A21" s="4"/>
      <c r="B21" s="37"/>
      <c r="C21" s="4"/>
      <c r="D21" s="8"/>
      <c r="E21" s="36"/>
    </row>
    <row r="24" spans="1:8" s="7" customFormat="1" x14ac:dyDescent="0.3"/>
  </sheetData>
  <mergeCells count="12">
    <mergeCell ref="A1:M1"/>
    <mergeCell ref="A2:M2"/>
    <mergeCell ref="A3:A5"/>
    <mergeCell ref="B3:B5"/>
    <mergeCell ref="C3:C5"/>
    <mergeCell ref="E3:E5"/>
    <mergeCell ref="F3:F5"/>
    <mergeCell ref="G3:L3"/>
    <mergeCell ref="M3:M5"/>
    <mergeCell ref="G4:G5"/>
    <mergeCell ref="H4:H5"/>
    <mergeCell ref="J4:J5"/>
  </mergeCells>
  <pageMargins left="0.28000000000000003" right="0.21" top="0.55000000000000004" bottom="0.74803149606299213" header="0.31496062992125984" footer="0.31496062992125984"/>
  <pageSetup paperSize="9" orientation="landscape" horizontalDpi="4294967293" verticalDpi="0" r:id="rId1"/>
  <headerFooter differentFirst="1" scaleWithDoc="0" alignWithMargins="0">
    <oddHeader>&amp;C&amp;"TH SarabunPSK,ธรรมดา"&amp;16&amp;P</oddHeader>
    <firstHeader>&amp;C&amp;"TH SarabunPSK,ธรรมดา"&amp;14&amp;P</first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>
      <selection activeCell="H21" sqref="H21"/>
    </sheetView>
  </sheetViews>
  <sheetFormatPr defaultRowHeight="14.25" x14ac:dyDescent="0.2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4.2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5</vt:i4>
      </vt:variant>
      <vt:variant>
        <vt:lpstr>ช่วงที่มีชื่อ</vt:lpstr>
      </vt:variant>
      <vt:variant>
        <vt:i4>1</vt:i4>
      </vt:variant>
    </vt:vector>
  </HeadingPairs>
  <TitlesOfParts>
    <vt:vector size="6" baseType="lpstr">
      <vt:lpstr>1.สำนักงาน</vt:lpstr>
      <vt:lpstr>5.คอมพิวเตอร์</vt:lpstr>
      <vt:lpstr>ต่ำกว่าเกณฑ์</vt:lpstr>
      <vt:lpstr>Sheet1</vt:lpstr>
      <vt:lpstr>Sheet2</vt:lpstr>
      <vt:lpstr>'1.สำนักงาน'!Print_Titles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ThinkCentre</cp:lastModifiedBy>
  <cp:lastPrinted>2024-10-10T04:35:06Z</cp:lastPrinted>
  <dcterms:created xsi:type="dcterms:W3CDTF">2015-07-09T01:24:36Z</dcterms:created>
  <dcterms:modified xsi:type="dcterms:W3CDTF">2024-10-19T12:00:18Z</dcterms:modified>
</cp:coreProperties>
</file>