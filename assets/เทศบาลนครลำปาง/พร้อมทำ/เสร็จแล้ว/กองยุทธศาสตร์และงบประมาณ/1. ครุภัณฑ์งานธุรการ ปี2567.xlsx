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งานเครื่องเก่าของอุบล\E\UBONTAI งานต่าง ๆ\ครุภัณฑ์ 2567\ครุภัณฑ์ 2567 แต่ละงาน\"/>
    </mc:Choice>
  </mc:AlternateContent>
  <xr:revisionPtr revIDLastSave="0" documentId="13_ncr:1_{58E9DE14-A78B-46A3-9E43-62E8E92596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สำนักงาน" sheetId="1" r:id="rId1"/>
    <sheet name="คอมพิวเตอร์" sheetId="7" r:id="rId2"/>
    <sheet name="ต่ำกว่าเกณฑ์" sheetId="13" r:id="rId3"/>
    <sheet name="Sheet1" sheetId="14" r:id="rId4"/>
  </sheets>
  <definedNames>
    <definedName name="_xlnm._FilterDatabase" localSheetId="0" hidden="1">สำนักงาน!$C$8:$C$10</definedName>
    <definedName name="_xlnm.Print_Titles" localSheetId="1">คอมพิวเตอร์!$3:$5</definedName>
    <definedName name="_xlnm.Print_Titles" localSheetId="0">สำนักงาน!$3:$5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51" i="1" l="1"/>
  <c r="N127" i="1"/>
  <c r="E142" i="1"/>
  <c r="E105" i="1"/>
  <c r="E39" i="1"/>
  <c r="E46" i="7" l="1"/>
  <c r="O105" i="1" l="1"/>
  <c r="E156" i="1"/>
  <c r="O39" i="1" l="1"/>
  <c r="E146" i="1" l="1"/>
  <c r="O152" i="1" s="1"/>
  <c r="E16" i="14" l="1"/>
  <c r="C16" i="14"/>
  <c r="E18" i="13" l="1"/>
  <c r="E125" i="1" l="1"/>
  <c r="E13" i="13"/>
  <c r="E8" i="13"/>
  <c r="O125" i="1" l="1"/>
  <c r="O153" i="1" s="1"/>
  <c r="E157" i="1"/>
</calcChain>
</file>

<file path=xl/sharedStrings.xml><?xml version="1.0" encoding="utf-8"?>
<sst xmlns="http://schemas.openxmlformats.org/spreadsheetml/2006/main" count="849" uniqueCount="348">
  <si>
    <t>เครื่องพิมพ์ยี่ห้อ HP รุ่น P 1102</t>
  </si>
  <si>
    <t>416-55-0098 (ต)</t>
  </si>
  <si>
    <t>9 มี.ค. 2555</t>
  </si>
  <si>
    <t>21 พ.ย. 2555</t>
  </si>
  <si>
    <t>19 มิ.ย. 2558</t>
  </si>
  <si>
    <t>ราคาที่ได้มา</t>
  </si>
  <si>
    <t>โต๊ะสมาชิกสภาเทศบาล</t>
  </si>
  <si>
    <t>400-10-3168</t>
  </si>
  <si>
    <t>ลำดับที่</t>
  </si>
  <si>
    <t>รายการ</t>
  </si>
  <si>
    <t>หมายเหตุ</t>
  </si>
  <si>
    <t>นางสาววิไล  วงค์พรม</t>
  </si>
  <si>
    <t>โต๊ะวางคอมพิวเตอร์</t>
  </si>
  <si>
    <t>นางสุจินต์  ใจสันกลาง</t>
  </si>
  <si>
    <t>20 ก.ย. 2536</t>
  </si>
  <si>
    <t>นางดวงนภา ชำนาญอาสา</t>
  </si>
  <si>
    <t>400-45-4514</t>
  </si>
  <si>
    <t>21 มี.ค. 2545</t>
  </si>
  <si>
    <t>401-47-6203</t>
  </si>
  <si>
    <t>9 มี.ค. 2547</t>
  </si>
  <si>
    <t>401-47-6204</t>
  </si>
  <si>
    <t>401-47-6205</t>
  </si>
  <si>
    <t>401-47-6206</t>
  </si>
  <si>
    <t>401-47-6207</t>
  </si>
  <si>
    <t>401-47-6208</t>
  </si>
  <si>
    <t>401-47-6209</t>
  </si>
  <si>
    <t>401-47-6210</t>
  </si>
  <si>
    <t>401-47-6211</t>
  </si>
  <si>
    <t>401-47-6212</t>
  </si>
  <si>
    <t xml:space="preserve">เก้าอี้ผู้มาติดต่อโครงสร้างเหล็กชุบโครเนี่ยม </t>
  </si>
  <si>
    <t>เก้าอี้เอนกประสงค์ ขาเหล็กชุบโครเนี่ยมที่นั่ง</t>
  </si>
  <si>
    <t>401-51-7547</t>
  </si>
  <si>
    <t>เก้าอี้เอนกประสงค์ ฯ</t>
  </si>
  <si>
    <t>401-51-7548</t>
  </si>
  <si>
    <t>401-51-7549</t>
  </si>
  <si>
    <t>401-51-7550</t>
  </si>
  <si>
    <t>401-51-7551</t>
  </si>
  <si>
    <t>401-51-7555</t>
  </si>
  <si>
    <t>401-51-7556</t>
  </si>
  <si>
    <t>406-47-1140</t>
  </si>
  <si>
    <t xml:space="preserve">ตู้เหล็กเก็บเอกสารชนิดบานเลื่อนมีกระจก </t>
  </si>
  <si>
    <t>406-48-1179</t>
  </si>
  <si>
    <t>12 ก.ย. 2548</t>
  </si>
  <si>
    <t>19  ก.ค. 2536</t>
  </si>
  <si>
    <t xml:space="preserve">ตู้เหล็ก 2 บาน ยี่ห้อ TAIYO </t>
  </si>
  <si>
    <t>406-39-0784</t>
  </si>
  <si>
    <t>25  ม.ค. 2539</t>
  </si>
  <si>
    <t xml:space="preserve">ขนาด 46X16X34 นิ้ว พร้อมขาตู้ </t>
  </si>
  <si>
    <t>วัน เดือน ปี</t>
  </si>
  <si>
    <t>ที่ได้มา</t>
  </si>
  <si>
    <t xml:space="preserve">เครื่องปรับอากาศยี่ห้อ EMINENT </t>
  </si>
  <si>
    <t xml:space="preserve">รุ่น EER802/AER25L ระบบฟอกอากาศ </t>
  </si>
  <si>
    <t>ขนาด 25,696.80 บีทียู ชนิดแขวน เบอร์ 5</t>
  </si>
  <si>
    <t>420-57-0249</t>
  </si>
  <si>
    <t>420-57-0250</t>
  </si>
  <si>
    <t>นางอุบล  บุพพัณหสมัย</t>
  </si>
  <si>
    <t>โต๊ะคอมพิวเตอร์ ขนาด 120x60</t>
  </si>
  <si>
    <t>400-55-0123 (ต)</t>
  </si>
  <si>
    <t>401-58-0860 (ต)</t>
  </si>
  <si>
    <t>ปรับสูง-ต่ำได้ด้วยโช๊คไฮดรอลิค ยี่ห้อ Taiyo</t>
  </si>
  <si>
    <t>เก้าอี้สำนักงานชนิดหนังมีที่วางแขนและล้อเลื่อน</t>
  </si>
  <si>
    <t>406-41-0935</t>
  </si>
  <si>
    <t>ตู้เหล็กเก็บเอกสาร ชนิด 2 ประตู</t>
  </si>
  <si>
    <t>406-41-0936</t>
  </si>
  <si>
    <t>รหัสครุภัณฑ์</t>
  </si>
  <si>
    <t>รวม</t>
  </si>
  <si>
    <t xml:space="preserve"> ต.ค. 2510</t>
  </si>
  <si>
    <t>โต๊ะ (400)</t>
  </si>
  <si>
    <t>และพนักพิงปูด้วยหนังเทียม (หนังสีฟ้า)</t>
  </si>
  <si>
    <t>เก้าอี้ (401)</t>
  </si>
  <si>
    <t>10 มี.ค. 2551</t>
  </si>
  <si>
    <t>เครื่องปรับอากาศ (420)</t>
  </si>
  <si>
    <t>เครื่องโทรสาร (424)</t>
  </si>
  <si>
    <t>ตู้ (406)</t>
  </si>
  <si>
    <t>406-47-1138</t>
  </si>
  <si>
    <t>น.ส.วิไล  วงค์พรม</t>
  </si>
  <si>
    <t>คอมพิวเตอร์ (416)</t>
  </si>
  <si>
    <t>16 มี.ค. 2544</t>
  </si>
  <si>
    <t>400-44-4494</t>
  </si>
  <si>
    <t xml:space="preserve">ตู้เก็บเอกสาร ขนาด 15 ลิ้นชัก </t>
  </si>
  <si>
    <t>406-36-0644</t>
  </si>
  <si>
    <t xml:space="preserve">ตู้เหล็ก 1 ประตู 4 ลิ้นชัก ขนาด 42X21X41นิ้ว  </t>
  </si>
  <si>
    <t>สถานที่ใช้งาน</t>
  </si>
  <si>
    <t>ใช้ได้</t>
  </si>
  <si>
    <t>ชำรุด</t>
  </si>
  <si>
    <t>สูญหาย</t>
  </si>
  <si>
    <t>สภาพครุภัณฑ์</t>
  </si>
  <si>
    <t>เสื่อม</t>
  </si>
  <si>
    <t>สภาพ</t>
  </si>
  <si>
    <t>เก็บ</t>
  </si>
  <si>
    <t>ไว้นาน</t>
  </si>
  <si>
    <t>หมดความ</t>
  </si>
  <si>
    <t>จำเป็น</t>
  </si>
  <si>
    <t xml:space="preserve">ตู้เหล็กเอกสาร ชนิด 2 บาน </t>
  </si>
  <si>
    <t>406-40-0870</t>
  </si>
  <si>
    <t>30 ม.ค. 2540</t>
  </si>
  <si>
    <t xml:space="preserve">ตู้เหล็กเก็บเอกสาร 4 ลิ้นชัก </t>
  </si>
  <si>
    <t>406-36-0645</t>
  </si>
  <si>
    <t>น.ส.วิไล  วงศ์พรม</t>
  </si>
  <si>
    <t>เครื่องปรับอากาศ ยี่ห้อ UNIMASTER แบบตั้งแขวน</t>
  </si>
  <si>
    <t>420-60-0272</t>
  </si>
  <si>
    <t>420-60-0273</t>
  </si>
  <si>
    <t>เครื่องคอมพิวเตอร์สำหรับสำนักงาน (CPU) ยี่ห้อ Ler</t>
  </si>
  <si>
    <t>416-60-1232</t>
  </si>
  <si>
    <t>16 ก.พ. 2560</t>
  </si>
  <si>
    <t>จอภาพแบบ LCD ขนาด 19.5 นิ้ว</t>
  </si>
  <si>
    <t>416-60-1233</t>
  </si>
  <si>
    <t>เครื่องพิมพ์แบบฉีดหมึก inkjet สำหรับกระดาษ A3</t>
  </si>
  <si>
    <t>416-60-1234</t>
  </si>
  <si>
    <t>นางอุบล บุพพัณหสมัย</t>
  </si>
  <si>
    <t>420-54-0216</t>
  </si>
  <si>
    <t>27 พ.ค. 2554</t>
  </si>
  <si>
    <t>ตั้งเครื่องFAX</t>
  </si>
  <si>
    <t>ห้องผู้อำนวยการ</t>
  </si>
  <si>
    <t>√</t>
  </si>
  <si>
    <t>โต๊ะประชุม</t>
  </si>
  <si>
    <t>400-41-3720</t>
  </si>
  <si>
    <t>3 เม.ย. 2541</t>
  </si>
  <si>
    <t>400-52-5925</t>
  </si>
  <si>
    <t>เครื่องเย็บกระดาษ MAX (470)</t>
  </si>
  <si>
    <t>เครื่องเย็บกระดาษ MAX รุ่น HD-12N/24</t>
  </si>
  <si>
    <t>470-62-0003</t>
  </si>
  <si>
    <t xml:space="preserve"> 18 ม.ค. 2560</t>
  </si>
  <si>
    <t xml:space="preserve"> 11 ธ.ค. 2561</t>
  </si>
  <si>
    <t>โต๊ะ</t>
  </si>
  <si>
    <t>เก้าอี้</t>
  </si>
  <si>
    <t>ตู้</t>
  </si>
  <si>
    <t>เครื่องโทรสาร</t>
  </si>
  <si>
    <t>เครื่องเย็บกระดาษ</t>
  </si>
  <si>
    <t>จำนวนเงิน</t>
  </si>
  <si>
    <t>เครื่องปรับอากาศ</t>
  </si>
  <si>
    <t>ครุภัณฑ์สำนักงาน</t>
  </si>
  <si>
    <t>ครุภัณฑ์คอมพิวเตอร์</t>
  </si>
  <si>
    <t>โทรศัพท์</t>
  </si>
  <si>
    <t xml:space="preserve"> ประเภท</t>
  </si>
  <si>
    <t>ครุภัณฑ์</t>
  </si>
  <si>
    <t>ครุภัณฑ์ต่ำกว่าเกณฑ์</t>
  </si>
  <si>
    <t>งบทรัพย์สิน</t>
  </si>
  <si>
    <t>งานธุรการ ฝ่ายบริหารงานทั่วไป กองวิชาการและแผนงาน</t>
  </si>
  <si>
    <t>เครื่องคอมพิวเตอร์</t>
  </si>
  <si>
    <t>ณ วันที่ 30 กันยายน 2562</t>
  </si>
  <si>
    <t>28 ก.ค. 2541</t>
  </si>
  <si>
    <t>19 มี.ค. 2557</t>
  </si>
  <si>
    <r>
      <t xml:space="preserve">เครื่องปรับอากาศยี่ห้อ Daisenko </t>
    </r>
    <r>
      <rPr>
        <sz val="13"/>
        <rFont val="TH SarabunPSK"/>
        <family val="2"/>
      </rPr>
      <t>ขนาด 33,946.58 บีทียู</t>
    </r>
  </si>
  <si>
    <t>15 ก.ค. 2552</t>
  </si>
  <si>
    <t>อุปกรณ์กระจายสัญญาณไร้สาย (Access Point)</t>
  </si>
  <si>
    <t>แบบที่ 1 ยี่ห้อ Aruba รุ่นที่ AP11</t>
  </si>
  <si>
    <t>25 มิ.ย. 2563</t>
  </si>
  <si>
    <t>เครื่องโทรสาร (แฟกซ์) ยี่ห้อ Brother รุ่น FAX-2950</t>
  </si>
  <si>
    <t>424-63-0037</t>
  </si>
  <si>
    <t>20 ธ.ค. 2562</t>
  </si>
  <si>
    <t>โต๊ะทำงานรูปตัวแอล รุ่น Jack Set 1</t>
  </si>
  <si>
    <t>400-64-6841</t>
  </si>
  <si>
    <t>9 ก.ย. 2564</t>
  </si>
  <si>
    <t>400-64-6837</t>
  </si>
  <si>
    <t>โต๊ะประชุมพร้อมเก้าอี้ (403)</t>
  </si>
  <si>
    <t>โต๊ะประชุมพร้อมเก้าอี้ (โต๊ะ 1 ตัว เก้าอี้ 4 ตัว)</t>
  </si>
  <si>
    <t>403-64-0199</t>
  </si>
  <si>
    <t>403-64-0199 (1/5 - 5/5)</t>
  </si>
  <si>
    <t>เก้าอี้ทำงาน</t>
  </si>
  <si>
    <t>401-64-9761</t>
  </si>
  <si>
    <t xml:space="preserve"> ขนาด 1486x406x876 มม.</t>
  </si>
  <si>
    <t>ตู้เหล็กเก็บเอกสารชนิดบานเลื่อนทึบ</t>
  </si>
  <si>
    <t>ตู้เหล็กเก็บเอกสารบานเลื่อนกระจก</t>
  </si>
  <si>
    <t xml:space="preserve"> ขนาด 1486x406x876 มม. พร้อมฐานรอง มีกุญแจ</t>
  </si>
  <si>
    <t>งานธุรการ  ฝ่ายบริหารงานทั่วไป  กองยุทธศาสตร์และงบประมาณ</t>
  </si>
  <si>
    <t>เครื่องทำลายเอกสาร ยี่ห้อ Intimus i6j3000s</t>
  </si>
  <si>
    <t>470-65-0019</t>
  </si>
  <si>
    <t xml:space="preserve"> 23 พ.ย. 2564</t>
  </si>
  <si>
    <t>เก้าอี้อเนกประสงค์</t>
  </si>
  <si>
    <t>401-65-9817</t>
  </si>
  <si>
    <t>25 พ.ย. 2564</t>
  </si>
  <si>
    <t>401-65-9818</t>
  </si>
  <si>
    <t>401-65-9819</t>
  </si>
  <si>
    <t>401-65-9820</t>
  </si>
  <si>
    <t>401-65-9821</t>
  </si>
  <si>
    <t>401-65-9838</t>
  </si>
  <si>
    <t>401-65-9839</t>
  </si>
  <si>
    <t>401-65-9840</t>
  </si>
  <si>
    <t>401-65-9841</t>
  </si>
  <si>
    <t>401-65-9842</t>
  </si>
  <si>
    <t xml:space="preserve">เครื่องคอมพิวเตอร์ สำหรับงานสำนักงาน  ยี่ห้อ Acer  </t>
  </si>
  <si>
    <t>416-65-1962</t>
  </si>
  <si>
    <t>รุ่น ES2740g Core I3-10105</t>
  </si>
  <si>
    <t>416-65-1963</t>
  </si>
  <si>
    <t>416-65-1964</t>
  </si>
  <si>
    <t>416-65-1965</t>
  </si>
  <si>
    <t>416-65-1966</t>
  </si>
  <si>
    <t>416-65-1967</t>
  </si>
  <si>
    <t>เครื่องพิมพ์ Multifunction แบบฉีดหมึก พร้อมติดตั้ง</t>
  </si>
  <si>
    <t>416-65-1980</t>
  </si>
  <si>
    <t>416-65-1981</t>
  </si>
  <si>
    <t>416-65-1986</t>
  </si>
  <si>
    <t>416-65-1987</t>
  </si>
  <si>
    <t>416-65-1988</t>
  </si>
  <si>
    <t>416-65-1989</t>
  </si>
  <si>
    <t>6 มิ.ย. 2565</t>
  </si>
  <si>
    <t>นางดวงนภา  ชำนาญอาสา</t>
  </si>
  <si>
    <t>นางอุบล  บุญพหัสมัย</t>
  </si>
  <si>
    <t>ยี่ห้อ Acer ขนาด 19.5 นิ้ว V206HQL</t>
  </si>
  <si>
    <t>จอคอมพิวเตอร์ (จอแสดงภาพไม่น้อยหว่า 19 นิ้ว)</t>
  </si>
  <si>
    <t xml:space="preserve"> ยี่ห้อ Acer ขนาด 19.5 นิ้ว V206HQL</t>
  </si>
  <si>
    <t xml:space="preserve">จอคอมพิวเตอร์ (จอแสดงภาพไม่น้อยหว่า 19 นิ้ว) </t>
  </si>
  <si>
    <t xml:space="preserve">งานธุรการ  ฝ่ายบริหารงานทั่วไป  กองยุทธศาสตร์และงบประมาณ </t>
  </si>
  <si>
    <t>รุ่น DCP-T720W</t>
  </si>
  <si>
    <t xml:space="preserve">ถังหมึกพิมพ์ (Ink Tank Printer) ยี่ห้อ Brother </t>
  </si>
  <si>
    <t>รุ่น EMPOW 1200VA720w</t>
  </si>
  <si>
    <t xml:space="preserve">เครื่องสำรองไฟฟ้า ขนาด 1 kAV ยี่ห้อ ZIRCON </t>
  </si>
  <si>
    <t>เครื่องสำรองไฟฟ้า ขนาด 1 kAV ยี่ห้อ ZIRCON</t>
  </si>
  <si>
    <t>416-65-1968</t>
  </si>
  <si>
    <t>416-65-1969</t>
  </si>
  <si>
    <t>416-65-1982</t>
  </si>
  <si>
    <t>เครื่องพิมพ์ แบบฉีดหมึก พร้อมติดตั้งถังหมึกพิมพ์</t>
  </si>
  <si>
    <t>ยี่ห้อ Brother รุ่น DCP-T220 แบบฉีดหมึก</t>
  </si>
  <si>
    <t>416-65-1985</t>
  </si>
  <si>
    <t>น.ส.วิไล วงศ์พรม</t>
  </si>
  <si>
    <t>420-64-0379</t>
  </si>
  <si>
    <t>29 ก.ค. 2564</t>
  </si>
  <si>
    <t>416-63-1729</t>
  </si>
  <si>
    <t>เก้าอี้อเนกประสงค์ (หนังสีชมพู)</t>
  </si>
  <si>
    <t>โต๊ะสำหรับพักผ่อน</t>
  </si>
  <si>
    <t>400-67-7572</t>
  </si>
  <si>
    <t>12 มิ.ย. 2567</t>
  </si>
  <si>
    <t>400-67-7573</t>
  </si>
  <si>
    <t>โต๊ะสำหรับพนักงาน</t>
  </si>
  <si>
    <t>400-67-7574</t>
  </si>
  <si>
    <t>400-67-7575</t>
  </si>
  <si>
    <t>400-67-7576</t>
  </si>
  <si>
    <t>400-67-7577</t>
  </si>
  <si>
    <t>400-67-7578</t>
  </si>
  <si>
    <t>400-67-7579</t>
  </si>
  <si>
    <t>400-67-7580</t>
  </si>
  <si>
    <t>400-67-7581</t>
  </si>
  <si>
    <t>400-67-7582</t>
  </si>
  <si>
    <t>400-67-7583</t>
  </si>
  <si>
    <t>400-67-7584</t>
  </si>
  <si>
    <t>400-67-7585</t>
  </si>
  <si>
    <t>400-67-7586</t>
  </si>
  <si>
    <t>400-67-7587</t>
  </si>
  <si>
    <t>400-67-7588</t>
  </si>
  <si>
    <t>400-67-7589</t>
  </si>
  <si>
    <t>400-67-7590</t>
  </si>
  <si>
    <t>400-67-7591</t>
  </si>
  <si>
    <t>400-67-7592</t>
  </si>
  <si>
    <t>400-67-7593</t>
  </si>
  <si>
    <t>400-67-7594</t>
  </si>
  <si>
    <t>400-67-7595</t>
  </si>
  <si>
    <t>น.ส.วราพรรณ  ทะชมภู</t>
  </si>
  <si>
    <t>นางพรพิมล อินเตชะ</t>
  </si>
  <si>
    <t>นางนารี  เมืองมูล</t>
  </si>
  <si>
    <t>นายพิชญะ  ดวงฟู</t>
  </si>
  <si>
    <t>นางนรินทร</t>
  </si>
  <si>
    <t>น.ส.ลัดดาวรรณ  ดิษฐา</t>
  </si>
  <si>
    <t>นางพัชนิดา  สุวรรณ์จักร์</t>
  </si>
  <si>
    <t>น.ส.รัชฏา  เล็กศรี</t>
  </si>
  <si>
    <t>นายสันติ</t>
  </si>
  <si>
    <t>นางภัทราวดี  นะคะมูระ</t>
  </si>
  <si>
    <t>นางสนันตน์ชินา วงค์ลาวัลย์</t>
  </si>
  <si>
    <t>นายเฉลิมเกียรติ  ไชยแก้ว</t>
  </si>
  <si>
    <t>นายธนวัฒน์</t>
  </si>
  <si>
    <t>หัวหน้าฝ่ายบริการและฯ</t>
  </si>
  <si>
    <t>เก้าอี้หัวหน้าฝ่าย</t>
  </si>
  <si>
    <t>401-67-10160</t>
  </si>
  <si>
    <t>401-67-10161</t>
  </si>
  <si>
    <t>401-67-10162</t>
  </si>
  <si>
    <t>401-67-10163</t>
  </si>
  <si>
    <t>น.ส.ญาดา  ณ วงค์จันทร์</t>
  </si>
  <si>
    <t>401-67-10164</t>
  </si>
  <si>
    <t>นางวิจิตรา  เตียวตระกูล</t>
  </si>
  <si>
    <t>เก้าอี้ทำงานพนักงาน</t>
  </si>
  <si>
    <t>401-67-10165</t>
  </si>
  <si>
    <t>ห้องประชุมเล็ก</t>
  </si>
  <si>
    <t>401-67-10166</t>
  </si>
  <si>
    <t>401-67-10167</t>
  </si>
  <si>
    <t>401-67-10168</t>
  </si>
  <si>
    <t>401-67-10169</t>
  </si>
  <si>
    <t>401-67-10170</t>
  </si>
  <si>
    <t>401-67-10171</t>
  </si>
  <si>
    <t>401-67-10172</t>
  </si>
  <si>
    <t>401-67-10173</t>
  </si>
  <si>
    <t>401-67-10174</t>
  </si>
  <si>
    <t>401-67-10175</t>
  </si>
  <si>
    <t>401-67-10176</t>
  </si>
  <si>
    <t>401-67-10177</t>
  </si>
  <si>
    <t>น.ส.รัชฎา  เล็กศรี</t>
  </si>
  <si>
    <t>401-67-10178</t>
  </si>
  <si>
    <t>นางพัชนิดา  สุวรรณจักร์</t>
  </si>
  <si>
    <t>401-67-10179</t>
  </si>
  <si>
    <t>401-67-10180</t>
  </si>
  <si>
    <t>401-67-10181</t>
  </si>
  <si>
    <t>นางสนันตน์ชินา  วงค์ลาวัลย์</t>
  </si>
  <si>
    <t>401-67-10182</t>
  </si>
  <si>
    <t>นายธนวัฒน์  จิรอรรวรากุล</t>
  </si>
  <si>
    <t>401-67-10183</t>
  </si>
  <si>
    <t>401-67-10184</t>
  </si>
  <si>
    <t>นางภัทธิดา  พึ่งสุข</t>
  </si>
  <si>
    <t>401-67-10185</t>
  </si>
  <si>
    <t>ห้องประชุมใหญ่</t>
  </si>
  <si>
    <t>401-67-10186</t>
  </si>
  <si>
    <t>401-67-10187</t>
  </si>
  <si>
    <t>401-67-10188</t>
  </si>
  <si>
    <t>401-67-10189</t>
  </si>
  <si>
    <t>401-67-10190</t>
  </si>
  <si>
    <t>401-67-10191</t>
  </si>
  <si>
    <t xml:space="preserve">ห้องประชุมใหญ่ </t>
  </si>
  <si>
    <t>401-67-10192</t>
  </si>
  <si>
    <t>401-67-10193</t>
  </si>
  <si>
    <t>ห้องประชุมใหญ๋</t>
  </si>
  <si>
    <t>น.ส.ภัทรธิดา  พึ่งสุข</t>
  </si>
  <si>
    <t>หน้าห้องผอ.</t>
  </si>
  <si>
    <t>หน้าห้องครัว</t>
  </si>
  <si>
    <t>หน้างานสารบรรณ</t>
  </si>
  <si>
    <t>หน.ฝ่ายแผนงาน</t>
  </si>
  <si>
    <t>หน้าห้องหน.ฝ่ายบริหารฯ</t>
  </si>
  <si>
    <t>หน้าห้องหน.ฝ่ายแผนฯ</t>
  </si>
  <si>
    <t>เครื่องปรับอากาศ  ยี่ห้อ FOCUS ขนาด 33,000 บีทียู</t>
  </si>
  <si>
    <t>420-67-0513</t>
  </si>
  <si>
    <t>โซนงานธุรการ</t>
  </si>
  <si>
    <t>420-67-0514</t>
  </si>
  <si>
    <t>โซนงานจัดทำงบประมาณ</t>
  </si>
  <si>
    <t>420-67-0515</t>
  </si>
  <si>
    <t>โซนงานศูนย์เทคโนโลยี</t>
  </si>
  <si>
    <t>เครื่องปรับอากาศ  ยี่ห้อ FOCUS ขนาด 13,000 บีทียู</t>
  </si>
  <si>
    <t>420-67-0516</t>
  </si>
  <si>
    <t>420-67-0517</t>
  </si>
  <si>
    <t>ห้องหน.ฝ่ายบริการฯ</t>
  </si>
  <si>
    <t>ทะเบียนรายงานผลการตรวจนับครุภัณฑ์สำนักงาน  ประจำปี 2567</t>
  </si>
  <si>
    <t>นางพรพิมล</t>
  </si>
  <si>
    <t>ทะเบียนรายงานผลการตรวจนับครุภัณฑ์คอมพิวเตอร์  ประจำปี 2567</t>
  </si>
  <si>
    <t>พัดลมดูดอากาศ (432)</t>
  </si>
  <si>
    <t>พัดลมดูดอากาศ ติดผนัง 12 นิ้ว</t>
  </si>
  <si>
    <t>รวมทั้งสิ้น</t>
  </si>
  <si>
    <t>นายสันติ  การินคำ</t>
  </si>
  <si>
    <t>ห้องหัวหน้าฝ่ายแผนงาน</t>
  </si>
  <si>
    <t>ห้องหัวหน้าฝายบริหาร</t>
  </si>
  <si>
    <t>โรงเก็บพัสดุ ท.7</t>
  </si>
  <si>
    <t>ข้างโต๊ะพี่สุจินต์</t>
  </si>
  <si>
    <t>หน้าห้องประชุมกองยุทธฯ</t>
  </si>
  <si>
    <t>อยู่หลังห้อง ผอ.</t>
  </si>
  <si>
    <t>432-67-1771</t>
  </si>
  <si>
    <t>432-67-1772</t>
  </si>
  <si>
    <t>432-67-1773</t>
  </si>
  <si>
    <t>ห้องกองยุทธศาสตร์ฯ</t>
  </si>
  <si>
    <t>ห้อง ผอ. กองยุทธศาสตร์</t>
  </si>
  <si>
    <t>โรงเก็บของ รร. ท 7</t>
  </si>
  <si>
    <t>ห้องกองยุทธศาสตร์</t>
  </si>
  <si>
    <t>ห้องประขุม (ของ ผอ.)</t>
  </si>
  <si>
    <t>ทะเบียนรายงานผลการตรวจนับครุภัณฑ์สำนักงาน (ต่ำกว่าเกณฑ์)  ประจำปี 2567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</si>
</sst>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7" formatCode="_-* #,##0_-;\-* #,##0_-;_-* &quot;-&quot;??_-;_-@_-"/>
  </numFmts>
  <fonts count="31" x14ac:knownFonts="1">
    <font>
      <sz val="11"/>
      <color theme="1"/>
      <name val="Tahoma"/>
      <family val="2"/>
      <charset val="222"/>
    </font>
    <font>
      <b/>
      <sz val="14"/>
      <name val="TH SarabunPSK"/>
      <family val="2"/>
    </font>
    <font>
      <sz val="14"/>
      <name val="TH SarabunPSK"/>
      <family val="2"/>
    </font>
    <font>
      <sz val="12"/>
      <name val="TH SarabunPSK"/>
      <family val="2"/>
    </font>
    <font>
      <sz val="11"/>
      <color indexed="8"/>
      <name val="Tahoma"/>
      <family val="2"/>
      <charset val="222"/>
    </font>
    <font>
      <sz val="14"/>
      <color indexed="8"/>
      <name val="TH SarabunPSK"/>
      <family val="2"/>
    </font>
    <font>
      <sz val="14"/>
      <color indexed="10"/>
      <name val="TH SarabunPSK"/>
      <family val="2"/>
    </font>
    <font>
      <b/>
      <sz val="14"/>
      <color indexed="8"/>
      <name val="TH SarabunPSK"/>
      <family val="2"/>
    </font>
    <font>
      <sz val="8"/>
      <name val="Tahoma"/>
      <family val="2"/>
      <charset val="222"/>
    </font>
    <font>
      <b/>
      <sz val="12"/>
      <color indexed="8"/>
      <name val="TH SarabunPSK"/>
      <family val="2"/>
    </font>
    <font>
      <sz val="12"/>
      <color indexed="10"/>
      <name val="TH SarabunPSK"/>
      <family val="2"/>
    </font>
    <font>
      <b/>
      <sz val="14"/>
      <name val="TH NiramitIT๙"/>
    </font>
    <font>
      <sz val="16"/>
      <name val="TH SarabunPSK"/>
      <family val="2"/>
    </font>
    <font>
      <sz val="16"/>
      <color theme="1"/>
      <name val="Tahoma"/>
      <family val="2"/>
      <charset val="222"/>
    </font>
    <font>
      <b/>
      <sz val="16"/>
      <name val="TH SarabunPSK"/>
      <family val="2"/>
    </font>
    <font>
      <sz val="16"/>
      <color theme="1"/>
      <name val="TH SarabunPSK"/>
      <family val="2"/>
    </font>
    <font>
      <b/>
      <sz val="11"/>
      <color theme="1"/>
      <name val="TH SarabunPSK"/>
      <family val="2"/>
    </font>
    <font>
      <b/>
      <sz val="16"/>
      <color theme="1"/>
      <name val="TH SarabunPSK"/>
      <family val="2"/>
    </font>
    <font>
      <sz val="13"/>
      <name val="TH SarabunPSK"/>
      <family val="2"/>
    </font>
    <font>
      <sz val="14"/>
      <color theme="1"/>
      <name val="TH SarabunPSK"/>
      <family val="2"/>
      <charset val="222"/>
    </font>
    <font>
      <b/>
      <sz val="14"/>
      <color theme="1"/>
      <name val="TH NiramitIT๙"/>
    </font>
    <font>
      <sz val="12"/>
      <color theme="1"/>
      <name val="TH SarabunPSK"/>
      <family val="2"/>
      <charset val="222"/>
    </font>
    <font>
      <b/>
      <sz val="12"/>
      <color theme="1"/>
      <name val="TH NiramitIT๙"/>
    </font>
    <font>
      <sz val="15"/>
      <name val="TH SarabunPSK"/>
      <family val="2"/>
      <charset val="222"/>
    </font>
    <font>
      <sz val="14"/>
      <name val="TH SarabunPSK"/>
      <family val="2"/>
      <charset val="222"/>
    </font>
    <font>
      <sz val="13"/>
      <name val="TH SarabunPSK"/>
      <family val="2"/>
      <charset val="222"/>
    </font>
    <font>
      <sz val="12"/>
      <name val="TH SarabunPSK"/>
      <family val="2"/>
      <charset val="222"/>
    </font>
    <font>
      <b/>
      <sz val="14"/>
      <name val="TH SarabunPSK"/>
      <family val="2"/>
      <charset val="222"/>
    </font>
    <font>
      <b/>
      <sz val="12"/>
      <name val="TH SarabunPSK"/>
      <family val="2"/>
      <charset val="222"/>
    </font>
    <font>
      <sz val="11"/>
      <name val="TH SarabunPSK"/>
      <family val="2"/>
      <charset val="222"/>
    </font>
    <font>
      <b/>
      <sz val="16"/>
      <name val="TH SarabunPSK"/>
      <family val="2"/>
      <charset val="22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265">
    <xf numFmtId="0" fontId="0" fillId="0" borderId="0" xfId="0"/>
    <xf numFmtId="0" fontId="5" fillId="0" borderId="0" xfId="0" applyFont="1"/>
    <xf numFmtId="0" fontId="5" fillId="0" borderId="0" xfId="0" applyFont="1" applyAlignment="1">
      <alignment horizontal="center"/>
    </xf>
    <xf numFmtId="187" fontId="5" fillId="0" borderId="0" xfId="1" applyNumberFormat="1" applyFont="1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/>
    </xf>
    <xf numFmtId="0" fontId="2" fillId="0" borderId="14" xfId="0" applyFont="1" applyBorder="1" applyAlignment="1">
      <alignment vertical="center"/>
    </xf>
    <xf numFmtId="0" fontId="2" fillId="0" borderId="14" xfId="0" applyFont="1" applyBorder="1"/>
    <xf numFmtId="0" fontId="2" fillId="0" borderId="14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/>
    </xf>
    <xf numFmtId="49" fontId="2" fillId="0" borderId="14" xfId="0" applyNumberFormat="1" applyFont="1" applyBorder="1" applyAlignment="1">
      <alignment horizontal="center" vertical="center"/>
    </xf>
    <xf numFmtId="49" fontId="2" fillId="0" borderId="14" xfId="0" applyNumberFormat="1" applyFont="1" applyBorder="1" applyAlignment="1">
      <alignment horizontal="center"/>
    </xf>
    <xf numFmtId="0" fontId="5" fillId="0" borderId="14" xfId="0" applyFont="1" applyBorder="1"/>
    <xf numFmtId="49" fontId="2" fillId="0" borderId="14" xfId="0" applyNumberFormat="1" applyFont="1" applyBorder="1"/>
    <xf numFmtId="0" fontId="2" fillId="0" borderId="14" xfId="0" applyFont="1" applyBorder="1" applyAlignment="1">
      <alignment horizontal="left"/>
    </xf>
    <xf numFmtId="0" fontId="6" fillId="0" borderId="14" xfId="0" applyFont="1" applyBorder="1"/>
    <xf numFmtId="0" fontId="5" fillId="0" borderId="14" xfId="0" applyFont="1" applyBorder="1" applyAlignment="1">
      <alignment horizontal="center"/>
    </xf>
    <xf numFmtId="187" fontId="5" fillId="0" borderId="0" xfId="1" applyNumberFormat="1" applyFont="1" applyBorder="1"/>
    <xf numFmtId="49" fontId="2" fillId="0" borderId="13" xfId="0" applyNumberFormat="1" applyFont="1" applyBorder="1" applyAlignment="1">
      <alignment horizontal="center"/>
    </xf>
    <xf numFmtId="187" fontId="2" fillId="0" borderId="14" xfId="1" applyNumberFormat="1" applyFont="1" applyBorder="1" applyAlignment="1">
      <alignment horizontal="center" vertical="center"/>
    </xf>
    <xf numFmtId="3" fontId="2" fillId="0" borderId="14" xfId="0" applyNumberFormat="1" applyFont="1" applyBorder="1" applyAlignment="1">
      <alignment horizontal="right"/>
    </xf>
    <xf numFmtId="0" fontId="2" fillId="0" borderId="19" xfId="0" applyFont="1" applyBorder="1"/>
    <xf numFmtId="0" fontId="7" fillId="0" borderId="18" xfId="0" applyFont="1" applyBorder="1" applyAlignment="1">
      <alignment horizontal="left" vertical="center"/>
    </xf>
    <xf numFmtId="0" fontId="7" fillId="0" borderId="18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49" fontId="7" fillId="0" borderId="14" xfId="0" applyNumberFormat="1" applyFont="1" applyBorder="1" applyAlignment="1">
      <alignment horizontal="center"/>
    </xf>
    <xf numFmtId="0" fontId="6" fillId="0" borderId="0" xfId="0" applyFont="1"/>
    <xf numFmtId="3" fontId="2" fillId="0" borderId="0" xfId="0" applyNumberFormat="1" applyFont="1" applyAlignment="1">
      <alignment horizontal="right"/>
    </xf>
    <xf numFmtId="49" fontId="2" fillId="0" borderId="0" xfId="0" applyNumberFormat="1" applyFont="1"/>
    <xf numFmtId="187" fontId="7" fillId="0" borderId="18" xfId="1" applyNumberFormat="1" applyFont="1" applyBorder="1" applyAlignment="1">
      <alignment horizontal="center" vertical="center"/>
    </xf>
    <xf numFmtId="0" fontId="5" fillId="0" borderId="18" xfId="0" applyFont="1" applyBorder="1" applyAlignment="1">
      <alignment horizontal="center"/>
    </xf>
    <xf numFmtId="0" fontId="5" fillId="0" borderId="18" xfId="0" applyFont="1" applyBorder="1"/>
    <xf numFmtId="187" fontId="7" fillId="0" borderId="14" xfId="1" applyNumberFormat="1" applyFont="1" applyBorder="1" applyAlignment="1">
      <alignment horizontal="right" vertical="center"/>
    </xf>
    <xf numFmtId="0" fontId="7" fillId="0" borderId="14" xfId="0" applyFont="1" applyBorder="1" applyAlignment="1">
      <alignment horizontal="left" vertical="center"/>
    </xf>
    <xf numFmtId="0" fontId="2" fillId="0" borderId="19" xfId="0" applyFont="1" applyBorder="1" applyAlignment="1">
      <alignment horizontal="center"/>
    </xf>
    <xf numFmtId="49" fontId="2" fillId="0" borderId="19" xfId="0" applyNumberFormat="1" applyFont="1" applyBorder="1"/>
    <xf numFmtId="49" fontId="1" fillId="0" borderId="12" xfId="0" applyNumberFormat="1" applyFont="1" applyBorder="1" applyAlignment="1">
      <alignment horizontal="center"/>
    </xf>
    <xf numFmtId="3" fontId="1" fillId="0" borderId="12" xfId="0" applyNumberFormat="1" applyFont="1" applyBorder="1" applyAlignment="1">
      <alignment horizontal="right"/>
    </xf>
    <xf numFmtId="187" fontId="5" fillId="0" borderId="0" xfId="0" applyNumberFormat="1" applyFont="1" applyAlignment="1">
      <alignment horizontal="center"/>
    </xf>
    <xf numFmtId="187" fontId="5" fillId="0" borderId="0" xfId="0" applyNumberFormat="1" applyFont="1"/>
    <xf numFmtId="187" fontId="1" fillId="0" borderId="6" xfId="1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1" xfId="0" applyFont="1" applyBorder="1"/>
    <xf numFmtId="0" fontId="2" fillId="0" borderId="11" xfId="0" applyFont="1" applyBorder="1" applyAlignment="1">
      <alignment horizontal="center"/>
    </xf>
    <xf numFmtId="187" fontId="1" fillId="0" borderId="2" xfId="1" applyNumberFormat="1" applyFont="1" applyBorder="1" applyAlignment="1">
      <alignment horizontal="center"/>
    </xf>
    <xf numFmtId="187" fontId="1" fillId="0" borderId="1" xfId="1" applyNumberFormat="1" applyFont="1" applyBorder="1" applyAlignment="1">
      <alignment horizontal="center"/>
    </xf>
    <xf numFmtId="0" fontId="3" fillId="0" borderId="14" xfId="0" applyFont="1" applyBorder="1" applyAlignment="1">
      <alignment vertical="center"/>
    </xf>
    <xf numFmtId="0" fontId="3" fillId="0" borderId="14" xfId="0" applyFont="1" applyBorder="1" applyAlignment="1">
      <alignment horizontal="left"/>
    </xf>
    <xf numFmtId="0" fontId="9" fillId="0" borderId="14" xfId="0" applyFont="1" applyBorder="1" applyAlignment="1">
      <alignment horizontal="center" vertical="center"/>
    </xf>
    <xf numFmtId="0" fontId="10" fillId="0" borderId="14" xfId="0" applyFont="1" applyBorder="1"/>
    <xf numFmtId="0" fontId="3" fillId="0" borderId="19" xfId="0" applyFont="1" applyBorder="1"/>
    <xf numFmtId="49" fontId="2" fillId="0" borderId="13" xfId="0" applyNumberFormat="1" applyFont="1" applyBorder="1"/>
    <xf numFmtId="49" fontId="2" fillId="0" borderId="6" xfId="0" applyNumberFormat="1" applyFont="1" applyBorder="1"/>
    <xf numFmtId="0" fontId="2" fillId="0" borderId="6" xfId="0" applyFont="1" applyBorder="1" applyAlignment="1">
      <alignment horizontal="center" vertical="center"/>
    </xf>
    <xf numFmtId="187" fontId="2" fillId="0" borderId="6" xfId="1" applyNumberFormat="1" applyFont="1" applyBorder="1" applyAlignment="1">
      <alignment horizontal="center" vertical="center"/>
    </xf>
    <xf numFmtId="0" fontId="11" fillId="0" borderId="14" xfId="0" applyFont="1" applyBorder="1" applyAlignment="1">
      <alignment horizontal="center"/>
    </xf>
    <xf numFmtId="0" fontId="2" fillId="0" borderId="11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/>
    </xf>
    <xf numFmtId="3" fontId="1" fillId="0" borderId="12" xfId="0" applyNumberFormat="1" applyFont="1" applyBorder="1" applyAlignment="1">
      <alignment horizontal="center"/>
    </xf>
    <xf numFmtId="3" fontId="2" fillId="0" borderId="13" xfId="0" applyNumberFormat="1" applyFont="1" applyBorder="1" applyAlignment="1">
      <alignment horizontal="right"/>
    </xf>
    <xf numFmtId="0" fontId="2" fillId="0" borderId="11" xfId="0" applyFont="1" applyBorder="1" applyAlignment="1">
      <alignment horizontal="left"/>
    </xf>
    <xf numFmtId="49" fontId="7" fillId="0" borderId="11" xfId="0" applyNumberFormat="1" applyFont="1" applyBorder="1" applyAlignment="1">
      <alignment horizontal="center"/>
    </xf>
    <xf numFmtId="187" fontId="7" fillId="0" borderId="11" xfId="1" applyNumberFormat="1" applyFont="1" applyBorder="1" applyAlignment="1">
      <alignment horizontal="right" vertical="center"/>
    </xf>
    <xf numFmtId="49" fontId="7" fillId="0" borderId="12" xfId="0" applyNumberFormat="1" applyFont="1" applyBorder="1" applyAlignment="1">
      <alignment horizontal="center"/>
    </xf>
    <xf numFmtId="187" fontId="7" fillId="0" borderId="12" xfId="1" applyNumberFormat="1" applyFont="1" applyBorder="1" applyAlignment="1">
      <alignment horizontal="right" vertical="center"/>
    </xf>
    <xf numFmtId="0" fontId="2" fillId="0" borderId="11" xfId="0" applyFont="1" applyBorder="1" applyAlignment="1">
      <alignment vertical="center"/>
    </xf>
    <xf numFmtId="187" fontId="1" fillId="0" borderId="12" xfId="1" applyNumberFormat="1" applyFont="1" applyBorder="1" applyAlignment="1">
      <alignment horizontal="center" vertical="center"/>
    </xf>
    <xf numFmtId="0" fontId="13" fillId="0" borderId="0" xfId="0" applyFont="1"/>
    <xf numFmtId="187" fontId="14" fillId="0" borderId="21" xfId="1" applyNumberFormat="1" applyFont="1" applyBorder="1" applyAlignment="1">
      <alignment horizontal="center"/>
    </xf>
    <xf numFmtId="0" fontId="14" fillId="0" borderId="21" xfId="0" applyFont="1" applyBorder="1" applyAlignment="1">
      <alignment horizontal="center"/>
    </xf>
    <xf numFmtId="0" fontId="15" fillId="0" borderId="0" xfId="0" applyFont="1"/>
    <xf numFmtId="187" fontId="12" fillId="0" borderId="18" xfId="1" applyNumberFormat="1" applyFont="1" applyBorder="1" applyAlignment="1">
      <alignment horizontal="center"/>
    </xf>
    <xf numFmtId="0" fontId="12" fillId="0" borderId="18" xfId="0" applyFont="1" applyBorder="1" applyAlignment="1">
      <alignment horizontal="center"/>
    </xf>
    <xf numFmtId="0" fontId="12" fillId="0" borderId="14" xfId="0" applyFont="1" applyBorder="1"/>
    <xf numFmtId="187" fontId="12" fillId="0" borderId="14" xfId="1" applyNumberFormat="1" applyFont="1" applyBorder="1" applyAlignment="1">
      <alignment horizontal="center"/>
    </xf>
    <xf numFmtId="187" fontId="12" fillId="0" borderId="14" xfId="1" applyNumberFormat="1" applyFont="1" applyBorder="1" applyAlignment="1">
      <alignment horizontal="left"/>
    </xf>
    <xf numFmtId="187" fontId="12" fillId="0" borderId="14" xfId="1" applyNumberFormat="1" applyFont="1" applyBorder="1"/>
    <xf numFmtId="0" fontId="12" fillId="0" borderId="14" xfId="0" applyFont="1" applyBorder="1" applyAlignment="1">
      <alignment horizontal="center"/>
    </xf>
    <xf numFmtId="0" fontId="12" fillId="0" borderId="13" xfId="0" applyFont="1" applyBorder="1" applyAlignment="1">
      <alignment horizontal="center"/>
    </xf>
    <xf numFmtId="187" fontId="12" fillId="0" borderId="13" xfId="1" applyNumberFormat="1" applyFont="1" applyBorder="1"/>
    <xf numFmtId="0" fontId="12" fillId="0" borderId="11" xfId="0" applyFont="1" applyBorder="1"/>
    <xf numFmtId="187" fontId="12" fillId="0" borderId="11" xfId="1" applyNumberFormat="1" applyFont="1" applyBorder="1"/>
    <xf numFmtId="0" fontId="12" fillId="0" borderId="11" xfId="0" applyFont="1" applyBorder="1" applyAlignment="1">
      <alignment horizontal="center"/>
    </xf>
    <xf numFmtId="0" fontId="14" fillId="0" borderId="14" xfId="0" applyFont="1" applyBorder="1"/>
    <xf numFmtId="0" fontId="14" fillId="0" borderId="18" xfId="0" applyFont="1" applyBorder="1" applyAlignment="1">
      <alignment horizontal="left"/>
    </xf>
    <xf numFmtId="0" fontId="12" fillId="0" borderId="13" xfId="0" applyFont="1" applyBorder="1"/>
    <xf numFmtId="0" fontId="17" fillId="0" borderId="21" xfId="0" applyFont="1" applyBorder="1" applyAlignment="1">
      <alignment horizontal="right"/>
    </xf>
    <xf numFmtId="0" fontId="17" fillId="0" borderId="21" xfId="0" applyFont="1" applyBorder="1"/>
    <xf numFmtId="187" fontId="17" fillId="0" borderId="21" xfId="0" applyNumberFormat="1" applyFont="1" applyBorder="1"/>
    <xf numFmtId="187" fontId="12" fillId="0" borderId="14" xfId="1" applyNumberFormat="1" applyFont="1" applyBorder="1" applyAlignment="1"/>
    <xf numFmtId="49" fontId="2" fillId="0" borderId="6" xfId="0" applyNumberFormat="1" applyFont="1" applyBorder="1" applyAlignment="1">
      <alignment horizontal="center" vertical="center"/>
    </xf>
    <xf numFmtId="0" fontId="11" fillId="0" borderId="13" xfId="0" applyFont="1" applyBorder="1" applyAlignment="1">
      <alignment horizontal="center"/>
    </xf>
    <xf numFmtId="0" fontId="1" fillId="0" borderId="11" xfId="0" applyFont="1" applyBorder="1"/>
    <xf numFmtId="3" fontId="2" fillId="0" borderId="11" xfId="0" applyNumberFormat="1" applyFont="1" applyBorder="1" applyAlignment="1">
      <alignment horizontal="center"/>
    </xf>
    <xf numFmtId="0" fontId="3" fillId="0" borderId="11" xfId="0" applyFont="1" applyBorder="1"/>
    <xf numFmtId="0" fontId="19" fillId="0" borderId="14" xfId="0" applyFont="1" applyBorder="1" applyAlignment="1">
      <alignment horizontal="center" vertical="center"/>
    </xf>
    <xf numFmtId="49" fontId="19" fillId="0" borderId="14" xfId="0" applyNumberFormat="1" applyFont="1" applyBorder="1"/>
    <xf numFmtId="49" fontId="19" fillId="0" borderId="14" xfId="0" applyNumberFormat="1" applyFont="1" applyBorder="1" applyAlignment="1">
      <alignment horizontal="center" vertical="center"/>
    </xf>
    <xf numFmtId="187" fontId="19" fillId="0" borderId="14" xfId="1" applyNumberFormat="1" applyFont="1" applyFill="1" applyBorder="1" applyAlignment="1">
      <alignment horizontal="center" vertical="center"/>
    </xf>
    <xf numFmtId="0" fontId="19" fillId="0" borderId="14" xfId="0" applyFont="1" applyBorder="1" applyAlignment="1">
      <alignment horizontal="left" vertical="center"/>
    </xf>
    <xf numFmtId="0" fontId="20" fillId="0" borderId="14" xfId="0" applyFont="1" applyBorder="1" applyAlignment="1">
      <alignment horizontal="center"/>
    </xf>
    <xf numFmtId="0" fontId="19" fillId="0" borderId="14" xfId="0" applyFont="1" applyBorder="1" applyAlignment="1">
      <alignment vertical="center"/>
    </xf>
    <xf numFmtId="0" fontId="19" fillId="0" borderId="14" xfId="0" applyFont="1" applyBorder="1"/>
    <xf numFmtId="0" fontId="21" fillId="0" borderId="14" xfId="0" applyFont="1" applyBorder="1" applyAlignment="1">
      <alignment vertical="center"/>
    </xf>
    <xf numFmtId="0" fontId="19" fillId="0" borderId="0" xfId="0" applyFont="1"/>
    <xf numFmtId="0" fontId="21" fillId="0" borderId="14" xfId="0" applyFont="1" applyBorder="1" applyAlignment="1">
      <alignment horizontal="left" vertical="center"/>
    </xf>
    <xf numFmtId="0" fontId="22" fillId="0" borderId="14" xfId="0" applyFont="1" applyBorder="1" applyAlignment="1">
      <alignment horizontal="center"/>
    </xf>
    <xf numFmtId="0" fontId="1" fillId="0" borderId="19" xfId="0" applyFont="1" applyBorder="1" applyAlignment="1">
      <alignment horizontal="center" vertical="center"/>
    </xf>
    <xf numFmtId="0" fontId="2" fillId="0" borderId="19" xfId="0" applyFont="1" applyBorder="1" applyAlignment="1">
      <alignment horizontal="left" vertical="center"/>
    </xf>
    <xf numFmtId="0" fontId="2" fillId="0" borderId="19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/>
    </xf>
    <xf numFmtId="187" fontId="5" fillId="0" borderId="19" xfId="1" applyNumberFormat="1" applyFont="1" applyBorder="1"/>
    <xf numFmtId="0" fontId="5" fillId="0" borderId="19" xfId="0" applyFont="1" applyBorder="1"/>
    <xf numFmtId="49" fontId="19" fillId="0" borderId="13" xfId="0" applyNumberFormat="1" applyFont="1" applyBorder="1" applyAlignment="1">
      <alignment horizontal="center" vertical="center"/>
    </xf>
    <xf numFmtId="187" fontId="19" fillId="0" borderId="13" xfId="1" applyNumberFormat="1" applyFont="1" applyFill="1" applyBorder="1" applyAlignment="1">
      <alignment horizontal="center" vertical="center"/>
    </xf>
    <xf numFmtId="0" fontId="23" fillId="0" borderId="14" xfId="0" applyFont="1" applyBorder="1"/>
    <xf numFmtId="0" fontId="23" fillId="0" borderId="14" xfId="0" applyFont="1" applyBorder="1" applyAlignment="1">
      <alignment horizontal="center"/>
    </xf>
    <xf numFmtId="49" fontId="23" fillId="0" borderId="13" xfId="0" applyNumberFormat="1" applyFont="1" applyBorder="1" applyAlignment="1">
      <alignment horizontal="center"/>
    </xf>
    <xf numFmtId="4" fontId="23" fillId="0" borderId="13" xfId="0" applyNumberFormat="1" applyFont="1" applyBorder="1" applyAlignment="1">
      <alignment horizontal="right" vertical="top"/>
    </xf>
    <xf numFmtId="0" fontId="23" fillId="0" borderId="14" xfId="0" applyFont="1" applyBorder="1" applyAlignment="1">
      <alignment horizontal="left"/>
    </xf>
    <xf numFmtId="3" fontId="23" fillId="0" borderId="14" xfId="0" applyNumberFormat="1" applyFont="1" applyBorder="1" applyAlignment="1">
      <alignment horizontal="left"/>
    </xf>
    <xf numFmtId="0" fontId="24" fillId="0" borderId="14" xfId="0" applyFont="1" applyBorder="1" applyAlignment="1">
      <alignment horizontal="center"/>
    </xf>
    <xf numFmtId="3" fontId="25" fillId="0" borderId="14" xfId="0" applyNumberFormat="1" applyFont="1" applyBorder="1" applyAlignment="1">
      <alignment horizontal="left"/>
    </xf>
    <xf numFmtId="43" fontId="23" fillId="0" borderId="13" xfId="1" applyFont="1" applyBorder="1" applyAlignment="1">
      <alignment horizontal="right" vertical="top"/>
    </xf>
    <xf numFmtId="43" fontId="23" fillId="0" borderId="13" xfId="1" applyFont="1" applyBorder="1" applyAlignment="1">
      <alignment horizontal="center"/>
    </xf>
    <xf numFmtId="49" fontId="23" fillId="0" borderId="14" xfId="0" applyNumberFormat="1" applyFont="1" applyBorder="1" applyAlignment="1">
      <alignment horizontal="center"/>
    </xf>
    <xf numFmtId="0" fontId="24" fillId="0" borderId="14" xfId="0" applyFont="1" applyBorder="1"/>
    <xf numFmtId="49" fontId="24" fillId="0" borderId="14" xfId="0" applyNumberFormat="1" applyFont="1" applyBorder="1" applyAlignment="1">
      <alignment horizontal="center"/>
    </xf>
    <xf numFmtId="4" fontId="24" fillId="0" borderId="14" xfId="0" applyNumberFormat="1" applyFont="1" applyBorder="1" applyAlignment="1">
      <alignment horizontal="right" vertical="top"/>
    </xf>
    <xf numFmtId="0" fontId="24" fillId="0" borderId="14" xfId="0" applyFont="1" applyBorder="1" applyAlignment="1">
      <alignment horizontal="left"/>
    </xf>
    <xf numFmtId="0" fontId="26" fillId="0" borderId="14" xfId="0" applyFont="1" applyBorder="1" applyAlignment="1">
      <alignment horizontal="left"/>
    </xf>
    <xf numFmtId="0" fontId="24" fillId="0" borderId="0" xfId="0" applyFont="1"/>
    <xf numFmtId="0" fontId="27" fillId="0" borderId="5" xfId="0" applyFont="1" applyBorder="1" applyAlignment="1">
      <alignment horizontal="center"/>
    </xf>
    <xf numFmtId="187" fontId="27" fillId="0" borderId="2" xfId="1" applyNumberFormat="1" applyFont="1" applyBorder="1" applyAlignment="1">
      <alignment horizontal="center"/>
    </xf>
    <xf numFmtId="187" fontId="27" fillId="0" borderId="6" xfId="1" applyNumberFormat="1" applyFont="1" applyBorder="1" applyAlignment="1">
      <alignment horizontal="center"/>
    </xf>
    <xf numFmtId="0" fontId="27" fillId="0" borderId="3" xfId="0" applyFont="1" applyBorder="1" applyAlignment="1">
      <alignment horizontal="center"/>
    </xf>
    <xf numFmtId="0" fontId="27" fillId="0" borderId="2" xfId="0" applyFont="1" applyBorder="1" applyAlignment="1">
      <alignment horizontal="center"/>
    </xf>
    <xf numFmtId="187" fontId="27" fillId="0" borderId="1" xfId="1" applyNumberFormat="1" applyFont="1" applyBorder="1" applyAlignment="1">
      <alignment horizontal="center"/>
    </xf>
    <xf numFmtId="0" fontId="27" fillId="0" borderId="1" xfId="0" applyFont="1" applyBorder="1" applyAlignment="1">
      <alignment horizontal="center"/>
    </xf>
    <xf numFmtId="0" fontId="24" fillId="0" borderId="16" xfId="0" applyFont="1" applyBorder="1" applyAlignment="1">
      <alignment horizontal="center" vertical="center"/>
    </xf>
    <xf numFmtId="0" fontId="27" fillId="0" borderId="18" xfId="0" applyFont="1" applyBorder="1" applyAlignment="1">
      <alignment horizontal="left" vertical="center"/>
    </xf>
    <xf numFmtId="0" fontId="27" fillId="0" borderId="15" xfId="0" applyFont="1" applyBorder="1" applyAlignment="1">
      <alignment horizontal="center" vertical="center"/>
    </xf>
    <xf numFmtId="187" fontId="27" fillId="0" borderId="18" xfId="1" applyNumberFormat="1" applyFont="1" applyBorder="1" applyAlignment="1">
      <alignment horizontal="center"/>
    </xf>
    <xf numFmtId="43" fontId="27" fillId="0" borderId="18" xfId="1" applyFont="1" applyBorder="1" applyAlignment="1">
      <alignment vertical="center"/>
    </xf>
    <xf numFmtId="0" fontId="28" fillId="0" borderId="17" xfId="0" applyFont="1" applyBorder="1" applyAlignment="1">
      <alignment horizontal="center" vertical="center"/>
    </xf>
    <xf numFmtId="0" fontId="24" fillId="0" borderId="18" xfId="0" applyFont="1" applyBorder="1"/>
    <xf numFmtId="0" fontId="24" fillId="0" borderId="18" xfId="0" applyFont="1" applyBorder="1" applyAlignment="1">
      <alignment horizontal="center"/>
    </xf>
    <xf numFmtId="0" fontId="28" fillId="0" borderId="18" xfId="0" applyFont="1" applyBorder="1" applyAlignment="1">
      <alignment horizontal="center" vertical="center"/>
    </xf>
    <xf numFmtId="0" fontId="24" fillId="0" borderId="14" xfId="0" applyFont="1" applyBorder="1" applyAlignment="1">
      <alignment horizontal="center" vertical="center"/>
    </xf>
    <xf numFmtId="17" fontId="24" fillId="0" borderId="14" xfId="0" applyNumberFormat="1" applyFont="1" applyBorder="1" applyAlignment="1">
      <alignment horizontal="center"/>
    </xf>
    <xf numFmtId="43" fontId="24" fillId="0" borderId="14" xfId="1" applyFont="1" applyBorder="1" applyAlignment="1"/>
    <xf numFmtId="0" fontId="26" fillId="0" borderId="14" xfId="0" applyFont="1" applyBorder="1" applyAlignment="1">
      <alignment horizontal="left" vertical="center"/>
    </xf>
    <xf numFmtId="49" fontId="24" fillId="0" borderId="6" xfId="0" applyNumberFormat="1" applyFont="1" applyBorder="1" applyAlignment="1">
      <alignment horizontal="center"/>
    </xf>
    <xf numFmtId="43" fontId="24" fillId="0" borderId="6" xfId="1" applyFont="1" applyBorder="1" applyAlignment="1"/>
    <xf numFmtId="49" fontId="24" fillId="0" borderId="14" xfId="0" applyNumberFormat="1" applyFont="1" applyBorder="1" applyAlignment="1">
      <alignment horizontal="center" vertical="center"/>
    </xf>
    <xf numFmtId="43" fontId="24" fillId="0" borderId="14" xfId="1" applyFont="1" applyBorder="1" applyAlignment="1">
      <alignment vertical="center"/>
    </xf>
    <xf numFmtId="43" fontId="23" fillId="0" borderId="14" xfId="1" applyFont="1" applyBorder="1" applyAlignment="1">
      <alignment horizontal="right" vertical="top"/>
    </xf>
    <xf numFmtId="0" fontId="26" fillId="0" borderId="23" xfId="0" applyFont="1" applyBorder="1"/>
    <xf numFmtId="0" fontId="24" fillId="0" borderId="23" xfId="0" applyFont="1" applyBorder="1"/>
    <xf numFmtId="0" fontId="25" fillId="0" borderId="14" xfId="0" applyFont="1" applyBorder="1" applyAlignment="1">
      <alignment horizontal="left" vertical="center"/>
    </xf>
    <xf numFmtId="187" fontId="27" fillId="0" borderId="12" xfId="1" applyNumberFormat="1" applyFont="1" applyBorder="1" applyAlignment="1">
      <alignment horizontal="center"/>
    </xf>
    <xf numFmtId="43" fontId="27" fillId="0" borderId="12" xfId="1" applyFont="1" applyBorder="1" applyAlignment="1">
      <alignment horizontal="center"/>
    </xf>
    <xf numFmtId="0" fontId="26" fillId="0" borderId="14" xfId="0" applyFont="1" applyBorder="1" applyAlignment="1">
      <alignment horizontal="center"/>
    </xf>
    <xf numFmtId="187" fontId="24" fillId="0" borderId="0" xfId="0" applyNumberFormat="1" applyFont="1"/>
    <xf numFmtId="0" fontId="27" fillId="0" borderId="14" xfId="0" applyFont="1" applyBorder="1"/>
    <xf numFmtId="187" fontId="24" fillId="0" borderId="14" xfId="1" applyNumberFormat="1" applyFont="1" applyBorder="1"/>
    <xf numFmtId="43" fontId="24" fillId="0" borderId="14" xfId="1" applyFont="1" applyBorder="1" applyAlignment="1">
      <alignment horizontal="center"/>
    </xf>
    <xf numFmtId="43" fontId="24" fillId="0" borderId="14" xfId="1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24" fillId="0" borderId="11" xfId="0" applyFont="1" applyBorder="1"/>
    <xf numFmtId="49" fontId="24" fillId="0" borderId="11" xfId="0" applyNumberFormat="1" applyFont="1" applyBorder="1" applyAlignment="1">
      <alignment horizontal="center" vertical="center"/>
    </xf>
    <xf numFmtId="43" fontId="24" fillId="0" borderId="11" xfId="1" applyFont="1" applyBorder="1" applyAlignment="1">
      <alignment horizontal="center" vertical="center"/>
    </xf>
    <xf numFmtId="0" fontId="24" fillId="0" borderId="11" xfId="0" applyFont="1" applyBorder="1" applyAlignment="1">
      <alignment horizontal="center"/>
    </xf>
    <xf numFmtId="0" fontId="26" fillId="0" borderId="11" xfId="0" applyFont="1" applyBorder="1" applyAlignment="1">
      <alignment horizontal="left"/>
    </xf>
    <xf numFmtId="0" fontId="25" fillId="0" borderId="14" xfId="0" applyFont="1" applyBorder="1" applyAlignment="1">
      <alignment horizontal="left"/>
    </xf>
    <xf numFmtId="187" fontId="27" fillId="0" borderId="24" xfId="1" applyNumberFormat="1" applyFont="1" applyBorder="1" applyAlignment="1">
      <alignment horizontal="center"/>
    </xf>
    <xf numFmtId="43" fontId="27" fillId="0" borderId="24" xfId="1" applyFont="1" applyBorder="1" applyAlignment="1">
      <alignment horizontal="center"/>
    </xf>
    <xf numFmtId="187" fontId="27" fillId="0" borderId="14" xfId="1" applyNumberFormat="1" applyFont="1" applyBorder="1" applyAlignment="1">
      <alignment horizontal="center"/>
    </xf>
    <xf numFmtId="43" fontId="27" fillId="0" borderId="14" xfId="1" applyFont="1" applyBorder="1" applyAlignment="1">
      <alignment horizontal="center"/>
    </xf>
    <xf numFmtId="43" fontId="27" fillId="0" borderId="6" xfId="1" applyFont="1" applyBorder="1" applyAlignment="1">
      <alignment horizontal="center"/>
    </xf>
    <xf numFmtId="43" fontId="24" fillId="0" borderId="14" xfId="1" applyFont="1" applyBorder="1" applyAlignment="1">
      <alignment horizontal="right" vertical="center"/>
    </xf>
    <xf numFmtId="43" fontId="24" fillId="0" borderId="14" xfId="1" applyFont="1" applyBorder="1" applyAlignment="1">
      <alignment horizontal="right"/>
    </xf>
    <xf numFmtId="0" fontId="24" fillId="0" borderId="14" xfId="0" applyFont="1" applyBorder="1" applyAlignment="1">
      <alignment horizontal="left" vertical="top"/>
    </xf>
    <xf numFmtId="0" fontId="24" fillId="0" borderId="14" xfId="0" applyFont="1" applyBorder="1" applyAlignment="1">
      <alignment horizontal="center" vertical="top"/>
    </xf>
    <xf numFmtId="49" fontId="24" fillId="0" borderId="14" xfId="0" applyNumberFormat="1" applyFont="1" applyBorder="1" applyAlignment="1">
      <alignment horizontal="center" vertical="top"/>
    </xf>
    <xf numFmtId="43" fontId="24" fillId="0" borderId="14" xfId="1" applyFont="1" applyBorder="1" applyAlignment="1">
      <alignment horizontal="right" vertical="top"/>
    </xf>
    <xf numFmtId="0" fontId="24" fillId="0" borderId="22" xfId="0" applyFont="1" applyBorder="1"/>
    <xf numFmtId="0" fontId="26" fillId="0" borderId="14" xfId="0" applyFont="1" applyBorder="1" applyAlignment="1">
      <alignment horizontal="center" vertical="center"/>
    </xf>
    <xf numFmtId="49" fontId="24" fillId="0" borderId="6" xfId="0" applyNumberFormat="1" applyFont="1" applyBorder="1" applyAlignment="1">
      <alignment horizontal="center" vertical="center"/>
    </xf>
    <xf numFmtId="43" fontId="24" fillId="0" borderId="6" xfId="1" applyFont="1" applyBorder="1" applyAlignment="1">
      <alignment horizontal="right" vertical="center"/>
    </xf>
    <xf numFmtId="43" fontId="27" fillId="0" borderId="12" xfId="1" applyFont="1" applyBorder="1" applyAlignment="1">
      <alignment horizontal="right"/>
    </xf>
    <xf numFmtId="0" fontId="24" fillId="0" borderId="14" xfId="0" applyFont="1" applyBorder="1" applyAlignment="1">
      <alignment horizontal="left" vertical="center"/>
    </xf>
    <xf numFmtId="43" fontId="24" fillId="0" borderId="0" xfId="0" applyNumberFormat="1" applyFont="1"/>
    <xf numFmtId="43" fontId="24" fillId="0" borderId="11" xfId="1" applyFont="1" applyBorder="1" applyAlignment="1">
      <alignment horizontal="right"/>
    </xf>
    <xf numFmtId="0" fontId="24" fillId="0" borderId="13" xfId="0" applyFont="1" applyBorder="1" applyAlignment="1">
      <alignment horizontal="center"/>
    </xf>
    <xf numFmtId="0" fontId="24" fillId="0" borderId="13" xfId="0" applyFont="1" applyBorder="1"/>
    <xf numFmtId="0" fontId="24" fillId="0" borderId="13" xfId="0" applyFont="1" applyBorder="1" applyAlignment="1">
      <alignment horizontal="center" vertical="center"/>
    </xf>
    <xf numFmtId="0" fontId="26" fillId="0" borderId="13" xfId="0" applyFont="1" applyBorder="1" applyAlignment="1">
      <alignment horizontal="left"/>
    </xf>
    <xf numFmtId="43" fontId="24" fillId="0" borderId="6" xfId="1" applyFont="1" applyBorder="1" applyAlignment="1">
      <alignment horizontal="center" vertical="center"/>
    </xf>
    <xf numFmtId="43" fontId="24" fillId="0" borderId="0" xfId="1" applyFont="1" applyBorder="1"/>
    <xf numFmtId="0" fontId="24" fillId="0" borderId="13" xfId="0" applyFont="1" applyBorder="1" applyAlignment="1">
      <alignment horizontal="left"/>
    </xf>
    <xf numFmtId="43" fontId="24" fillId="0" borderId="13" xfId="1" applyFont="1" applyBorder="1" applyAlignment="1">
      <alignment horizontal="center"/>
    </xf>
    <xf numFmtId="0" fontId="24" fillId="0" borderId="0" xfId="0" applyFont="1" applyAlignment="1">
      <alignment horizontal="center"/>
    </xf>
    <xf numFmtId="187" fontId="24" fillId="0" borderId="0" xfId="1" applyNumberFormat="1" applyFont="1" applyBorder="1"/>
    <xf numFmtId="0" fontId="24" fillId="0" borderId="0" xfId="0" applyFont="1" applyAlignment="1">
      <alignment horizontal="left"/>
    </xf>
    <xf numFmtId="187" fontId="24" fillId="0" borderId="0" xfId="0" applyNumberFormat="1" applyFont="1" applyAlignment="1">
      <alignment horizontal="center"/>
    </xf>
    <xf numFmtId="187" fontId="24" fillId="0" borderId="0" xfId="1" applyNumberFormat="1" applyFont="1"/>
    <xf numFmtId="3" fontId="29" fillId="0" borderId="14" xfId="0" applyNumberFormat="1" applyFont="1" applyBorder="1" applyAlignment="1">
      <alignment horizontal="left"/>
    </xf>
    <xf numFmtId="0" fontId="29" fillId="0" borderId="14" xfId="0" applyFont="1" applyBorder="1" applyAlignment="1">
      <alignment horizontal="left" vertical="center"/>
    </xf>
    <xf numFmtId="0" fontId="1" fillId="0" borderId="13" xfId="0" applyFont="1" applyBorder="1"/>
    <xf numFmtId="43" fontId="2" fillId="0" borderId="14" xfId="1" applyFont="1" applyBorder="1" applyAlignment="1">
      <alignment horizontal="center"/>
    </xf>
    <xf numFmtId="43" fontId="27" fillId="0" borderId="2" xfId="1" applyFont="1" applyBorder="1" applyAlignment="1">
      <alignment horizontal="center"/>
    </xf>
    <xf numFmtId="0" fontId="24" fillId="0" borderId="21" xfId="0" applyFont="1" applyBorder="1" applyAlignment="1">
      <alignment horizontal="center"/>
    </xf>
    <xf numFmtId="0" fontId="24" fillId="0" borderId="21" xfId="0" applyFont="1" applyBorder="1"/>
    <xf numFmtId="0" fontId="24" fillId="0" borderId="21" xfId="0" applyFont="1" applyBorder="1" applyAlignment="1">
      <alignment horizontal="left"/>
    </xf>
    <xf numFmtId="187" fontId="1" fillId="0" borderId="21" xfId="1" applyNumberFormat="1" applyFont="1" applyBorder="1" applyAlignment="1">
      <alignment horizontal="center"/>
    </xf>
    <xf numFmtId="43" fontId="1" fillId="0" borderId="21" xfId="0" applyNumberFormat="1" applyFont="1" applyBorder="1" applyAlignment="1">
      <alignment horizontal="center"/>
    </xf>
    <xf numFmtId="0" fontId="3" fillId="0" borderId="14" xfId="0" applyFont="1" applyBorder="1" applyAlignment="1">
      <alignment horizontal="left" vertical="center"/>
    </xf>
    <xf numFmtId="0" fontId="27" fillId="0" borderId="2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30" fillId="0" borderId="0" xfId="0" applyFont="1" applyAlignment="1">
      <alignment horizontal="center"/>
    </xf>
    <xf numFmtId="0" fontId="27" fillId="0" borderId="5" xfId="0" applyFont="1" applyBorder="1" applyAlignment="1">
      <alignment horizontal="center"/>
    </xf>
    <xf numFmtId="0" fontId="27" fillId="0" borderId="9" xfId="0" applyFont="1" applyBorder="1" applyAlignment="1">
      <alignment horizontal="center"/>
    </xf>
    <xf numFmtId="0" fontId="27" fillId="0" borderId="2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7" fillId="0" borderId="7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8" xfId="0" applyFont="1" applyBorder="1" applyAlignment="1">
      <alignment horizontal="center" vertical="center"/>
    </xf>
    <xf numFmtId="187" fontId="27" fillId="0" borderId="2" xfId="1" applyNumberFormat="1" applyFont="1" applyBorder="1" applyAlignment="1">
      <alignment horizontal="center" vertical="center"/>
    </xf>
    <xf numFmtId="187" fontId="27" fillId="0" borderId="6" xfId="1" applyNumberFormat="1" applyFont="1" applyBorder="1" applyAlignment="1">
      <alignment horizontal="center" vertical="center"/>
    </xf>
    <xf numFmtId="187" fontId="27" fillId="0" borderId="1" xfId="1" applyNumberFormat="1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87" fontId="1" fillId="0" borderId="2" xfId="1" applyNumberFormat="1" applyFont="1" applyBorder="1" applyAlignment="1">
      <alignment horizontal="center" vertical="center"/>
    </xf>
    <xf numFmtId="187" fontId="1" fillId="0" borderId="6" xfId="1" applyNumberFormat="1" applyFont="1" applyBorder="1" applyAlignment="1">
      <alignment horizontal="center" vertical="center"/>
    </xf>
    <xf numFmtId="187" fontId="1" fillId="0" borderId="1" xfId="1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187" fontId="14" fillId="0" borderId="21" xfId="0" applyNumberFormat="1" applyFont="1" applyBorder="1" applyAlignment="1">
      <alignment horizontal="center"/>
    </xf>
    <xf numFmtId="0" fontId="14" fillId="0" borderId="21" xfId="0" applyFont="1" applyBorder="1" applyAlignment="1">
      <alignment horizontal="center"/>
    </xf>
    <xf numFmtId="0" fontId="14" fillId="0" borderId="21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7" fillId="0" borderId="0" xfId="0" applyFont="1" applyAlignment="1">
      <alignment horizontal="center"/>
    </xf>
    <xf numFmtId="0" fontId="17" fillId="0" borderId="5" xfId="0" applyFont="1" applyBorder="1" applyAlignment="1">
      <alignment horizont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1"/>
  <sheetViews>
    <sheetView tabSelected="1" zoomScale="120" zoomScaleNormal="120" workbookViewId="0">
      <selection activeCell="A3" sqref="A3:F5"/>
    </sheetView>
  </sheetViews>
  <sheetFormatPr defaultColWidth="9" defaultRowHeight="18.75" x14ac:dyDescent="0.3"/>
  <cols>
    <col min="1" max="1" width="6.375" style="209" customWidth="1"/>
    <col min="2" max="2" width="34.125" style="138" bestFit="1" customWidth="1"/>
    <col min="3" max="3" width="10.75" style="209" customWidth="1"/>
    <col min="4" max="4" width="10.25" style="213" bestFit="1" customWidth="1"/>
    <col min="5" max="5" width="10.875" style="209" customWidth="1"/>
    <col min="6" max="6" width="16" style="138" customWidth="1"/>
    <col min="7" max="7" width="4.25" style="138" customWidth="1"/>
    <col min="8" max="8" width="4.125" style="138" customWidth="1"/>
    <col min="9" max="9" width="5" style="138" customWidth="1"/>
    <col min="10" max="10" width="5.5" style="138" customWidth="1"/>
    <col min="11" max="11" width="6" style="138" customWidth="1"/>
    <col min="12" max="12" width="7.25" style="209" customWidth="1"/>
    <col min="13" max="13" width="13.75" style="138" customWidth="1"/>
    <col min="14" max="14" width="9" style="138"/>
    <col min="15" max="15" width="9.625" style="138" bestFit="1" customWidth="1"/>
    <col min="16" max="16384" width="9" style="138"/>
  </cols>
  <sheetData>
    <row r="1" spans="1:13" ht="19.899999999999999" customHeight="1" x14ac:dyDescent="0.35">
      <c r="A1" s="228" t="s">
        <v>326</v>
      </c>
      <c r="B1" s="228"/>
      <c r="C1" s="228"/>
      <c r="D1" s="228"/>
      <c r="E1" s="228"/>
      <c r="F1" s="228"/>
      <c r="G1" s="228"/>
      <c r="H1" s="228"/>
      <c r="I1" s="228"/>
      <c r="J1" s="228"/>
      <c r="K1" s="228"/>
      <c r="L1" s="228"/>
      <c r="M1" s="228"/>
    </row>
    <row r="2" spans="1:13" ht="19.899999999999999" customHeight="1" x14ac:dyDescent="0.3">
      <c r="A2" s="229" t="s">
        <v>165</v>
      </c>
      <c r="B2" s="229"/>
      <c r="C2" s="229"/>
      <c r="D2" s="229"/>
      <c r="E2" s="229"/>
      <c r="F2" s="229"/>
      <c r="G2" s="229"/>
      <c r="H2" s="229"/>
      <c r="I2" s="229"/>
      <c r="J2" s="229"/>
      <c r="K2" s="229"/>
      <c r="L2" s="229"/>
      <c r="M2" s="229"/>
    </row>
    <row r="3" spans="1:13" ht="19.899999999999999" customHeight="1" x14ac:dyDescent="0.3">
      <c r="A3" s="233" t="s">
        <v>8</v>
      </c>
      <c r="B3" s="225" t="s">
        <v>9</v>
      </c>
      <c r="C3" s="239" t="s">
        <v>64</v>
      </c>
      <c r="D3" s="140"/>
      <c r="E3" s="236" t="s">
        <v>5</v>
      </c>
      <c r="F3" s="225" t="s">
        <v>82</v>
      </c>
      <c r="G3" s="230" t="s">
        <v>86</v>
      </c>
      <c r="H3" s="231"/>
      <c r="I3" s="231"/>
      <c r="J3" s="231"/>
      <c r="K3" s="231"/>
      <c r="L3" s="232"/>
      <c r="M3" s="225" t="s">
        <v>10</v>
      </c>
    </row>
    <row r="4" spans="1:13" ht="19.899999999999999" customHeight="1" x14ac:dyDescent="0.3">
      <c r="A4" s="235"/>
      <c r="B4" s="226"/>
      <c r="C4" s="240"/>
      <c r="D4" s="141" t="s">
        <v>48</v>
      </c>
      <c r="E4" s="237"/>
      <c r="F4" s="226"/>
      <c r="G4" s="233" t="s">
        <v>83</v>
      </c>
      <c r="H4" s="225" t="s">
        <v>84</v>
      </c>
      <c r="I4" s="142" t="s">
        <v>87</v>
      </c>
      <c r="J4" s="225" t="s">
        <v>85</v>
      </c>
      <c r="K4" s="142" t="s">
        <v>89</v>
      </c>
      <c r="L4" s="143" t="s">
        <v>91</v>
      </c>
      <c r="M4" s="226"/>
    </row>
    <row r="5" spans="1:13" ht="19.899999999999999" customHeight="1" x14ac:dyDescent="0.3">
      <c r="A5" s="234"/>
      <c r="B5" s="227"/>
      <c r="C5" s="241"/>
      <c r="D5" s="144" t="s">
        <v>49</v>
      </c>
      <c r="E5" s="238"/>
      <c r="F5" s="227"/>
      <c r="G5" s="234"/>
      <c r="H5" s="227"/>
      <c r="I5" s="139" t="s">
        <v>88</v>
      </c>
      <c r="J5" s="227"/>
      <c r="K5" s="139" t="s">
        <v>90</v>
      </c>
      <c r="L5" s="145" t="s">
        <v>92</v>
      </c>
      <c r="M5" s="227"/>
    </row>
    <row r="6" spans="1:13" ht="19.899999999999999" customHeight="1" x14ac:dyDescent="0.3">
      <c r="A6" s="146"/>
      <c r="B6" s="147" t="s">
        <v>67</v>
      </c>
      <c r="C6" s="148"/>
      <c r="D6" s="149"/>
      <c r="E6" s="150"/>
      <c r="F6" s="151"/>
      <c r="G6" s="152"/>
      <c r="H6" s="152"/>
      <c r="I6" s="152"/>
      <c r="J6" s="152"/>
      <c r="K6" s="152"/>
      <c r="L6" s="153"/>
      <c r="M6" s="154"/>
    </row>
    <row r="7" spans="1:13" ht="19.899999999999999" customHeight="1" x14ac:dyDescent="0.5">
      <c r="A7" s="155">
        <v>1</v>
      </c>
      <c r="B7" s="133" t="s">
        <v>6</v>
      </c>
      <c r="C7" s="128" t="s">
        <v>7</v>
      </c>
      <c r="D7" s="156" t="s">
        <v>66</v>
      </c>
      <c r="E7" s="157">
        <v>0</v>
      </c>
      <c r="F7" s="158" t="s">
        <v>344</v>
      </c>
      <c r="G7" s="62" t="s">
        <v>114</v>
      </c>
      <c r="H7" s="133"/>
      <c r="I7" s="133"/>
      <c r="J7" s="133"/>
      <c r="K7" s="133"/>
      <c r="L7" s="128"/>
      <c r="M7" s="158"/>
    </row>
    <row r="8" spans="1:13" ht="19.899999999999999" customHeight="1" x14ac:dyDescent="0.5">
      <c r="A8" s="155">
        <v>2</v>
      </c>
      <c r="B8" s="133" t="s">
        <v>115</v>
      </c>
      <c r="C8" s="128" t="s">
        <v>116</v>
      </c>
      <c r="D8" s="159" t="s">
        <v>117</v>
      </c>
      <c r="E8" s="160">
        <v>7500</v>
      </c>
      <c r="F8" s="137" t="s">
        <v>307</v>
      </c>
      <c r="G8" s="62" t="s">
        <v>114</v>
      </c>
      <c r="H8" s="133"/>
      <c r="I8" s="133"/>
      <c r="J8" s="133"/>
      <c r="K8" s="133"/>
      <c r="L8" s="128"/>
      <c r="M8" s="137"/>
    </row>
    <row r="9" spans="1:13" ht="19.899999999999999" customHeight="1" x14ac:dyDescent="0.5">
      <c r="A9" s="155">
        <v>3</v>
      </c>
      <c r="B9" s="133" t="s">
        <v>12</v>
      </c>
      <c r="C9" s="155" t="s">
        <v>78</v>
      </c>
      <c r="D9" s="161" t="s">
        <v>77</v>
      </c>
      <c r="E9" s="162">
        <v>3200</v>
      </c>
      <c r="F9" s="158" t="s">
        <v>55</v>
      </c>
      <c r="G9" s="62"/>
      <c r="H9" s="133"/>
      <c r="I9" s="62" t="s">
        <v>114</v>
      </c>
      <c r="J9" s="133"/>
      <c r="K9" s="133"/>
      <c r="L9" s="128"/>
      <c r="M9" s="158"/>
    </row>
    <row r="10" spans="1:13" ht="19.899999999999999" customHeight="1" x14ac:dyDescent="0.5">
      <c r="A10" s="155">
        <v>4</v>
      </c>
      <c r="B10" s="133" t="s">
        <v>12</v>
      </c>
      <c r="C10" s="128" t="s">
        <v>16</v>
      </c>
      <c r="D10" s="134" t="s">
        <v>17</v>
      </c>
      <c r="E10" s="157">
        <v>3200</v>
      </c>
      <c r="F10" s="137" t="s">
        <v>15</v>
      </c>
      <c r="G10" s="62"/>
      <c r="H10" s="133"/>
      <c r="I10" s="62" t="s">
        <v>114</v>
      </c>
      <c r="J10" s="133"/>
      <c r="K10" s="133"/>
      <c r="L10" s="128"/>
      <c r="M10" s="137"/>
    </row>
    <row r="11" spans="1:13" ht="19.899999999999999" customHeight="1" x14ac:dyDescent="0.5">
      <c r="A11" s="155">
        <v>5</v>
      </c>
      <c r="B11" s="133" t="s">
        <v>12</v>
      </c>
      <c r="C11" s="128" t="s">
        <v>118</v>
      </c>
      <c r="D11" s="134" t="s">
        <v>144</v>
      </c>
      <c r="E11" s="157">
        <v>2000</v>
      </c>
      <c r="F11" s="137" t="s">
        <v>13</v>
      </c>
      <c r="G11" s="62"/>
      <c r="H11" s="133"/>
      <c r="I11" s="62" t="s">
        <v>114</v>
      </c>
      <c r="J11" s="133"/>
      <c r="K11" s="133"/>
      <c r="L11" s="128"/>
      <c r="M11" s="137"/>
    </row>
    <row r="12" spans="1:13" ht="19.899999999999999" customHeight="1" x14ac:dyDescent="0.5">
      <c r="A12" s="155">
        <v>6</v>
      </c>
      <c r="B12" s="133" t="s">
        <v>151</v>
      </c>
      <c r="C12" s="128" t="s">
        <v>152</v>
      </c>
      <c r="D12" s="134" t="s">
        <v>153</v>
      </c>
      <c r="E12" s="157">
        <v>9950</v>
      </c>
      <c r="F12" s="137" t="s">
        <v>113</v>
      </c>
      <c r="G12" s="62" t="s">
        <v>114</v>
      </c>
      <c r="H12" s="133"/>
      <c r="I12" s="133"/>
      <c r="J12" s="133"/>
      <c r="K12" s="133"/>
      <c r="L12" s="128"/>
      <c r="M12" s="137"/>
    </row>
    <row r="13" spans="1:13" ht="19.899999999999999" customHeight="1" x14ac:dyDescent="0.5">
      <c r="A13" s="155">
        <v>7</v>
      </c>
      <c r="B13" s="133" t="s">
        <v>151</v>
      </c>
      <c r="C13" s="128" t="s">
        <v>154</v>
      </c>
      <c r="D13" s="134" t="s">
        <v>153</v>
      </c>
      <c r="E13" s="157">
        <v>8000</v>
      </c>
      <c r="F13" s="137" t="s">
        <v>11</v>
      </c>
      <c r="G13" s="62" t="s">
        <v>114</v>
      </c>
      <c r="H13" s="133"/>
      <c r="I13" s="133"/>
      <c r="J13" s="133"/>
      <c r="K13" s="133"/>
      <c r="L13" s="128"/>
      <c r="M13" s="137"/>
    </row>
    <row r="14" spans="1:13" ht="19.899999999999999" customHeight="1" x14ac:dyDescent="0.5">
      <c r="A14" s="155">
        <v>8</v>
      </c>
      <c r="B14" s="122" t="s">
        <v>220</v>
      </c>
      <c r="C14" s="123" t="s">
        <v>221</v>
      </c>
      <c r="D14" s="132" t="s">
        <v>222</v>
      </c>
      <c r="E14" s="163">
        <v>9400</v>
      </c>
      <c r="F14" s="164" t="s">
        <v>271</v>
      </c>
      <c r="G14" s="62" t="s">
        <v>114</v>
      </c>
      <c r="H14" s="126"/>
      <c r="I14" s="133"/>
      <c r="J14" s="133"/>
      <c r="K14" s="133"/>
      <c r="L14" s="128"/>
      <c r="M14" s="137"/>
    </row>
    <row r="15" spans="1:13" ht="19.899999999999999" customHeight="1" x14ac:dyDescent="0.5">
      <c r="A15" s="155">
        <v>9</v>
      </c>
      <c r="B15" s="122" t="s">
        <v>220</v>
      </c>
      <c r="C15" s="123" t="s">
        <v>223</v>
      </c>
      <c r="D15" s="132" t="s">
        <v>222</v>
      </c>
      <c r="E15" s="163">
        <v>9400</v>
      </c>
      <c r="F15" s="164" t="s">
        <v>271</v>
      </c>
      <c r="G15" s="62" t="s">
        <v>114</v>
      </c>
      <c r="H15" s="126"/>
      <c r="I15" s="133"/>
      <c r="J15" s="133"/>
      <c r="K15" s="133"/>
      <c r="L15" s="128"/>
      <c r="M15" s="137"/>
    </row>
    <row r="16" spans="1:13" ht="19.899999999999999" customHeight="1" x14ac:dyDescent="0.5">
      <c r="A16" s="155">
        <v>10</v>
      </c>
      <c r="B16" s="122" t="s">
        <v>224</v>
      </c>
      <c r="C16" s="123" t="s">
        <v>225</v>
      </c>
      <c r="D16" s="132" t="s">
        <v>222</v>
      </c>
      <c r="E16" s="163">
        <v>5500</v>
      </c>
      <c r="F16" s="137" t="s">
        <v>13</v>
      </c>
      <c r="G16" s="62" t="s">
        <v>114</v>
      </c>
      <c r="H16" s="165"/>
      <c r="I16" s="133"/>
      <c r="J16" s="133"/>
      <c r="K16" s="133"/>
      <c r="L16" s="128"/>
      <c r="M16" s="133"/>
    </row>
    <row r="17" spans="1:13" ht="19.899999999999999" customHeight="1" x14ac:dyDescent="0.5">
      <c r="A17" s="155">
        <v>11</v>
      </c>
      <c r="B17" s="122" t="s">
        <v>224</v>
      </c>
      <c r="C17" s="123" t="s">
        <v>226</v>
      </c>
      <c r="D17" s="132" t="s">
        <v>222</v>
      </c>
      <c r="E17" s="163">
        <v>5500</v>
      </c>
      <c r="F17" s="137" t="s">
        <v>15</v>
      </c>
      <c r="G17" s="62" t="s">
        <v>114</v>
      </c>
      <c r="H17" s="165"/>
      <c r="I17" s="133"/>
      <c r="J17" s="133"/>
      <c r="K17" s="133"/>
      <c r="L17" s="128"/>
      <c r="M17" s="133"/>
    </row>
    <row r="18" spans="1:13" ht="19.899999999999999" customHeight="1" x14ac:dyDescent="0.5">
      <c r="A18" s="155">
        <v>12</v>
      </c>
      <c r="B18" s="122" t="s">
        <v>224</v>
      </c>
      <c r="C18" s="123" t="s">
        <v>227</v>
      </c>
      <c r="D18" s="132" t="s">
        <v>222</v>
      </c>
      <c r="E18" s="163">
        <v>5500</v>
      </c>
      <c r="F18" s="137" t="s">
        <v>55</v>
      </c>
      <c r="G18" s="62" t="s">
        <v>114</v>
      </c>
      <c r="H18" s="165"/>
      <c r="I18" s="133"/>
      <c r="J18" s="133"/>
      <c r="K18" s="133"/>
      <c r="L18" s="128"/>
      <c r="M18" s="133"/>
    </row>
    <row r="19" spans="1:13" ht="19.899999999999999" customHeight="1" x14ac:dyDescent="0.5">
      <c r="A19" s="155">
        <v>13</v>
      </c>
      <c r="B19" s="122" t="s">
        <v>224</v>
      </c>
      <c r="C19" s="123" t="s">
        <v>228</v>
      </c>
      <c r="D19" s="132" t="s">
        <v>222</v>
      </c>
      <c r="E19" s="163">
        <v>5500</v>
      </c>
      <c r="F19" s="137" t="s">
        <v>247</v>
      </c>
      <c r="G19" s="62" t="s">
        <v>114</v>
      </c>
      <c r="H19" s="165"/>
      <c r="I19" s="133"/>
      <c r="J19" s="133"/>
      <c r="K19" s="133"/>
      <c r="L19" s="128"/>
      <c r="M19" s="133"/>
    </row>
    <row r="20" spans="1:13" ht="19.899999999999999" customHeight="1" x14ac:dyDescent="0.5">
      <c r="A20" s="155">
        <v>14</v>
      </c>
      <c r="B20" s="122" t="s">
        <v>224</v>
      </c>
      <c r="C20" s="123" t="s">
        <v>229</v>
      </c>
      <c r="D20" s="132" t="s">
        <v>222</v>
      </c>
      <c r="E20" s="163">
        <v>5500</v>
      </c>
      <c r="F20" s="137" t="s">
        <v>248</v>
      </c>
      <c r="G20" s="62" t="s">
        <v>114</v>
      </c>
      <c r="H20" s="165"/>
      <c r="I20" s="133"/>
      <c r="J20" s="133"/>
      <c r="K20" s="133"/>
      <c r="L20" s="128"/>
      <c r="M20" s="133"/>
    </row>
    <row r="21" spans="1:13" ht="19.899999999999999" customHeight="1" x14ac:dyDescent="0.5">
      <c r="A21" s="155">
        <v>15</v>
      </c>
      <c r="B21" s="122" t="s">
        <v>224</v>
      </c>
      <c r="C21" s="123" t="s">
        <v>230</v>
      </c>
      <c r="D21" s="132" t="s">
        <v>222</v>
      </c>
      <c r="E21" s="163">
        <v>5500</v>
      </c>
      <c r="F21" s="137" t="s">
        <v>249</v>
      </c>
      <c r="G21" s="62" t="s">
        <v>114</v>
      </c>
      <c r="H21" s="165"/>
      <c r="I21" s="133"/>
      <c r="J21" s="133"/>
      <c r="K21" s="133"/>
      <c r="L21" s="128"/>
      <c r="M21" s="133"/>
    </row>
    <row r="22" spans="1:13" ht="19.899999999999999" customHeight="1" x14ac:dyDescent="0.5">
      <c r="A22" s="155">
        <v>16</v>
      </c>
      <c r="B22" s="122" t="s">
        <v>224</v>
      </c>
      <c r="C22" s="123" t="s">
        <v>231</v>
      </c>
      <c r="D22" s="132" t="s">
        <v>222</v>
      </c>
      <c r="E22" s="163">
        <v>5500</v>
      </c>
      <c r="F22" s="137" t="s">
        <v>250</v>
      </c>
      <c r="G22" s="62" t="s">
        <v>114</v>
      </c>
      <c r="H22" s="165"/>
      <c r="I22" s="133"/>
      <c r="J22" s="133"/>
      <c r="K22" s="133"/>
      <c r="L22" s="128"/>
      <c r="M22" s="133"/>
    </row>
    <row r="23" spans="1:13" ht="19.899999999999999" customHeight="1" x14ac:dyDescent="0.5">
      <c r="A23" s="155">
        <v>17</v>
      </c>
      <c r="B23" s="122" t="s">
        <v>224</v>
      </c>
      <c r="C23" s="123" t="s">
        <v>232</v>
      </c>
      <c r="D23" s="132" t="s">
        <v>222</v>
      </c>
      <c r="E23" s="163">
        <v>5500</v>
      </c>
      <c r="F23" s="137" t="s">
        <v>345</v>
      </c>
      <c r="G23" s="62" t="s">
        <v>114</v>
      </c>
      <c r="H23" s="165"/>
      <c r="I23" s="133"/>
      <c r="J23" s="133"/>
      <c r="K23" s="133"/>
      <c r="L23" s="128"/>
      <c r="M23" s="133"/>
    </row>
    <row r="24" spans="1:13" ht="19.899999999999999" customHeight="1" x14ac:dyDescent="0.5">
      <c r="A24" s="155">
        <v>18</v>
      </c>
      <c r="B24" s="122" t="s">
        <v>224</v>
      </c>
      <c r="C24" s="123" t="s">
        <v>233</v>
      </c>
      <c r="D24" s="132" t="s">
        <v>222</v>
      </c>
      <c r="E24" s="163">
        <v>5500</v>
      </c>
      <c r="F24" s="137" t="s">
        <v>251</v>
      </c>
      <c r="G24" s="62" t="s">
        <v>114</v>
      </c>
      <c r="H24" s="165"/>
      <c r="I24" s="133"/>
      <c r="J24" s="133"/>
      <c r="K24" s="133"/>
      <c r="L24" s="128"/>
      <c r="M24" s="133"/>
    </row>
    <row r="25" spans="1:13" ht="19.899999999999999" customHeight="1" x14ac:dyDescent="0.5">
      <c r="A25" s="155">
        <v>19</v>
      </c>
      <c r="B25" s="122" t="s">
        <v>224</v>
      </c>
      <c r="C25" s="123" t="s">
        <v>234</v>
      </c>
      <c r="D25" s="132" t="s">
        <v>222</v>
      </c>
      <c r="E25" s="163">
        <v>5500</v>
      </c>
      <c r="F25" s="137" t="s">
        <v>252</v>
      </c>
      <c r="G25" s="62" t="s">
        <v>114</v>
      </c>
      <c r="H25" s="165"/>
      <c r="I25" s="133"/>
      <c r="J25" s="133"/>
      <c r="K25" s="133"/>
      <c r="L25" s="128"/>
      <c r="M25" s="133"/>
    </row>
    <row r="26" spans="1:13" ht="19.899999999999999" customHeight="1" x14ac:dyDescent="0.5">
      <c r="A26" s="155">
        <v>20</v>
      </c>
      <c r="B26" s="122" t="s">
        <v>224</v>
      </c>
      <c r="C26" s="123" t="s">
        <v>235</v>
      </c>
      <c r="D26" s="132" t="s">
        <v>222</v>
      </c>
      <c r="E26" s="163">
        <v>5500</v>
      </c>
      <c r="F26" s="137" t="s">
        <v>253</v>
      </c>
      <c r="G26" s="62" t="s">
        <v>114</v>
      </c>
      <c r="H26" s="165"/>
      <c r="I26" s="133"/>
      <c r="J26" s="133"/>
      <c r="K26" s="133"/>
      <c r="L26" s="128"/>
      <c r="M26" s="133"/>
    </row>
    <row r="27" spans="1:13" ht="19.899999999999999" customHeight="1" x14ac:dyDescent="0.5">
      <c r="A27" s="155">
        <v>21</v>
      </c>
      <c r="B27" s="122" t="s">
        <v>224</v>
      </c>
      <c r="C27" s="123" t="s">
        <v>236</v>
      </c>
      <c r="D27" s="132" t="s">
        <v>222</v>
      </c>
      <c r="E27" s="163">
        <v>5500</v>
      </c>
      <c r="F27" s="137" t="s">
        <v>254</v>
      </c>
      <c r="G27" s="62" t="s">
        <v>114</v>
      </c>
      <c r="H27" s="165"/>
      <c r="I27" s="133"/>
      <c r="J27" s="133"/>
      <c r="K27" s="133"/>
      <c r="L27" s="128"/>
      <c r="M27" s="133"/>
    </row>
    <row r="28" spans="1:13" ht="19.899999999999999" customHeight="1" x14ac:dyDescent="0.5">
      <c r="A28" s="155">
        <v>22</v>
      </c>
      <c r="B28" s="122" t="s">
        <v>224</v>
      </c>
      <c r="C28" s="123" t="s">
        <v>237</v>
      </c>
      <c r="D28" s="132" t="s">
        <v>222</v>
      </c>
      <c r="E28" s="163">
        <v>5500</v>
      </c>
      <c r="F28" s="137" t="s">
        <v>345</v>
      </c>
      <c r="G28" s="62" t="s">
        <v>114</v>
      </c>
      <c r="H28" s="165"/>
      <c r="I28" s="133"/>
      <c r="J28" s="133"/>
      <c r="K28" s="133"/>
      <c r="L28" s="128"/>
      <c r="M28" s="133"/>
    </row>
    <row r="29" spans="1:13" ht="19.899999999999999" customHeight="1" x14ac:dyDescent="0.5">
      <c r="A29" s="155">
        <v>23</v>
      </c>
      <c r="B29" s="122" t="s">
        <v>224</v>
      </c>
      <c r="C29" s="123" t="s">
        <v>238</v>
      </c>
      <c r="D29" s="132" t="s">
        <v>222</v>
      </c>
      <c r="E29" s="163">
        <v>5500</v>
      </c>
      <c r="F29" s="137" t="s">
        <v>345</v>
      </c>
      <c r="G29" s="62" t="s">
        <v>114</v>
      </c>
      <c r="H29" s="165"/>
      <c r="I29" s="133"/>
      <c r="J29" s="133"/>
      <c r="K29" s="133"/>
      <c r="L29" s="128"/>
      <c r="M29" s="133"/>
    </row>
    <row r="30" spans="1:13" ht="19.899999999999999" customHeight="1" x14ac:dyDescent="0.5">
      <c r="A30" s="155">
        <v>24</v>
      </c>
      <c r="B30" s="122" t="s">
        <v>224</v>
      </c>
      <c r="C30" s="123" t="s">
        <v>239</v>
      </c>
      <c r="D30" s="132" t="s">
        <v>222</v>
      </c>
      <c r="E30" s="163">
        <v>5500</v>
      </c>
      <c r="F30" s="137" t="s">
        <v>255</v>
      </c>
      <c r="G30" s="62" t="s">
        <v>114</v>
      </c>
      <c r="H30" s="165"/>
      <c r="I30" s="133"/>
      <c r="J30" s="133"/>
      <c r="K30" s="133"/>
      <c r="L30" s="128"/>
      <c r="M30" s="133"/>
    </row>
    <row r="31" spans="1:13" ht="19.899999999999999" customHeight="1" x14ac:dyDescent="0.5">
      <c r="A31" s="155">
        <v>25</v>
      </c>
      <c r="B31" s="122" t="s">
        <v>224</v>
      </c>
      <c r="C31" s="123" t="s">
        <v>240</v>
      </c>
      <c r="D31" s="132" t="s">
        <v>222</v>
      </c>
      <c r="E31" s="163">
        <v>5500</v>
      </c>
      <c r="F31" s="137" t="s">
        <v>256</v>
      </c>
      <c r="G31" s="62" t="s">
        <v>114</v>
      </c>
      <c r="H31" s="165"/>
      <c r="I31" s="133"/>
      <c r="J31" s="133"/>
      <c r="K31" s="133"/>
      <c r="L31" s="128"/>
      <c r="M31" s="133"/>
    </row>
    <row r="32" spans="1:13" ht="19.899999999999999" customHeight="1" x14ac:dyDescent="0.5">
      <c r="A32" s="155">
        <v>26</v>
      </c>
      <c r="B32" s="122" t="s">
        <v>224</v>
      </c>
      <c r="C32" s="123" t="s">
        <v>241</v>
      </c>
      <c r="D32" s="132" t="s">
        <v>222</v>
      </c>
      <c r="E32" s="163">
        <v>5500</v>
      </c>
      <c r="F32" s="137" t="s">
        <v>257</v>
      </c>
      <c r="G32" s="62" t="s">
        <v>114</v>
      </c>
      <c r="H32" s="165"/>
      <c r="I32" s="133"/>
      <c r="J32" s="133"/>
      <c r="K32" s="133"/>
      <c r="L32" s="128"/>
      <c r="M32" s="133"/>
    </row>
    <row r="33" spans="1:15" ht="19.899999999999999" customHeight="1" x14ac:dyDescent="0.5">
      <c r="A33" s="155">
        <v>27</v>
      </c>
      <c r="B33" s="122" t="s">
        <v>224</v>
      </c>
      <c r="C33" s="123" t="s">
        <v>242</v>
      </c>
      <c r="D33" s="132" t="s">
        <v>222</v>
      </c>
      <c r="E33" s="163">
        <v>5500</v>
      </c>
      <c r="F33" s="137" t="s">
        <v>258</v>
      </c>
      <c r="G33" s="62" t="s">
        <v>114</v>
      </c>
      <c r="H33" s="165"/>
      <c r="I33" s="133"/>
      <c r="J33" s="133"/>
      <c r="K33" s="133"/>
      <c r="L33" s="128"/>
      <c r="M33" s="133"/>
    </row>
    <row r="34" spans="1:15" ht="19.899999999999999" customHeight="1" x14ac:dyDescent="0.5">
      <c r="A34" s="155">
        <v>28</v>
      </c>
      <c r="B34" s="122" t="s">
        <v>224</v>
      </c>
      <c r="C34" s="123" t="s">
        <v>243</v>
      </c>
      <c r="D34" s="132" t="s">
        <v>222</v>
      </c>
      <c r="E34" s="163">
        <v>5500</v>
      </c>
      <c r="F34" s="166" t="s">
        <v>292</v>
      </c>
      <c r="G34" s="62" t="s">
        <v>114</v>
      </c>
      <c r="H34" s="165"/>
      <c r="I34" s="133"/>
      <c r="J34" s="133"/>
      <c r="K34" s="133"/>
      <c r="L34" s="128"/>
      <c r="M34" s="133"/>
    </row>
    <row r="35" spans="1:15" ht="19.899999999999999" customHeight="1" x14ac:dyDescent="0.5">
      <c r="A35" s="155">
        <v>29</v>
      </c>
      <c r="B35" s="122" t="s">
        <v>224</v>
      </c>
      <c r="C35" s="123" t="s">
        <v>244</v>
      </c>
      <c r="D35" s="132" t="s">
        <v>222</v>
      </c>
      <c r="E35" s="163">
        <v>5500</v>
      </c>
      <c r="F35" s="137" t="s">
        <v>308</v>
      </c>
      <c r="G35" s="62" t="s">
        <v>114</v>
      </c>
      <c r="H35" s="165"/>
      <c r="I35" s="133"/>
      <c r="J35" s="133"/>
      <c r="K35" s="133"/>
      <c r="L35" s="128"/>
      <c r="M35" s="133"/>
    </row>
    <row r="36" spans="1:15" ht="19.899999999999999" customHeight="1" x14ac:dyDescent="0.5">
      <c r="A36" s="155">
        <v>30</v>
      </c>
      <c r="B36" s="122" t="s">
        <v>224</v>
      </c>
      <c r="C36" s="123" t="s">
        <v>245</v>
      </c>
      <c r="D36" s="132" t="s">
        <v>222</v>
      </c>
      <c r="E36" s="163">
        <v>5500</v>
      </c>
      <c r="F36" s="137" t="s">
        <v>345</v>
      </c>
      <c r="G36" s="62" t="s">
        <v>114</v>
      </c>
      <c r="H36" s="165"/>
      <c r="I36" s="133"/>
      <c r="J36" s="133"/>
      <c r="K36" s="133"/>
      <c r="L36" s="128"/>
      <c r="M36" s="133"/>
    </row>
    <row r="37" spans="1:15" ht="19.899999999999999" customHeight="1" x14ac:dyDescent="0.5">
      <c r="A37" s="155">
        <v>31</v>
      </c>
      <c r="B37" s="122" t="s">
        <v>224</v>
      </c>
      <c r="C37" s="123" t="s">
        <v>246</v>
      </c>
      <c r="D37" s="132" t="s">
        <v>222</v>
      </c>
      <c r="E37" s="163">
        <v>5500</v>
      </c>
      <c r="F37" s="137" t="s">
        <v>260</v>
      </c>
      <c r="G37" s="62" t="s">
        <v>114</v>
      </c>
      <c r="H37" s="165"/>
      <c r="I37" s="133"/>
      <c r="J37" s="133"/>
      <c r="K37" s="133"/>
      <c r="L37" s="128"/>
      <c r="M37" s="133"/>
    </row>
    <row r="38" spans="1:15" ht="19.899999999999999" customHeight="1" x14ac:dyDescent="0.5">
      <c r="A38" s="155"/>
      <c r="B38" s="133"/>
      <c r="C38" s="128"/>
      <c r="D38" s="134"/>
      <c r="E38" s="157"/>
      <c r="F38" s="137"/>
      <c r="G38" s="62"/>
      <c r="H38" s="133"/>
      <c r="I38" s="133"/>
      <c r="J38" s="133"/>
      <c r="K38" s="133"/>
      <c r="L38" s="128"/>
      <c r="M38" s="137"/>
    </row>
    <row r="39" spans="1:15" ht="19.899999999999999" customHeight="1" thickBot="1" x14ac:dyDescent="0.35">
      <c r="A39" s="155"/>
      <c r="B39" s="133"/>
      <c r="C39" s="128"/>
      <c r="D39" s="167" t="s">
        <v>65</v>
      </c>
      <c r="E39" s="168">
        <f>SUM(E8:E38)</f>
        <v>173650</v>
      </c>
      <c r="F39" s="169"/>
      <c r="G39" s="133"/>
      <c r="H39" s="133"/>
      <c r="I39" s="133"/>
      <c r="J39" s="133"/>
      <c r="K39" s="133"/>
      <c r="L39" s="128"/>
      <c r="M39" s="137"/>
      <c r="O39" s="170">
        <f>E39</f>
        <v>173650</v>
      </c>
    </row>
    <row r="40" spans="1:15" ht="19.899999999999999" customHeight="1" thickTop="1" x14ac:dyDescent="0.3">
      <c r="A40" s="155"/>
      <c r="B40" s="171" t="s">
        <v>69</v>
      </c>
      <c r="C40" s="128"/>
      <c r="D40" s="172"/>
      <c r="E40" s="173"/>
      <c r="F40" s="169"/>
      <c r="G40" s="133"/>
      <c r="H40" s="133"/>
      <c r="I40" s="133"/>
      <c r="J40" s="133"/>
      <c r="K40" s="133"/>
      <c r="L40" s="128"/>
      <c r="M40" s="137"/>
    </row>
    <row r="41" spans="1:15" ht="19.899999999999999" customHeight="1" x14ac:dyDescent="0.5">
      <c r="A41" s="155">
        <v>1</v>
      </c>
      <c r="B41" s="133" t="s">
        <v>29</v>
      </c>
      <c r="C41" s="155" t="s">
        <v>18</v>
      </c>
      <c r="D41" s="161" t="s">
        <v>19</v>
      </c>
      <c r="E41" s="174">
        <v>800</v>
      </c>
      <c r="F41" s="224" t="s">
        <v>342</v>
      </c>
      <c r="G41" s="62" t="s">
        <v>114</v>
      </c>
      <c r="H41" s="133"/>
      <c r="I41" s="133"/>
      <c r="J41" s="133"/>
      <c r="K41" s="133"/>
      <c r="L41" s="128"/>
      <c r="M41" s="137"/>
    </row>
    <row r="42" spans="1:15" ht="19.899999999999999" customHeight="1" x14ac:dyDescent="0.5">
      <c r="A42" s="155">
        <v>2</v>
      </c>
      <c r="B42" s="133" t="s">
        <v>29</v>
      </c>
      <c r="C42" s="155" t="s">
        <v>20</v>
      </c>
      <c r="D42" s="161" t="s">
        <v>19</v>
      </c>
      <c r="E42" s="174">
        <v>800</v>
      </c>
      <c r="F42" s="224" t="s">
        <v>342</v>
      </c>
      <c r="G42" s="62" t="s">
        <v>114</v>
      </c>
      <c r="H42" s="133"/>
      <c r="I42" s="133"/>
      <c r="J42" s="133"/>
      <c r="K42" s="133"/>
      <c r="L42" s="128"/>
      <c r="M42" s="137"/>
    </row>
    <row r="43" spans="1:15" ht="19.899999999999999" customHeight="1" x14ac:dyDescent="0.5">
      <c r="A43" s="155">
        <v>3</v>
      </c>
      <c r="B43" s="133" t="s">
        <v>29</v>
      </c>
      <c r="C43" s="155" t="s">
        <v>21</v>
      </c>
      <c r="D43" s="161" t="s">
        <v>19</v>
      </c>
      <c r="E43" s="174">
        <v>800</v>
      </c>
      <c r="F43" s="224" t="s">
        <v>342</v>
      </c>
      <c r="G43" s="62" t="s">
        <v>114</v>
      </c>
      <c r="H43" s="133"/>
      <c r="I43" s="133"/>
      <c r="J43" s="133"/>
      <c r="K43" s="133"/>
      <c r="L43" s="128"/>
      <c r="M43" s="137"/>
    </row>
    <row r="44" spans="1:15" ht="19.899999999999999" customHeight="1" x14ac:dyDescent="0.5">
      <c r="A44" s="155">
        <v>4</v>
      </c>
      <c r="B44" s="133" t="s">
        <v>29</v>
      </c>
      <c r="C44" s="155" t="s">
        <v>22</v>
      </c>
      <c r="D44" s="161" t="s">
        <v>19</v>
      </c>
      <c r="E44" s="174">
        <v>800</v>
      </c>
      <c r="F44" s="224" t="s">
        <v>342</v>
      </c>
      <c r="G44" s="62" t="s">
        <v>114</v>
      </c>
      <c r="H44" s="133"/>
      <c r="I44" s="133"/>
      <c r="J44" s="133"/>
      <c r="K44" s="133"/>
      <c r="L44" s="128"/>
      <c r="M44" s="137"/>
    </row>
    <row r="45" spans="1:15" ht="19.899999999999999" customHeight="1" x14ac:dyDescent="0.5">
      <c r="A45" s="155">
        <v>5</v>
      </c>
      <c r="B45" s="133" t="s">
        <v>29</v>
      </c>
      <c r="C45" s="155" t="s">
        <v>23</v>
      </c>
      <c r="D45" s="161" t="s">
        <v>19</v>
      </c>
      <c r="E45" s="174">
        <v>800</v>
      </c>
      <c r="F45" s="224" t="s">
        <v>342</v>
      </c>
      <c r="G45" s="62" t="s">
        <v>114</v>
      </c>
      <c r="H45" s="133"/>
      <c r="I45" s="133"/>
      <c r="J45" s="133"/>
      <c r="K45" s="133"/>
      <c r="L45" s="128"/>
      <c r="M45" s="137"/>
    </row>
    <row r="46" spans="1:15" ht="19.899999999999999" customHeight="1" x14ac:dyDescent="0.5">
      <c r="A46" s="155">
        <v>6</v>
      </c>
      <c r="B46" s="133" t="s">
        <v>29</v>
      </c>
      <c r="C46" s="155" t="s">
        <v>24</v>
      </c>
      <c r="D46" s="161" t="s">
        <v>19</v>
      </c>
      <c r="E46" s="174">
        <v>800</v>
      </c>
      <c r="F46" s="224" t="s">
        <v>342</v>
      </c>
      <c r="G46" s="62" t="s">
        <v>114</v>
      </c>
      <c r="H46" s="133"/>
      <c r="I46" s="133"/>
      <c r="J46" s="133"/>
      <c r="K46" s="133"/>
      <c r="L46" s="128"/>
      <c r="M46" s="137"/>
    </row>
    <row r="47" spans="1:15" ht="19.899999999999999" customHeight="1" x14ac:dyDescent="0.5">
      <c r="A47" s="155">
        <v>7</v>
      </c>
      <c r="B47" s="133" t="s">
        <v>29</v>
      </c>
      <c r="C47" s="155" t="s">
        <v>25</v>
      </c>
      <c r="D47" s="161" t="s">
        <v>19</v>
      </c>
      <c r="E47" s="174">
        <v>800</v>
      </c>
      <c r="F47" s="224" t="s">
        <v>342</v>
      </c>
      <c r="G47" s="62" t="s">
        <v>114</v>
      </c>
      <c r="H47" s="133"/>
      <c r="I47" s="133"/>
      <c r="J47" s="133"/>
      <c r="K47" s="133"/>
      <c r="L47" s="128"/>
      <c r="M47" s="137"/>
    </row>
    <row r="48" spans="1:15" ht="19.899999999999999" customHeight="1" x14ac:dyDescent="0.5">
      <c r="A48" s="155">
        <v>8</v>
      </c>
      <c r="B48" s="133" t="s">
        <v>29</v>
      </c>
      <c r="C48" s="155" t="s">
        <v>26</v>
      </c>
      <c r="D48" s="161" t="s">
        <v>19</v>
      </c>
      <c r="E48" s="174">
        <v>800</v>
      </c>
      <c r="F48" s="224" t="s">
        <v>342</v>
      </c>
      <c r="G48" s="62" t="s">
        <v>114</v>
      </c>
      <c r="H48" s="133"/>
      <c r="I48" s="133"/>
      <c r="J48" s="133"/>
      <c r="K48" s="133"/>
      <c r="L48" s="128"/>
      <c r="M48" s="137"/>
    </row>
    <row r="49" spans="1:13" ht="19.899999999999999" customHeight="1" x14ac:dyDescent="0.5">
      <c r="A49" s="175">
        <v>9</v>
      </c>
      <c r="B49" s="176" t="s">
        <v>29</v>
      </c>
      <c r="C49" s="175" t="s">
        <v>27</v>
      </c>
      <c r="D49" s="177" t="s">
        <v>19</v>
      </c>
      <c r="E49" s="178">
        <v>800</v>
      </c>
      <c r="F49" s="224" t="s">
        <v>342</v>
      </c>
      <c r="G49" s="64" t="s">
        <v>114</v>
      </c>
      <c r="H49" s="176"/>
      <c r="I49" s="176"/>
      <c r="J49" s="176"/>
      <c r="K49" s="176"/>
      <c r="L49" s="179"/>
      <c r="M49" s="180"/>
    </row>
    <row r="50" spans="1:13" ht="19.899999999999999" customHeight="1" x14ac:dyDescent="0.5">
      <c r="A50" s="155">
        <v>10</v>
      </c>
      <c r="B50" s="133" t="s">
        <v>29</v>
      </c>
      <c r="C50" s="155" t="s">
        <v>28</v>
      </c>
      <c r="D50" s="161" t="s">
        <v>19</v>
      </c>
      <c r="E50" s="174">
        <v>800</v>
      </c>
      <c r="F50" s="224" t="s">
        <v>342</v>
      </c>
      <c r="G50" s="62" t="s">
        <v>114</v>
      </c>
      <c r="H50" s="133"/>
      <c r="I50" s="133"/>
      <c r="J50" s="133"/>
      <c r="K50" s="133"/>
      <c r="L50" s="128"/>
      <c r="M50" s="137"/>
    </row>
    <row r="51" spans="1:13" ht="19.899999999999999" customHeight="1" x14ac:dyDescent="0.5">
      <c r="A51" s="155">
        <v>11</v>
      </c>
      <c r="B51" s="133" t="s">
        <v>30</v>
      </c>
      <c r="C51" s="128" t="s">
        <v>31</v>
      </c>
      <c r="D51" s="134" t="s">
        <v>70</v>
      </c>
      <c r="E51" s="173">
        <v>750</v>
      </c>
      <c r="F51" s="224" t="s">
        <v>342</v>
      </c>
      <c r="G51" s="62" t="s">
        <v>114</v>
      </c>
      <c r="H51" s="133"/>
      <c r="I51" s="133"/>
      <c r="J51" s="133"/>
      <c r="K51" s="133"/>
      <c r="L51" s="128"/>
      <c r="M51" s="137"/>
    </row>
    <row r="52" spans="1:13" ht="19.899999999999999" customHeight="1" x14ac:dyDescent="0.3">
      <c r="A52" s="155"/>
      <c r="B52" s="133" t="s">
        <v>68</v>
      </c>
      <c r="C52" s="128"/>
      <c r="D52" s="134"/>
      <c r="E52" s="173"/>
      <c r="F52" s="169"/>
      <c r="G52" s="133"/>
      <c r="H52" s="133"/>
      <c r="I52" s="133"/>
      <c r="J52" s="133"/>
      <c r="K52" s="133"/>
      <c r="L52" s="128"/>
      <c r="M52" s="137"/>
    </row>
    <row r="53" spans="1:13" ht="19.899999999999999" customHeight="1" x14ac:dyDescent="0.5">
      <c r="A53" s="155">
        <v>12</v>
      </c>
      <c r="B53" s="133" t="s">
        <v>32</v>
      </c>
      <c r="C53" s="128" t="s">
        <v>33</v>
      </c>
      <c r="D53" s="134" t="s">
        <v>70</v>
      </c>
      <c r="E53" s="173">
        <v>750</v>
      </c>
      <c r="F53" s="224" t="s">
        <v>342</v>
      </c>
      <c r="G53" s="62" t="s">
        <v>114</v>
      </c>
      <c r="H53" s="133"/>
      <c r="I53" s="133"/>
      <c r="J53" s="133"/>
      <c r="K53" s="133"/>
      <c r="L53" s="128"/>
      <c r="M53" s="137"/>
    </row>
    <row r="54" spans="1:13" ht="19.899999999999999" customHeight="1" x14ac:dyDescent="0.5">
      <c r="A54" s="155">
        <v>13</v>
      </c>
      <c r="B54" s="133" t="s">
        <v>32</v>
      </c>
      <c r="C54" s="128" t="s">
        <v>34</v>
      </c>
      <c r="D54" s="134" t="s">
        <v>70</v>
      </c>
      <c r="E54" s="173">
        <v>750</v>
      </c>
      <c r="F54" s="224" t="s">
        <v>342</v>
      </c>
      <c r="G54" s="62" t="s">
        <v>114</v>
      </c>
      <c r="H54" s="133"/>
      <c r="I54" s="133"/>
      <c r="J54" s="133"/>
      <c r="K54" s="133"/>
      <c r="L54" s="128"/>
      <c r="M54" s="137"/>
    </row>
    <row r="55" spans="1:13" ht="19.899999999999999" customHeight="1" x14ac:dyDescent="0.5">
      <c r="A55" s="155">
        <v>14</v>
      </c>
      <c r="B55" s="133" t="s">
        <v>32</v>
      </c>
      <c r="C55" s="128" t="s">
        <v>35</v>
      </c>
      <c r="D55" s="134" t="s">
        <v>70</v>
      </c>
      <c r="E55" s="173">
        <v>750</v>
      </c>
      <c r="F55" s="224" t="s">
        <v>342</v>
      </c>
      <c r="G55" s="62" t="s">
        <v>114</v>
      </c>
      <c r="H55" s="133"/>
      <c r="I55" s="133"/>
      <c r="J55" s="133"/>
      <c r="K55" s="133"/>
      <c r="L55" s="128"/>
      <c r="M55" s="137"/>
    </row>
    <row r="56" spans="1:13" ht="19.899999999999999" customHeight="1" x14ac:dyDescent="0.5">
      <c r="A56" s="155">
        <v>15</v>
      </c>
      <c r="B56" s="133" t="s">
        <v>32</v>
      </c>
      <c r="C56" s="128" t="s">
        <v>36</v>
      </c>
      <c r="D56" s="134" t="s">
        <v>70</v>
      </c>
      <c r="E56" s="173">
        <v>750</v>
      </c>
      <c r="F56" s="224" t="s">
        <v>342</v>
      </c>
      <c r="G56" s="62" t="s">
        <v>114</v>
      </c>
      <c r="H56" s="133"/>
      <c r="I56" s="133"/>
      <c r="J56" s="133"/>
      <c r="K56" s="133"/>
      <c r="L56" s="128"/>
      <c r="M56" s="137"/>
    </row>
    <row r="57" spans="1:13" ht="19.899999999999999" customHeight="1" x14ac:dyDescent="0.5">
      <c r="A57" s="155">
        <v>16</v>
      </c>
      <c r="B57" s="133" t="s">
        <v>32</v>
      </c>
      <c r="C57" s="128" t="s">
        <v>37</v>
      </c>
      <c r="D57" s="134" t="s">
        <v>70</v>
      </c>
      <c r="E57" s="173">
        <v>750</v>
      </c>
      <c r="F57" s="224" t="s">
        <v>342</v>
      </c>
      <c r="G57" s="62" t="s">
        <v>114</v>
      </c>
      <c r="H57" s="133"/>
      <c r="I57" s="133"/>
      <c r="J57" s="133"/>
      <c r="K57" s="133"/>
      <c r="L57" s="128"/>
      <c r="M57" s="137"/>
    </row>
    <row r="58" spans="1:13" ht="19.899999999999999" customHeight="1" x14ac:dyDescent="0.5">
      <c r="A58" s="155">
        <v>17</v>
      </c>
      <c r="B58" s="133" t="s">
        <v>32</v>
      </c>
      <c r="C58" s="128" t="s">
        <v>38</v>
      </c>
      <c r="D58" s="134" t="s">
        <v>70</v>
      </c>
      <c r="E58" s="173">
        <v>750</v>
      </c>
      <c r="F58" s="224" t="s">
        <v>342</v>
      </c>
      <c r="G58" s="62" t="s">
        <v>114</v>
      </c>
      <c r="H58" s="133"/>
      <c r="I58" s="133"/>
      <c r="J58" s="133"/>
      <c r="K58" s="133"/>
      <c r="L58" s="128"/>
      <c r="M58" s="137"/>
    </row>
    <row r="59" spans="1:13" ht="19.899999999999999" customHeight="1" x14ac:dyDescent="0.5">
      <c r="A59" s="155">
        <v>18</v>
      </c>
      <c r="B59" s="133" t="s">
        <v>159</v>
      </c>
      <c r="C59" s="128" t="s">
        <v>160</v>
      </c>
      <c r="D59" s="134" t="s">
        <v>153</v>
      </c>
      <c r="E59" s="173">
        <v>5000</v>
      </c>
      <c r="F59" s="224" t="s">
        <v>346</v>
      </c>
      <c r="G59" s="62" t="s">
        <v>114</v>
      </c>
      <c r="H59" s="133"/>
      <c r="I59" s="133"/>
      <c r="J59" s="133"/>
      <c r="K59" s="133"/>
      <c r="L59" s="128"/>
      <c r="M59" s="137"/>
    </row>
    <row r="60" spans="1:13" ht="19.899999999999999" customHeight="1" x14ac:dyDescent="0.5">
      <c r="A60" s="155">
        <v>19</v>
      </c>
      <c r="B60" s="133" t="s">
        <v>219</v>
      </c>
      <c r="C60" s="128" t="s">
        <v>170</v>
      </c>
      <c r="D60" s="134" t="s">
        <v>171</v>
      </c>
      <c r="E60" s="173">
        <v>690</v>
      </c>
      <c r="F60" s="224" t="s">
        <v>342</v>
      </c>
      <c r="G60" s="62" t="s">
        <v>114</v>
      </c>
      <c r="H60" s="133"/>
      <c r="I60" s="133"/>
      <c r="J60" s="133"/>
      <c r="K60" s="133"/>
      <c r="L60" s="128"/>
      <c r="M60" s="137"/>
    </row>
    <row r="61" spans="1:13" ht="19.899999999999999" customHeight="1" x14ac:dyDescent="0.5">
      <c r="A61" s="155">
        <v>20</v>
      </c>
      <c r="B61" s="133" t="s">
        <v>169</v>
      </c>
      <c r="C61" s="128" t="s">
        <v>172</v>
      </c>
      <c r="D61" s="134" t="s">
        <v>171</v>
      </c>
      <c r="E61" s="173">
        <v>690</v>
      </c>
      <c r="F61" s="224" t="s">
        <v>342</v>
      </c>
      <c r="G61" s="62" t="s">
        <v>114</v>
      </c>
      <c r="H61" s="133"/>
      <c r="I61" s="133"/>
      <c r="J61" s="133"/>
      <c r="K61" s="133"/>
      <c r="L61" s="128"/>
      <c r="M61" s="137"/>
    </row>
    <row r="62" spans="1:13" ht="19.899999999999999" customHeight="1" x14ac:dyDescent="0.5">
      <c r="A62" s="155">
        <v>21</v>
      </c>
      <c r="B62" s="133" t="s">
        <v>169</v>
      </c>
      <c r="C62" s="128" t="s">
        <v>173</v>
      </c>
      <c r="D62" s="134" t="s">
        <v>171</v>
      </c>
      <c r="E62" s="173">
        <v>690</v>
      </c>
      <c r="F62" s="224" t="s">
        <v>342</v>
      </c>
      <c r="G62" s="62" t="s">
        <v>114</v>
      </c>
      <c r="H62" s="133"/>
      <c r="I62" s="133"/>
      <c r="J62" s="133"/>
      <c r="K62" s="133"/>
      <c r="L62" s="128"/>
      <c r="M62" s="137"/>
    </row>
    <row r="63" spans="1:13" ht="19.899999999999999" customHeight="1" x14ac:dyDescent="0.5">
      <c r="A63" s="155">
        <v>22</v>
      </c>
      <c r="B63" s="133" t="s">
        <v>169</v>
      </c>
      <c r="C63" s="128" t="s">
        <v>174</v>
      </c>
      <c r="D63" s="134" t="s">
        <v>171</v>
      </c>
      <c r="E63" s="173">
        <v>690</v>
      </c>
      <c r="F63" s="224" t="s">
        <v>342</v>
      </c>
      <c r="G63" s="62" t="s">
        <v>114</v>
      </c>
      <c r="H63" s="133"/>
      <c r="I63" s="133"/>
      <c r="J63" s="133"/>
      <c r="K63" s="133"/>
      <c r="L63" s="128"/>
      <c r="M63" s="137"/>
    </row>
    <row r="64" spans="1:13" ht="19.899999999999999" customHeight="1" x14ac:dyDescent="0.5">
      <c r="A64" s="155">
        <v>23</v>
      </c>
      <c r="B64" s="133" t="s">
        <v>169</v>
      </c>
      <c r="C64" s="128" t="s">
        <v>175</v>
      </c>
      <c r="D64" s="134" t="s">
        <v>171</v>
      </c>
      <c r="E64" s="173">
        <v>690</v>
      </c>
      <c r="F64" s="224" t="s">
        <v>342</v>
      </c>
      <c r="G64" s="62" t="s">
        <v>114</v>
      </c>
      <c r="H64" s="133"/>
      <c r="I64" s="133"/>
      <c r="J64" s="133"/>
      <c r="K64" s="133"/>
      <c r="L64" s="128"/>
      <c r="M64" s="137"/>
    </row>
    <row r="65" spans="1:13" ht="19.899999999999999" customHeight="1" x14ac:dyDescent="0.5">
      <c r="A65" s="155">
        <v>24</v>
      </c>
      <c r="B65" s="133" t="s">
        <v>169</v>
      </c>
      <c r="C65" s="128" t="s">
        <v>176</v>
      </c>
      <c r="D65" s="134" t="s">
        <v>171</v>
      </c>
      <c r="E65" s="173">
        <v>690</v>
      </c>
      <c r="F65" s="224" t="s">
        <v>342</v>
      </c>
      <c r="G65" s="62" t="s">
        <v>114</v>
      </c>
      <c r="H65" s="133"/>
      <c r="I65" s="133"/>
      <c r="J65" s="133"/>
      <c r="K65" s="133"/>
      <c r="L65" s="128"/>
      <c r="M65" s="137"/>
    </row>
    <row r="66" spans="1:13" ht="19.899999999999999" customHeight="1" x14ac:dyDescent="0.5">
      <c r="A66" s="155">
        <v>25</v>
      </c>
      <c r="B66" s="133" t="s">
        <v>169</v>
      </c>
      <c r="C66" s="128" t="s">
        <v>177</v>
      </c>
      <c r="D66" s="134" t="s">
        <v>171</v>
      </c>
      <c r="E66" s="173">
        <v>690</v>
      </c>
      <c r="F66" s="224" t="s">
        <v>342</v>
      </c>
      <c r="G66" s="62" t="s">
        <v>114</v>
      </c>
      <c r="H66" s="133"/>
      <c r="I66" s="133"/>
      <c r="J66" s="133"/>
      <c r="K66" s="133"/>
      <c r="L66" s="128"/>
      <c r="M66" s="137"/>
    </row>
    <row r="67" spans="1:13" ht="19.899999999999999" customHeight="1" x14ac:dyDescent="0.5">
      <c r="A67" s="155">
        <v>26</v>
      </c>
      <c r="B67" s="133" t="s">
        <v>169</v>
      </c>
      <c r="C67" s="128" t="s">
        <v>178</v>
      </c>
      <c r="D67" s="134" t="s">
        <v>171</v>
      </c>
      <c r="E67" s="173">
        <v>690</v>
      </c>
      <c r="F67" s="224" t="s">
        <v>342</v>
      </c>
      <c r="G67" s="62" t="s">
        <v>114</v>
      </c>
      <c r="H67" s="133"/>
      <c r="I67" s="133"/>
      <c r="J67" s="133"/>
      <c r="K67" s="133"/>
      <c r="L67" s="128"/>
      <c r="M67" s="137"/>
    </row>
    <row r="68" spans="1:13" ht="19.899999999999999" customHeight="1" x14ac:dyDescent="0.5">
      <c r="A68" s="155">
        <v>27</v>
      </c>
      <c r="B68" s="133" t="s">
        <v>169</v>
      </c>
      <c r="C68" s="128" t="s">
        <v>179</v>
      </c>
      <c r="D68" s="134" t="s">
        <v>171</v>
      </c>
      <c r="E68" s="173">
        <v>690</v>
      </c>
      <c r="F68" s="224" t="s">
        <v>342</v>
      </c>
      <c r="G68" s="62" t="s">
        <v>114</v>
      </c>
      <c r="H68" s="133"/>
      <c r="I68" s="133"/>
      <c r="J68" s="133"/>
      <c r="K68" s="133"/>
      <c r="L68" s="128"/>
      <c r="M68" s="137"/>
    </row>
    <row r="69" spans="1:13" ht="19.899999999999999" customHeight="1" x14ac:dyDescent="0.5">
      <c r="A69" s="155">
        <v>28</v>
      </c>
      <c r="B69" s="133" t="s">
        <v>169</v>
      </c>
      <c r="C69" s="128" t="s">
        <v>180</v>
      </c>
      <c r="D69" s="134" t="s">
        <v>171</v>
      </c>
      <c r="E69" s="173">
        <v>690</v>
      </c>
      <c r="F69" s="224" t="s">
        <v>342</v>
      </c>
      <c r="G69" s="62" t="s">
        <v>114</v>
      </c>
      <c r="H69" s="133"/>
      <c r="I69" s="133"/>
      <c r="J69" s="133"/>
      <c r="K69" s="133"/>
      <c r="L69" s="128"/>
      <c r="M69" s="137"/>
    </row>
    <row r="70" spans="1:13" ht="19.899999999999999" customHeight="1" x14ac:dyDescent="0.5">
      <c r="A70" s="155">
        <v>29</v>
      </c>
      <c r="B70" s="122" t="s">
        <v>261</v>
      </c>
      <c r="C70" s="128" t="s">
        <v>262</v>
      </c>
      <c r="D70" s="124" t="s">
        <v>222</v>
      </c>
      <c r="E70" s="130">
        <v>2500</v>
      </c>
      <c r="F70" s="129" t="s">
        <v>55</v>
      </c>
      <c r="G70" s="62" t="s">
        <v>114</v>
      </c>
      <c r="H70" s="126"/>
      <c r="I70" s="133"/>
      <c r="J70" s="133"/>
      <c r="K70" s="133"/>
      <c r="L70" s="128"/>
      <c r="M70" s="137"/>
    </row>
    <row r="71" spans="1:13" ht="19.899999999999999" customHeight="1" x14ac:dyDescent="0.5">
      <c r="A71" s="155">
        <v>30</v>
      </c>
      <c r="B71" s="122" t="s">
        <v>261</v>
      </c>
      <c r="C71" s="128" t="s">
        <v>263</v>
      </c>
      <c r="D71" s="124" t="s">
        <v>222</v>
      </c>
      <c r="E71" s="130">
        <v>2500</v>
      </c>
      <c r="F71" s="129" t="s">
        <v>249</v>
      </c>
      <c r="G71" s="62" t="s">
        <v>114</v>
      </c>
      <c r="H71" s="126"/>
      <c r="I71" s="133"/>
      <c r="J71" s="133"/>
      <c r="K71" s="133"/>
      <c r="L71" s="128"/>
      <c r="M71" s="137"/>
    </row>
    <row r="72" spans="1:13" ht="19.899999999999999" customHeight="1" x14ac:dyDescent="0.5">
      <c r="A72" s="155">
        <v>31</v>
      </c>
      <c r="B72" s="122" t="s">
        <v>261</v>
      </c>
      <c r="C72" s="128" t="s">
        <v>264</v>
      </c>
      <c r="D72" s="124" t="s">
        <v>222</v>
      </c>
      <c r="E72" s="130">
        <v>2500</v>
      </c>
      <c r="F72" s="129" t="s">
        <v>75</v>
      </c>
      <c r="G72" s="62" t="s">
        <v>114</v>
      </c>
      <c r="H72" s="126"/>
      <c r="I72" s="133"/>
      <c r="J72" s="133"/>
      <c r="K72" s="133"/>
      <c r="L72" s="128"/>
      <c r="M72" s="137"/>
    </row>
    <row r="73" spans="1:13" ht="19.899999999999999" customHeight="1" x14ac:dyDescent="0.5">
      <c r="A73" s="155">
        <v>32</v>
      </c>
      <c r="B73" s="122" t="s">
        <v>261</v>
      </c>
      <c r="C73" s="128" t="s">
        <v>265</v>
      </c>
      <c r="D73" s="124" t="s">
        <v>222</v>
      </c>
      <c r="E73" s="130">
        <v>2500</v>
      </c>
      <c r="F73" s="129" t="s">
        <v>266</v>
      </c>
      <c r="G73" s="62" t="s">
        <v>114</v>
      </c>
      <c r="H73" s="126"/>
      <c r="I73" s="133"/>
      <c r="J73" s="133"/>
      <c r="K73" s="133"/>
      <c r="L73" s="128"/>
      <c r="M73" s="137"/>
    </row>
    <row r="74" spans="1:13" ht="19.899999999999999" customHeight="1" x14ac:dyDescent="0.5">
      <c r="A74" s="155">
        <v>33</v>
      </c>
      <c r="B74" s="122" t="s">
        <v>261</v>
      </c>
      <c r="C74" s="128" t="s">
        <v>267</v>
      </c>
      <c r="D74" s="124" t="s">
        <v>222</v>
      </c>
      <c r="E74" s="130">
        <v>2500</v>
      </c>
      <c r="F74" s="129" t="s">
        <v>268</v>
      </c>
      <c r="G74" s="62" t="s">
        <v>114</v>
      </c>
      <c r="H74" s="126"/>
      <c r="I74" s="133"/>
      <c r="J74" s="133"/>
      <c r="K74" s="133"/>
      <c r="L74" s="128"/>
      <c r="M74" s="137"/>
    </row>
    <row r="75" spans="1:13" ht="19.899999999999999" customHeight="1" x14ac:dyDescent="0.5">
      <c r="A75" s="155">
        <v>34</v>
      </c>
      <c r="B75" s="122" t="s">
        <v>269</v>
      </c>
      <c r="C75" s="128" t="s">
        <v>270</v>
      </c>
      <c r="D75" s="124" t="s">
        <v>222</v>
      </c>
      <c r="E75" s="130">
        <v>2200</v>
      </c>
      <c r="F75" s="129" t="s">
        <v>271</v>
      </c>
      <c r="G75" s="62" t="s">
        <v>114</v>
      </c>
      <c r="H75" s="126"/>
      <c r="I75" s="133"/>
      <c r="J75" s="133"/>
      <c r="K75" s="133"/>
      <c r="L75" s="128"/>
      <c r="M75" s="137"/>
    </row>
    <row r="76" spans="1:13" ht="19.899999999999999" customHeight="1" x14ac:dyDescent="0.5">
      <c r="A76" s="155">
        <v>35</v>
      </c>
      <c r="B76" s="122" t="s">
        <v>269</v>
      </c>
      <c r="C76" s="128" t="s">
        <v>272</v>
      </c>
      <c r="D76" s="124" t="s">
        <v>222</v>
      </c>
      <c r="E76" s="130">
        <v>2200</v>
      </c>
      <c r="F76" s="129" t="s">
        <v>271</v>
      </c>
      <c r="G76" s="62" t="s">
        <v>114</v>
      </c>
      <c r="H76" s="126"/>
      <c r="I76" s="133"/>
      <c r="J76" s="133"/>
      <c r="K76" s="133"/>
      <c r="L76" s="128"/>
      <c r="M76" s="137"/>
    </row>
    <row r="77" spans="1:13" ht="19.899999999999999" customHeight="1" x14ac:dyDescent="0.5">
      <c r="A77" s="155">
        <v>36</v>
      </c>
      <c r="B77" s="122" t="s">
        <v>269</v>
      </c>
      <c r="C77" s="128" t="s">
        <v>273</v>
      </c>
      <c r="D77" s="124" t="s">
        <v>222</v>
      </c>
      <c r="E77" s="130">
        <v>2200</v>
      </c>
      <c r="F77" s="129" t="s">
        <v>271</v>
      </c>
      <c r="G77" s="62" t="s">
        <v>114</v>
      </c>
      <c r="H77" s="126"/>
      <c r="I77" s="133"/>
      <c r="J77" s="133"/>
      <c r="K77" s="133"/>
      <c r="L77" s="128"/>
      <c r="M77" s="137"/>
    </row>
    <row r="78" spans="1:13" ht="19.899999999999999" customHeight="1" x14ac:dyDescent="0.5">
      <c r="A78" s="155">
        <v>37</v>
      </c>
      <c r="B78" s="122" t="s">
        <v>269</v>
      </c>
      <c r="C78" s="128" t="s">
        <v>274</v>
      </c>
      <c r="D78" s="124" t="s">
        <v>222</v>
      </c>
      <c r="E78" s="130">
        <v>2200</v>
      </c>
      <c r="F78" s="129" t="s">
        <v>271</v>
      </c>
      <c r="G78" s="64" t="s">
        <v>114</v>
      </c>
      <c r="H78" s="126"/>
      <c r="I78" s="133"/>
      <c r="J78" s="133"/>
      <c r="K78" s="133"/>
      <c r="L78" s="128"/>
      <c r="M78" s="137"/>
    </row>
    <row r="79" spans="1:13" ht="19.899999999999999" customHeight="1" x14ac:dyDescent="0.5">
      <c r="A79" s="155">
        <v>38</v>
      </c>
      <c r="B79" s="122" t="s">
        <v>269</v>
      </c>
      <c r="C79" s="128" t="s">
        <v>275</v>
      </c>
      <c r="D79" s="124" t="s">
        <v>222</v>
      </c>
      <c r="E79" s="130">
        <v>2200</v>
      </c>
      <c r="F79" s="129" t="s">
        <v>248</v>
      </c>
      <c r="G79" s="62" t="s">
        <v>114</v>
      </c>
      <c r="H79" s="126"/>
      <c r="I79" s="133"/>
      <c r="J79" s="133"/>
      <c r="K79" s="133"/>
      <c r="L79" s="128"/>
      <c r="M79" s="137"/>
    </row>
    <row r="80" spans="1:13" ht="19.899999999999999" customHeight="1" x14ac:dyDescent="0.5">
      <c r="A80" s="155">
        <v>39</v>
      </c>
      <c r="B80" s="122" t="s">
        <v>269</v>
      </c>
      <c r="C80" s="128" t="s">
        <v>276</v>
      </c>
      <c r="D80" s="124" t="s">
        <v>222</v>
      </c>
      <c r="E80" s="130">
        <v>2200</v>
      </c>
      <c r="F80" s="129" t="s">
        <v>271</v>
      </c>
      <c r="G80" s="62" t="s">
        <v>114</v>
      </c>
      <c r="H80" s="126"/>
      <c r="I80" s="133"/>
      <c r="J80" s="133"/>
      <c r="K80" s="133"/>
      <c r="L80" s="128"/>
      <c r="M80" s="137"/>
    </row>
    <row r="81" spans="1:13" ht="19.899999999999999" customHeight="1" x14ac:dyDescent="0.5">
      <c r="A81" s="155">
        <v>40</v>
      </c>
      <c r="B81" s="122" t="s">
        <v>269</v>
      </c>
      <c r="C81" s="128" t="s">
        <v>277</v>
      </c>
      <c r="D81" s="124" t="s">
        <v>222</v>
      </c>
      <c r="E81" s="130">
        <v>2200</v>
      </c>
      <c r="F81" s="129" t="s">
        <v>197</v>
      </c>
      <c r="G81" s="62" t="s">
        <v>114</v>
      </c>
      <c r="H81" s="126"/>
      <c r="I81" s="133"/>
      <c r="J81" s="133"/>
      <c r="K81" s="133"/>
      <c r="L81" s="128"/>
      <c r="M81" s="137"/>
    </row>
    <row r="82" spans="1:13" ht="19.899999999999999" customHeight="1" x14ac:dyDescent="0.5">
      <c r="A82" s="155">
        <v>41</v>
      </c>
      <c r="B82" s="122" t="s">
        <v>269</v>
      </c>
      <c r="C82" s="128" t="s">
        <v>278</v>
      </c>
      <c r="D82" s="124" t="s">
        <v>222</v>
      </c>
      <c r="E82" s="130">
        <v>2200</v>
      </c>
      <c r="F82" s="129" t="s">
        <v>13</v>
      </c>
      <c r="G82" s="62" t="s">
        <v>114</v>
      </c>
      <c r="H82" s="126"/>
      <c r="I82" s="133"/>
      <c r="J82" s="133"/>
      <c r="K82" s="133"/>
      <c r="L82" s="128"/>
      <c r="M82" s="137"/>
    </row>
    <row r="83" spans="1:13" ht="19.899999999999999" customHeight="1" x14ac:dyDescent="0.5">
      <c r="A83" s="155">
        <v>42</v>
      </c>
      <c r="B83" s="122" t="s">
        <v>269</v>
      </c>
      <c r="C83" s="128" t="s">
        <v>279</v>
      </c>
      <c r="D83" s="124" t="s">
        <v>222</v>
      </c>
      <c r="E83" s="130">
        <v>2200</v>
      </c>
      <c r="F83" s="129" t="s">
        <v>55</v>
      </c>
      <c r="G83" s="62" t="s">
        <v>114</v>
      </c>
      <c r="H83" s="126"/>
      <c r="I83" s="133"/>
      <c r="J83" s="133"/>
      <c r="K83" s="133"/>
      <c r="L83" s="128"/>
      <c r="M83" s="137"/>
    </row>
    <row r="84" spans="1:13" ht="19.899999999999999" customHeight="1" x14ac:dyDescent="0.5">
      <c r="A84" s="155">
        <v>43</v>
      </c>
      <c r="B84" s="122" t="s">
        <v>269</v>
      </c>
      <c r="C84" s="128" t="s">
        <v>280</v>
      </c>
      <c r="D84" s="124" t="s">
        <v>222</v>
      </c>
      <c r="E84" s="130">
        <v>2200</v>
      </c>
      <c r="F84" s="181" t="s">
        <v>247</v>
      </c>
      <c r="G84" s="62" t="s">
        <v>114</v>
      </c>
      <c r="H84" s="126"/>
      <c r="I84" s="133"/>
      <c r="J84" s="133"/>
      <c r="K84" s="133"/>
      <c r="L84" s="128"/>
      <c r="M84" s="137"/>
    </row>
    <row r="85" spans="1:13" ht="19.899999999999999" customHeight="1" x14ac:dyDescent="0.5">
      <c r="A85" s="155">
        <v>44</v>
      </c>
      <c r="B85" s="122" t="s">
        <v>269</v>
      </c>
      <c r="C85" s="128" t="s">
        <v>281</v>
      </c>
      <c r="D85" s="124" t="s">
        <v>222</v>
      </c>
      <c r="E85" s="130">
        <v>2200</v>
      </c>
      <c r="F85" s="224" t="s">
        <v>342</v>
      </c>
      <c r="G85" s="62" t="s">
        <v>114</v>
      </c>
      <c r="H85" s="126"/>
      <c r="I85" s="133"/>
      <c r="J85" s="133"/>
      <c r="K85" s="133"/>
      <c r="L85" s="128"/>
      <c r="M85" s="137"/>
    </row>
    <row r="86" spans="1:13" ht="19.899999999999999" customHeight="1" x14ac:dyDescent="0.5">
      <c r="A86" s="155">
        <v>45</v>
      </c>
      <c r="B86" s="122" t="s">
        <v>269</v>
      </c>
      <c r="C86" s="128" t="s">
        <v>282</v>
      </c>
      <c r="D86" s="124" t="s">
        <v>222</v>
      </c>
      <c r="E86" s="130">
        <v>2200</v>
      </c>
      <c r="F86" s="224" t="s">
        <v>342</v>
      </c>
      <c r="G86" s="62" t="s">
        <v>114</v>
      </c>
      <c r="H86" s="126"/>
      <c r="I86" s="133"/>
      <c r="J86" s="133"/>
      <c r="K86" s="133"/>
      <c r="L86" s="128"/>
      <c r="M86" s="137"/>
    </row>
    <row r="87" spans="1:13" ht="19.899999999999999" customHeight="1" x14ac:dyDescent="0.5">
      <c r="A87" s="155">
        <v>46</v>
      </c>
      <c r="B87" s="122" t="s">
        <v>269</v>
      </c>
      <c r="C87" s="128" t="s">
        <v>283</v>
      </c>
      <c r="D87" s="124" t="s">
        <v>222</v>
      </c>
      <c r="E87" s="130">
        <v>2200</v>
      </c>
      <c r="F87" s="129" t="s">
        <v>284</v>
      </c>
      <c r="G87" s="62" t="s">
        <v>114</v>
      </c>
      <c r="H87" s="126"/>
      <c r="I87" s="133"/>
      <c r="J87" s="133"/>
      <c r="K87" s="133"/>
      <c r="L87" s="128"/>
      <c r="M87" s="137"/>
    </row>
    <row r="88" spans="1:13" ht="19.899999999999999" customHeight="1" x14ac:dyDescent="0.5">
      <c r="A88" s="155">
        <v>47</v>
      </c>
      <c r="B88" s="122" t="s">
        <v>269</v>
      </c>
      <c r="C88" s="128" t="s">
        <v>285</v>
      </c>
      <c r="D88" s="124" t="s">
        <v>222</v>
      </c>
      <c r="E88" s="130">
        <v>2200</v>
      </c>
      <c r="F88" s="129" t="s">
        <v>286</v>
      </c>
      <c r="G88" s="62" t="s">
        <v>114</v>
      </c>
      <c r="H88" s="126"/>
      <c r="I88" s="133"/>
      <c r="J88" s="133"/>
      <c r="K88" s="133"/>
      <c r="L88" s="128"/>
      <c r="M88" s="137"/>
    </row>
    <row r="89" spans="1:13" ht="19.899999999999999" customHeight="1" x14ac:dyDescent="0.5">
      <c r="A89" s="155">
        <v>48</v>
      </c>
      <c r="B89" s="122" t="s">
        <v>269</v>
      </c>
      <c r="C89" s="128" t="s">
        <v>287</v>
      </c>
      <c r="D89" s="124" t="s">
        <v>222</v>
      </c>
      <c r="E89" s="130">
        <v>2200</v>
      </c>
      <c r="F89" s="129" t="s">
        <v>252</v>
      </c>
      <c r="G89" s="64" t="s">
        <v>114</v>
      </c>
      <c r="H89" s="126"/>
      <c r="I89" s="133"/>
      <c r="J89" s="133"/>
      <c r="K89" s="133"/>
      <c r="L89" s="128"/>
      <c r="M89" s="137"/>
    </row>
    <row r="90" spans="1:13" ht="19.899999999999999" customHeight="1" x14ac:dyDescent="0.5">
      <c r="A90" s="155">
        <v>49</v>
      </c>
      <c r="B90" s="122" t="s">
        <v>269</v>
      </c>
      <c r="C90" s="128" t="s">
        <v>288</v>
      </c>
      <c r="D90" s="124" t="s">
        <v>222</v>
      </c>
      <c r="E90" s="130">
        <v>2200</v>
      </c>
      <c r="F90" s="129" t="s">
        <v>332</v>
      </c>
      <c r="G90" s="62" t="s">
        <v>114</v>
      </c>
      <c r="H90" s="126"/>
      <c r="I90" s="133"/>
      <c r="J90" s="133"/>
      <c r="K90" s="133"/>
      <c r="L90" s="128"/>
      <c r="M90" s="137"/>
    </row>
    <row r="91" spans="1:13" ht="19.899999999999999" customHeight="1" x14ac:dyDescent="0.5">
      <c r="A91" s="155">
        <v>50</v>
      </c>
      <c r="B91" s="122" t="s">
        <v>269</v>
      </c>
      <c r="C91" s="128" t="s">
        <v>289</v>
      </c>
      <c r="D91" s="124" t="s">
        <v>222</v>
      </c>
      <c r="E91" s="130">
        <v>2200</v>
      </c>
      <c r="F91" s="214" t="s">
        <v>290</v>
      </c>
      <c r="G91" s="62" t="s">
        <v>114</v>
      </c>
      <c r="H91" s="126"/>
      <c r="I91" s="133"/>
      <c r="J91" s="133"/>
      <c r="K91" s="133"/>
      <c r="L91" s="128"/>
      <c r="M91" s="137"/>
    </row>
    <row r="92" spans="1:13" ht="19.899999999999999" customHeight="1" x14ac:dyDescent="0.5">
      <c r="A92" s="155">
        <v>51</v>
      </c>
      <c r="B92" s="122" t="s">
        <v>269</v>
      </c>
      <c r="C92" s="128" t="s">
        <v>291</v>
      </c>
      <c r="D92" s="124" t="s">
        <v>222</v>
      </c>
      <c r="E92" s="130">
        <v>2200</v>
      </c>
      <c r="F92" s="215" t="s">
        <v>292</v>
      </c>
      <c r="G92" s="62" t="s">
        <v>114</v>
      </c>
      <c r="H92" s="126"/>
      <c r="I92" s="133"/>
      <c r="J92" s="133"/>
      <c r="K92" s="133"/>
      <c r="L92" s="128"/>
      <c r="M92" s="137"/>
    </row>
    <row r="93" spans="1:13" ht="19.899999999999999" customHeight="1" x14ac:dyDescent="0.5">
      <c r="A93" s="155">
        <v>52</v>
      </c>
      <c r="B93" s="122" t="s">
        <v>269</v>
      </c>
      <c r="C93" s="128" t="s">
        <v>293</v>
      </c>
      <c r="D93" s="124" t="s">
        <v>222</v>
      </c>
      <c r="E93" s="130">
        <v>2200</v>
      </c>
      <c r="F93" s="214" t="s">
        <v>258</v>
      </c>
      <c r="G93" s="62" t="s">
        <v>114</v>
      </c>
      <c r="H93" s="126"/>
      <c r="I93" s="133"/>
      <c r="J93" s="133"/>
      <c r="K93" s="133"/>
      <c r="L93" s="128"/>
      <c r="M93" s="137"/>
    </row>
    <row r="94" spans="1:13" ht="19.899999999999999" customHeight="1" x14ac:dyDescent="0.5">
      <c r="A94" s="155">
        <v>53</v>
      </c>
      <c r="B94" s="122" t="s">
        <v>269</v>
      </c>
      <c r="C94" s="128" t="s">
        <v>294</v>
      </c>
      <c r="D94" s="124" t="s">
        <v>222</v>
      </c>
      <c r="E94" s="130">
        <v>2200</v>
      </c>
      <c r="F94" s="129" t="s">
        <v>295</v>
      </c>
      <c r="G94" s="62" t="s">
        <v>114</v>
      </c>
      <c r="H94" s="126"/>
      <c r="I94" s="133"/>
      <c r="J94" s="133"/>
      <c r="K94" s="133"/>
      <c r="L94" s="128"/>
      <c r="M94" s="137"/>
    </row>
    <row r="95" spans="1:13" ht="19.899999999999999" customHeight="1" x14ac:dyDescent="0.5">
      <c r="A95" s="155">
        <v>54</v>
      </c>
      <c r="B95" s="122" t="s">
        <v>269</v>
      </c>
      <c r="C95" s="128" t="s">
        <v>296</v>
      </c>
      <c r="D95" s="124" t="s">
        <v>222</v>
      </c>
      <c r="E95" s="130">
        <v>2200</v>
      </c>
      <c r="F95" s="129" t="s">
        <v>297</v>
      </c>
      <c r="G95" s="62" t="s">
        <v>114</v>
      </c>
      <c r="H95" s="126"/>
      <c r="I95" s="133"/>
      <c r="J95" s="133"/>
      <c r="K95" s="133"/>
      <c r="L95" s="128"/>
      <c r="M95" s="137"/>
    </row>
    <row r="96" spans="1:13" ht="19.899999999999999" customHeight="1" x14ac:dyDescent="0.5">
      <c r="A96" s="155">
        <v>55</v>
      </c>
      <c r="B96" s="122" t="s">
        <v>269</v>
      </c>
      <c r="C96" s="128" t="s">
        <v>298</v>
      </c>
      <c r="D96" s="124" t="s">
        <v>222</v>
      </c>
      <c r="E96" s="130">
        <v>2200</v>
      </c>
      <c r="F96" s="129" t="s">
        <v>297</v>
      </c>
      <c r="G96" s="62" t="s">
        <v>114</v>
      </c>
      <c r="H96" s="126"/>
      <c r="I96" s="133"/>
      <c r="J96" s="133"/>
      <c r="K96" s="133"/>
      <c r="L96" s="128"/>
      <c r="M96" s="137"/>
    </row>
    <row r="97" spans="1:15" ht="19.899999999999999" customHeight="1" x14ac:dyDescent="0.5">
      <c r="A97" s="155">
        <v>56</v>
      </c>
      <c r="B97" s="122" t="s">
        <v>269</v>
      </c>
      <c r="C97" s="128" t="s">
        <v>299</v>
      </c>
      <c r="D97" s="124" t="s">
        <v>222</v>
      </c>
      <c r="E97" s="130">
        <v>2200</v>
      </c>
      <c r="F97" s="129" t="s">
        <v>297</v>
      </c>
      <c r="G97" s="62" t="s">
        <v>114</v>
      </c>
      <c r="H97" s="126"/>
      <c r="I97" s="133"/>
      <c r="J97" s="133"/>
      <c r="K97" s="133"/>
      <c r="L97" s="128"/>
      <c r="M97" s="137"/>
    </row>
    <row r="98" spans="1:15" ht="19.899999999999999" customHeight="1" x14ac:dyDescent="0.5">
      <c r="A98" s="155">
        <v>57</v>
      </c>
      <c r="B98" s="122" t="s">
        <v>269</v>
      </c>
      <c r="C98" s="128" t="s">
        <v>300</v>
      </c>
      <c r="D98" s="124" t="s">
        <v>222</v>
      </c>
      <c r="E98" s="130">
        <v>2200</v>
      </c>
      <c r="F98" s="129" t="s">
        <v>297</v>
      </c>
      <c r="G98" s="62" t="s">
        <v>114</v>
      </c>
      <c r="H98" s="126"/>
      <c r="I98" s="133"/>
      <c r="J98" s="133"/>
      <c r="K98" s="133"/>
      <c r="L98" s="128"/>
      <c r="M98" s="137"/>
    </row>
    <row r="99" spans="1:15" ht="19.899999999999999" customHeight="1" x14ac:dyDescent="0.5">
      <c r="A99" s="155">
        <v>58</v>
      </c>
      <c r="B99" s="122" t="s">
        <v>269</v>
      </c>
      <c r="C99" s="128" t="s">
        <v>301</v>
      </c>
      <c r="D99" s="124" t="s">
        <v>222</v>
      </c>
      <c r="E99" s="130">
        <v>2200</v>
      </c>
      <c r="F99" s="129" t="s">
        <v>297</v>
      </c>
      <c r="G99" s="62" t="s">
        <v>114</v>
      </c>
      <c r="H99" s="126"/>
      <c r="I99" s="133"/>
      <c r="J99" s="133"/>
      <c r="K99" s="133"/>
      <c r="L99" s="128"/>
      <c r="M99" s="137"/>
    </row>
    <row r="100" spans="1:15" ht="19.899999999999999" customHeight="1" x14ac:dyDescent="0.5">
      <c r="A100" s="155">
        <v>59</v>
      </c>
      <c r="B100" s="122" t="s">
        <v>269</v>
      </c>
      <c r="C100" s="128" t="s">
        <v>302</v>
      </c>
      <c r="D100" s="124" t="s">
        <v>222</v>
      </c>
      <c r="E100" s="130">
        <v>2200</v>
      </c>
      <c r="F100" s="129" t="s">
        <v>297</v>
      </c>
      <c r="G100" s="64" t="s">
        <v>114</v>
      </c>
      <c r="H100" s="126"/>
      <c r="I100" s="133"/>
      <c r="J100" s="133"/>
      <c r="K100" s="133"/>
      <c r="L100" s="128"/>
      <c r="M100" s="137"/>
    </row>
    <row r="101" spans="1:15" ht="19.899999999999999" customHeight="1" x14ac:dyDescent="0.5">
      <c r="A101" s="155">
        <v>60</v>
      </c>
      <c r="B101" s="122" t="s">
        <v>269</v>
      </c>
      <c r="C101" s="128" t="s">
        <v>303</v>
      </c>
      <c r="D101" s="124" t="s">
        <v>222</v>
      </c>
      <c r="E101" s="130">
        <v>2200</v>
      </c>
      <c r="F101" s="129" t="s">
        <v>304</v>
      </c>
      <c r="G101" s="62" t="s">
        <v>114</v>
      </c>
      <c r="H101" s="126"/>
      <c r="I101" s="133"/>
      <c r="J101" s="133"/>
      <c r="K101" s="133"/>
      <c r="L101" s="128"/>
      <c r="M101" s="137"/>
    </row>
    <row r="102" spans="1:15" ht="19.899999999999999" customHeight="1" x14ac:dyDescent="0.5">
      <c r="A102" s="155">
        <v>61</v>
      </c>
      <c r="B102" s="122" t="s">
        <v>269</v>
      </c>
      <c r="C102" s="128" t="s">
        <v>305</v>
      </c>
      <c r="D102" s="124" t="s">
        <v>222</v>
      </c>
      <c r="E102" s="130">
        <v>2200</v>
      </c>
      <c r="F102" s="129" t="s">
        <v>304</v>
      </c>
      <c r="G102" s="62" t="s">
        <v>114</v>
      </c>
      <c r="H102" s="126"/>
      <c r="I102" s="133"/>
      <c r="J102" s="133"/>
      <c r="K102" s="133"/>
      <c r="L102" s="128"/>
      <c r="M102" s="137"/>
    </row>
    <row r="103" spans="1:15" ht="19.899999999999999" customHeight="1" x14ac:dyDescent="0.5">
      <c r="A103" s="155">
        <v>62</v>
      </c>
      <c r="B103" s="122" t="s">
        <v>269</v>
      </c>
      <c r="C103" s="128" t="s">
        <v>306</v>
      </c>
      <c r="D103" s="124" t="s">
        <v>222</v>
      </c>
      <c r="E103" s="130">
        <v>2200</v>
      </c>
      <c r="F103" s="129" t="s">
        <v>304</v>
      </c>
      <c r="G103" s="62" t="s">
        <v>114</v>
      </c>
      <c r="H103" s="126"/>
      <c r="I103" s="133"/>
      <c r="J103" s="133"/>
      <c r="K103" s="133"/>
      <c r="L103" s="128"/>
      <c r="M103" s="137"/>
    </row>
    <row r="104" spans="1:15" ht="21.75" customHeight="1" x14ac:dyDescent="0.3">
      <c r="A104" s="155"/>
      <c r="B104" s="122"/>
      <c r="C104" s="123"/>
      <c r="D104" s="123"/>
      <c r="E104" s="131"/>
      <c r="F104" s="125"/>
      <c r="G104" s="126"/>
      <c r="H104" s="126"/>
      <c r="I104" s="127"/>
      <c r="J104" s="133"/>
      <c r="K104" s="133"/>
      <c r="L104" s="128"/>
      <c r="M104" s="137"/>
    </row>
    <row r="105" spans="1:15" ht="19.899999999999999" customHeight="1" thickBot="1" x14ac:dyDescent="0.35">
      <c r="A105" s="128"/>
      <c r="B105" s="133"/>
      <c r="C105" s="128"/>
      <c r="D105" s="182" t="s">
        <v>65</v>
      </c>
      <c r="E105" s="183">
        <f>SUM(E41:E103)</f>
        <v>101450</v>
      </c>
      <c r="F105" s="169"/>
      <c r="G105" s="133"/>
      <c r="H105" s="133"/>
      <c r="I105" s="133"/>
      <c r="J105" s="133"/>
      <c r="K105" s="133"/>
      <c r="L105" s="128"/>
      <c r="M105" s="137"/>
      <c r="O105" s="170">
        <f>E105</f>
        <v>101450</v>
      </c>
    </row>
    <row r="106" spans="1:15" ht="19.899999999999999" customHeight="1" thickTop="1" x14ac:dyDescent="0.3">
      <c r="A106" s="128"/>
      <c r="B106" s="171" t="s">
        <v>155</v>
      </c>
      <c r="C106" s="128"/>
      <c r="D106" s="184"/>
      <c r="E106" s="185"/>
      <c r="F106" s="169"/>
      <c r="G106" s="133"/>
      <c r="H106" s="133"/>
      <c r="I106" s="133"/>
      <c r="J106" s="133"/>
      <c r="K106" s="133"/>
      <c r="L106" s="128"/>
      <c r="M106" s="137"/>
      <c r="O106" s="170"/>
    </row>
    <row r="107" spans="1:15" ht="19.899999999999999" customHeight="1" x14ac:dyDescent="0.5">
      <c r="A107" s="128">
        <v>1</v>
      </c>
      <c r="B107" s="133" t="s">
        <v>156</v>
      </c>
      <c r="C107" s="128" t="s">
        <v>157</v>
      </c>
      <c r="D107" s="134" t="s">
        <v>153</v>
      </c>
      <c r="E107" s="173">
        <v>22000</v>
      </c>
      <c r="F107" s="137" t="s">
        <v>343</v>
      </c>
      <c r="G107" s="62" t="s">
        <v>114</v>
      </c>
      <c r="H107" s="133"/>
      <c r="I107" s="133"/>
      <c r="J107" s="133"/>
      <c r="K107" s="133"/>
      <c r="L107" s="128"/>
      <c r="M107" s="137"/>
      <c r="O107" s="170"/>
    </row>
    <row r="108" spans="1:15" ht="19.899999999999999" customHeight="1" x14ac:dyDescent="0.3">
      <c r="A108" s="128"/>
      <c r="B108" s="133" t="s">
        <v>158</v>
      </c>
      <c r="C108" s="128"/>
      <c r="D108" s="184"/>
      <c r="E108" s="185"/>
      <c r="F108" s="169"/>
      <c r="G108" s="133"/>
      <c r="H108" s="133"/>
      <c r="I108" s="133"/>
      <c r="J108" s="133"/>
      <c r="K108" s="133"/>
      <c r="L108" s="128"/>
      <c r="M108" s="137"/>
      <c r="O108" s="170"/>
    </row>
    <row r="109" spans="1:15" ht="19.899999999999999" customHeight="1" x14ac:dyDescent="0.3">
      <c r="A109" s="128"/>
      <c r="B109" s="133"/>
      <c r="C109" s="128"/>
      <c r="D109" s="141"/>
      <c r="E109" s="186"/>
      <c r="F109" s="169"/>
      <c r="G109" s="133"/>
      <c r="H109" s="133"/>
      <c r="I109" s="133"/>
      <c r="J109" s="133"/>
      <c r="K109" s="133"/>
      <c r="L109" s="128"/>
      <c r="M109" s="137"/>
      <c r="O109" s="170"/>
    </row>
    <row r="110" spans="1:15" ht="19.899999999999999" customHeight="1" thickBot="1" x14ac:dyDescent="0.35">
      <c r="A110" s="128"/>
      <c r="B110" s="133"/>
      <c r="C110" s="128"/>
      <c r="D110" s="167" t="s">
        <v>65</v>
      </c>
      <c r="E110" s="168">
        <v>22000</v>
      </c>
      <c r="F110" s="169"/>
      <c r="G110" s="133"/>
      <c r="H110" s="133"/>
      <c r="I110" s="133"/>
      <c r="J110" s="133"/>
      <c r="K110" s="133"/>
      <c r="L110" s="128"/>
      <c r="M110" s="137"/>
      <c r="O110" s="170"/>
    </row>
    <row r="111" spans="1:15" ht="19.899999999999999" customHeight="1" thickTop="1" x14ac:dyDescent="0.3">
      <c r="A111" s="128"/>
      <c r="B111" s="171" t="s">
        <v>73</v>
      </c>
      <c r="C111" s="128"/>
      <c r="D111" s="172"/>
      <c r="E111" s="173"/>
      <c r="F111" s="169"/>
      <c r="G111" s="133"/>
      <c r="H111" s="133"/>
      <c r="I111" s="133"/>
      <c r="J111" s="133"/>
      <c r="K111" s="133"/>
      <c r="L111" s="128"/>
      <c r="M111" s="137"/>
    </row>
    <row r="112" spans="1:15" ht="19.899999999999999" customHeight="1" x14ac:dyDescent="0.5">
      <c r="A112" s="128">
        <v>1</v>
      </c>
      <c r="B112" s="133" t="s">
        <v>79</v>
      </c>
      <c r="C112" s="155" t="s">
        <v>80</v>
      </c>
      <c r="D112" s="161" t="s">
        <v>43</v>
      </c>
      <c r="E112" s="187">
        <v>2250</v>
      </c>
      <c r="F112" s="137" t="s">
        <v>309</v>
      </c>
      <c r="G112" s="62" t="s">
        <v>114</v>
      </c>
      <c r="H112" s="133"/>
      <c r="I112" s="133"/>
      <c r="J112" s="133"/>
      <c r="K112" s="133"/>
      <c r="L112" s="128"/>
      <c r="M112" s="137"/>
    </row>
    <row r="113" spans="1:15" ht="19.899999999999999" customHeight="1" x14ac:dyDescent="0.5">
      <c r="A113" s="128">
        <v>2</v>
      </c>
      <c r="B113" s="133" t="s">
        <v>96</v>
      </c>
      <c r="C113" s="128" t="s">
        <v>97</v>
      </c>
      <c r="D113" s="134" t="s">
        <v>14</v>
      </c>
      <c r="E113" s="188">
        <v>2300</v>
      </c>
      <c r="F113" s="137" t="s">
        <v>98</v>
      </c>
      <c r="G113" s="62" t="s">
        <v>114</v>
      </c>
      <c r="H113" s="133"/>
      <c r="I113" s="133"/>
      <c r="J113" s="133"/>
      <c r="K113" s="133"/>
      <c r="L113" s="128"/>
      <c r="M113" s="137"/>
    </row>
    <row r="114" spans="1:15" ht="19.899999999999999" customHeight="1" x14ac:dyDescent="0.5">
      <c r="A114" s="128">
        <v>3</v>
      </c>
      <c r="B114" s="133" t="s">
        <v>44</v>
      </c>
      <c r="C114" s="155" t="s">
        <v>45</v>
      </c>
      <c r="D114" s="161" t="s">
        <v>46</v>
      </c>
      <c r="E114" s="187">
        <v>2300</v>
      </c>
      <c r="F114" s="137" t="s">
        <v>310</v>
      </c>
      <c r="G114" s="62" t="s">
        <v>114</v>
      </c>
      <c r="H114" s="133"/>
      <c r="I114" s="133"/>
      <c r="J114" s="133"/>
      <c r="K114" s="133"/>
      <c r="L114" s="128"/>
      <c r="M114" s="137"/>
    </row>
    <row r="115" spans="1:15" ht="19.899999999999999" customHeight="1" x14ac:dyDescent="0.5">
      <c r="A115" s="128">
        <v>4</v>
      </c>
      <c r="B115" s="189" t="s">
        <v>93</v>
      </c>
      <c r="C115" s="190" t="s">
        <v>94</v>
      </c>
      <c r="D115" s="191" t="s">
        <v>95</v>
      </c>
      <c r="E115" s="192">
        <v>2300</v>
      </c>
      <c r="F115" s="137" t="s">
        <v>310</v>
      </c>
      <c r="G115" s="62" t="s">
        <v>114</v>
      </c>
      <c r="H115" s="137"/>
      <c r="I115" s="193"/>
      <c r="J115" s="133"/>
      <c r="K115" s="133"/>
      <c r="L115" s="133"/>
      <c r="M115" s="136"/>
    </row>
    <row r="116" spans="1:15" ht="19.899999999999999" customHeight="1" x14ac:dyDescent="0.5">
      <c r="A116" s="128">
        <v>5</v>
      </c>
      <c r="B116" s="165" t="s">
        <v>81</v>
      </c>
      <c r="C116" s="155" t="s">
        <v>61</v>
      </c>
      <c r="D116" s="161" t="s">
        <v>141</v>
      </c>
      <c r="E116" s="187">
        <v>4800</v>
      </c>
      <c r="F116" s="137" t="s">
        <v>112</v>
      </c>
      <c r="G116" s="62" t="s">
        <v>114</v>
      </c>
      <c r="H116" s="133"/>
      <c r="I116" s="133"/>
      <c r="J116" s="133"/>
      <c r="K116" s="133"/>
      <c r="L116" s="128"/>
      <c r="M116" s="137"/>
    </row>
    <row r="117" spans="1:15" ht="19.899999999999999" customHeight="1" x14ac:dyDescent="0.5">
      <c r="A117" s="128">
        <v>6</v>
      </c>
      <c r="B117" s="133" t="s">
        <v>62</v>
      </c>
      <c r="C117" s="155" t="s">
        <v>63</v>
      </c>
      <c r="D117" s="161" t="s">
        <v>141</v>
      </c>
      <c r="E117" s="187">
        <v>2300</v>
      </c>
      <c r="F117" s="137" t="s">
        <v>335</v>
      </c>
      <c r="G117" s="62" t="s">
        <v>114</v>
      </c>
      <c r="H117" s="133"/>
      <c r="I117" s="133"/>
      <c r="J117" s="133"/>
      <c r="K117" s="133"/>
      <c r="L117" s="128"/>
      <c r="M117" s="137"/>
    </row>
    <row r="118" spans="1:15" ht="19.899999999999999" customHeight="1" x14ac:dyDescent="0.5">
      <c r="A118" s="128">
        <v>7</v>
      </c>
      <c r="B118" s="133" t="s">
        <v>40</v>
      </c>
      <c r="C118" s="155" t="s">
        <v>74</v>
      </c>
      <c r="D118" s="161" t="s">
        <v>19</v>
      </c>
      <c r="E118" s="187">
        <v>3200</v>
      </c>
      <c r="F118" s="137" t="s">
        <v>75</v>
      </c>
      <c r="G118" s="62" t="s">
        <v>114</v>
      </c>
      <c r="H118" s="133"/>
      <c r="I118" s="133"/>
      <c r="J118" s="133"/>
      <c r="K118" s="133"/>
      <c r="L118" s="128"/>
      <c r="M118" s="137"/>
    </row>
    <row r="119" spans="1:15" ht="19.899999999999999" customHeight="1" x14ac:dyDescent="0.5">
      <c r="A119" s="128"/>
      <c r="B119" s="133" t="s">
        <v>47</v>
      </c>
      <c r="C119" s="155"/>
      <c r="D119" s="161"/>
      <c r="E119" s="187"/>
      <c r="F119" s="137"/>
      <c r="G119" s="62"/>
      <c r="H119" s="133"/>
      <c r="I119" s="133"/>
      <c r="J119" s="133"/>
      <c r="K119" s="133"/>
      <c r="L119" s="128"/>
      <c r="M119" s="137"/>
    </row>
    <row r="120" spans="1:15" ht="19.899999999999999" customHeight="1" x14ac:dyDescent="0.5">
      <c r="A120" s="155">
        <v>8</v>
      </c>
      <c r="B120" s="133" t="s">
        <v>162</v>
      </c>
      <c r="C120" s="155" t="s">
        <v>39</v>
      </c>
      <c r="D120" s="161" t="s">
        <v>19</v>
      </c>
      <c r="E120" s="187">
        <v>3000</v>
      </c>
      <c r="F120" s="137" t="s">
        <v>335</v>
      </c>
      <c r="G120" s="62" t="s">
        <v>114</v>
      </c>
      <c r="H120" s="133"/>
      <c r="I120" s="133"/>
      <c r="J120" s="133"/>
      <c r="K120" s="133"/>
      <c r="L120" s="128"/>
      <c r="M120" s="194"/>
    </row>
    <row r="121" spans="1:15" ht="19.899999999999999" customHeight="1" x14ac:dyDescent="0.3">
      <c r="A121" s="155"/>
      <c r="B121" s="133" t="s">
        <v>161</v>
      </c>
      <c r="C121" s="155"/>
      <c r="D121" s="161"/>
      <c r="E121" s="187"/>
      <c r="F121" s="137"/>
      <c r="G121" s="133"/>
      <c r="H121" s="133"/>
      <c r="I121" s="133"/>
      <c r="J121" s="133"/>
      <c r="K121" s="133"/>
      <c r="L121" s="128"/>
      <c r="M121" s="137"/>
    </row>
    <row r="122" spans="1:15" ht="19.899999999999999" customHeight="1" x14ac:dyDescent="0.5">
      <c r="A122" s="128">
        <v>9</v>
      </c>
      <c r="B122" s="133" t="s">
        <v>163</v>
      </c>
      <c r="C122" s="155" t="s">
        <v>41</v>
      </c>
      <c r="D122" s="161" t="s">
        <v>42</v>
      </c>
      <c r="E122" s="187">
        <v>4000</v>
      </c>
      <c r="F122" s="158" t="s">
        <v>55</v>
      </c>
      <c r="G122" s="62" t="s">
        <v>114</v>
      </c>
      <c r="H122" s="133"/>
      <c r="I122" s="133"/>
      <c r="J122" s="133"/>
      <c r="K122" s="133"/>
      <c r="L122" s="128"/>
      <c r="M122" s="158"/>
    </row>
    <row r="123" spans="1:15" ht="19.899999999999999" customHeight="1" x14ac:dyDescent="0.3">
      <c r="A123" s="128"/>
      <c r="B123" s="133" t="s">
        <v>164</v>
      </c>
      <c r="C123" s="155"/>
      <c r="D123" s="161"/>
      <c r="E123" s="187"/>
      <c r="F123" s="137"/>
      <c r="G123" s="133"/>
      <c r="H123" s="133"/>
      <c r="I123" s="133"/>
      <c r="J123" s="133"/>
      <c r="K123" s="133"/>
      <c r="L123" s="128"/>
      <c r="M123" s="137"/>
    </row>
    <row r="124" spans="1:15" ht="19.899999999999999" customHeight="1" x14ac:dyDescent="0.3">
      <c r="A124" s="179"/>
      <c r="B124" s="176"/>
      <c r="C124" s="175"/>
      <c r="D124" s="195"/>
      <c r="E124" s="196"/>
      <c r="F124" s="180"/>
      <c r="G124" s="176"/>
      <c r="H124" s="176"/>
      <c r="I124" s="176"/>
      <c r="J124" s="176"/>
      <c r="K124" s="176"/>
      <c r="L124" s="179"/>
      <c r="M124" s="180"/>
    </row>
    <row r="125" spans="1:15" ht="19.899999999999999" customHeight="1" thickBot="1" x14ac:dyDescent="0.35">
      <c r="A125" s="179"/>
      <c r="B125" s="176"/>
      <c r="C125" s="179"/>
      <c r="D125" s="167" t="s">
        <v>65</v>
      </c>
      <c r="E125" s="197">
        <f>SUM(E112:E123)</f>
        <v>26450</v>
      </c>
      <c r="F125" s="180"/>
      <c r="G125" s="176"/>
      <c r="H125" s="176"/>
      <c r="I125" s="176"/>
      <c r="J125" s="176"/>
      <c r="K125" s="176"/>
      <c r="L125" s="179"/>
      <c r="M125" s="180"/>
      <c r="O125" s="170">
        <f>E125</f>
        <v>26450</v>
      </c>
    </row>
    <row r="126" spans="1:15" ht="19.899999999999999" customHeight="1" thickTop="1" x14ac:dyDescent="0.3">
      <c r="A126" s="128"/>
      <c r="B126" s="171" t="s">
        <v>71</v>
      </c>
      <c r="C126" s="128"/>
      <c r="D126" s="172"/>
      <c r="E126" s="173"/>
      <c r="F126" s="137"/>
      <c r="G126" s="133"/>
      <c r="H126" s="133"/>
      <c r="I126" s="133"/>
      <c r="J126" s="133"/>
      <c r="K126" s="133"/>
      <c r="L126" s="128"/>
      <c r="M126" s="137"/>
    </row>
    <row r="127" spans="1:15" ht="19.899999999999999" customHeight="1" x14ac:dyDescent="0.5">
      <c r="A127" s="128">
        <v>1</v>
      </c>
      <c r="B127" s="133" t="s">
        <v>143</v>
      </c>
      <c r="C127" s="155" t="s">
        <v>110</v>
      </c>
      <c r="D127" s="161" t="s">
        <v>111</v>
      </c>
      <c r="E127" s="174">
        <v>37000</v>
      </c>
      <c r="F127" s="166" t="s">
        <v>314</v>
      </c>
      <c r="G127" s="62" t="s">
        <v>114</v>
      </c>
      <c r="H127" s="133"/>
      <c r="I127" s="198"/>
      <c r="J127" s="198"/>
      <c r="K127" s="198"/>
      <c r="L127" s="198"/>
      <c r="M127" s="158"/>
      <c r="N127" s="199">
        <f>SUM(E127:E141)</f>
        <v>337168</v>
      </c>
    </row>
    <row r="128" spans="1:15" ht="19.899999999999999" customHeight="1" x14ac:dyDescent="0.5">
      <c r="A128" s="128">
        <v>2</v>
      </c>
      <c r="B128" s="133" t="s">
        <v>50</v>
      </c>
      <c r="C128" s="128" t="s">
        <v>53</v>
      </c>
      <c r="D128" s="134" t="s">
        <v>142</v>
      </c>
      <c r="E128" s="173">
        <v>33000</v>
      </c>
      <c r="F128" s="137" t="s">
        <v>311</v>
      </c>
      <c r="G128" s="62" t="s">
        <v>114</v>
      </c>
      <c r="H128" s="133"/>
      <c r="I128" s="133"/>
      <c r="J128" s="133"/>
      <c r="K128" s="133"/>
      <c r="L128" s="128"/>
      <c r="M128" s="137"/>
    </row>
    <row r="129" spans="1:15" ht="19.899999999999999" customHeight="1" x14ac:dyDescent="0.3">
      <c r="A129" s="128"/>
      <c r="B129" s="133" t="s">
        <v>51</v>
      </c>
      <c r="C129" s="128"/>
      <c r="D129" s="134"/>
      <c r="E129" s="173"/>
      <c r="F129" s="137"/>
      <c r="G129" s="133"/>
      <c r="H129" s="133"/>
      <c r="I129" s="133"/>
      <c r="J129" s="133"/>
      <c r="K129" s="133"/>
      <c r="L129" s="128"/>
      <c r="M129" s="137"/>
    </row>
    <row r="130" spans="1:15" ht="19.899999999999999" customHeight="1" x14ac:dyDescent="0.3">
      <c r="A130" s="155"/>
      <c r="B130" s="133" t="s">
        <v>52</v>
      </c>
      <c r="C130" s="128"/>
      <c r="D130" s="134"/>
      <c r="E130" s="173"/>
      <c r="F130" s="137"/>
      <c r="G130" s="133"/>
      <c r="H130" s="133"/>
      <c r="I130" s="133"/>
      <c r="J130" s="133"/>
      <c r="K130" s="133"/>
      <c r="L130" s="128"/>
      <c r="M130" s="137"/>
    </row>
    <row r="131" spans="1:15" ht="19.899999999999999" customHeight="1" x14ac:dyDescent="0.5">
      <c r="A131" s="155">
        <v>3</v>
      </c>
      <c r="B131" s="133" t="s">
        <v>50</v>
      </c>
      <c r="C131" s="128" t="s">
        <v>54</v>
      </c>
      <c r="D131" s="134" t="s">
        <v>142</v>
      </c>
      <c r="E131" s="173">
        <v>33000</v>
      </c>
      <c r="F131" s="137" t="s">
        <v>113</v>
      </c>
      <c r="G131" s="62" t="s">
        <v>114</v>
      </c>
      <c r="H131" s="133"/>
      <c r="I131" s="133"/>
      <c r="J131" s="133"/>
      <c r="K131" s="133"/>
      <c r="L131" s="128"/>
      <c r="M131" s="137"/>
    </row>
    <row r="132" spans="1:15" ht="19.899999999999999" customHeight="1" x14ac:dyDescent="0.3">
      <c r="A132" s="155"/>
      <c r="B132" s="133" t="s">
        <v>51</v>
      </c>
      <c r="C132" s="128"/>
      <c r="D132" s="134"/>
      <c r="E132" s="173"/>
      <c r="F132" s="137"/>
      <c r="G132" s="133"/>
      <c r="H132" s="133"/>
      <c r="I132" s="133"/>
      <c r="J132" s="133"/>
      <c r="K132" s="133"/>
      <c r="L132" s="128"/>
      <c r="M132" s="137"/>
    </row>
    <row r="133" spans="1:15" ht="19.899999999999999" customHeight="1" x14ac:dyDescent="0.3">
      <c r="A133" s="155"/>
      <c r="B133" s="133" t="s">
        <v>52</v>
      </c>
      <c r="C133" s="128"/>
      <c r="D133" s="134"/>
      <c r="E133" s="173"/>
      <c r="F133" s="137"/>
      <c r="G133" s="133"/>
      <c r="H133" s="133"/>
      <c r="I133" s="133"/>
      <c r="J133" s="133"/>
      <c r="K133" s="133"/>
      <c r="L133" s="128"/>
      <c r="M133" s="137"/>
    </row>
    <row r="134" spans="1:15" ht="19.899999999999999" customHeight="1" x14ac:dyDescent="0.5">
      <c r="A134" s="179">
        <v>4</v>
      </c>
      <c r="B134" s="176" t="s">
        <v>99</v>
      </c>
      <c r="C134" s="179" t="s">
        <v>100</v>
      </c>
      <c r="D134" s="179" t="s">
        <v>122</v>
      </c>
      <c r="E134" s="200">
        <v>22900</v>
      </c>
      <c r="F134" s="180" t="s">
        <v>312</v>
      </c>
      <c r="G134" s="64" t="s">
        <v>114</v>
      </c>
      <c r="H134" s="176"/>
      <c r="I134" s="176"/>
      <c r="J134" s="176"/>
      <c r="K134" s="176"/>
      <c r="L134" s="179"/>
      <c r="M134" s="180"/>
    </row>
    <row r="135" spans="1:15" ht="21.75" x14ac:dyDescent="0.5">
      <c r="A135" s="128">
        <v>5</v>
      </c>
      <c r="B135" s="133" t="s">
        <v>99</v>
      </c>
      <c r="C135" s="128" t="s">
        <v>101</v>
      </c>
      <c r="D135" s="128" t="s">
        <v>122</v>
      </c>
      <c r="E135" s="188">
        <v>29900</v>
      </c>
      <c r="F135" s="137" t="s">
        <v>313</v>
      </c>
      <c r="G135" s="62" t="s">
        <v>114</v>
      </c>
      <c r="H135" s="133"/>
      <c r="I135" s="133"/>
      <c r="J135" s="133"/>
      <c r="K135" s="133"/>
      <c r="L135" s="128"/>
      <c r="M135" s="137"/>
    </row>
    <row r="136" spans="1:15" ht="22.5" x14ac:dyDescent="0.5">
      <c r="A136" s="123">
        <v>6</v>
      </c>
      <c r="B136" s="133" t="s">
        <v>99</v>
      </c>
      <c r="C136" s="128" t="s">
        <v>216</v>
      </c>
      <c r="D136" s="134" t="s">
        <v>217</v>
      </c>
      <c r="E136" s="192">
        <v>27500</v>
      </c>
      <c r="F136" s="137" t="s">
        <v>297</v>
      </c>
      <c r="G136" s="62" t="s">
        <v>114</v>
      </c>
      <c r="H136" s="126"/>
      <c r="I136" s="126"/>
      <c r="J136" s="133"/>
      <c r="K136" s="133"/>
      <c r="L136" s="128"/>
      <c r="M136" s="137"/>
    </row>
    <row r="137" spans="1:15" ht="22.5" x14ac:dyDescent="0.5">
      <c r="A137" s="123">
        <v>7</v>
      </c>
      <c r="B137" s="133" t="s">
        <v>315</v>
      </c>
      <c r="C137" s="123" t="s">
        <v>316</v>
      </c>
      <c r="D137" s="134" t="s">
        <v>222</v>
      </c>
      <c r="E137" s="135">
        <v>37156</v>
      </c>
      <c r="F137" s="137" t="s">
        <v>317</v>
      </c>
      <c r="G137" s="64" t="s">
        <v>114</v>
      </c>
      <c r="H137" s="126"/>
      <c r="I137" s="133"/>
      <c r="J137" s="133"/>
      <c r="K137" s="133"/>
      <c r="L137" s="128"/>
      <c r="M137" s="137"/>
    </row>
    <row r="138" spans="1:15" ht="22.5" x14ac:dyDescent="0.5">
      <c r="A138" s="123">
        <v>8</v>
      </c>
      <c r="B138" s="133" t="s">
        <v>315</v>
      </c>
      <c r="C138" s="123" t="s">
        <v>318</v>
      </c>
      <c r="D138" s="134" t="s">
        <v>222</v>
      </c>
      <c r="E138" s="135">
        <v>37156</v>
      </c>
      <c r="F138" s="137" t="s">
        <v>319</v>
      </c>
      <c r="G138" s="62" t="s">
        <v>114</v>
      </c>
      <c r="H138" s="126"/>
      <c r="I138" s="133"/>
      <c r="J138" s="133"/>
      <c r="K138" s="133"/>
      <c r="L138" s="128"/>
      <c r="M138" s="137"/>
    </row>
    <row r="139" spans="1:15" ht="22.5" x14ac:dyDescent="0.5">
      <c r="A139" s="123">
        <v>9</v>
      </c>
      <c r="B139" s="133" t="s">
        <v>315</v>
      </c>
      <c r="C139" s="123" t="s">
        <v>320</v>
      </c>
      <c r="D139" s="134" t="s">
        <v>222</v>
      </c>
      <c r="E139" s="135">
        <v>37156</v>
      </c>
      <c r="F139" s="137" t="s">
        <v>321</v>
      </c>
      <c r="G139" s="62" t="s">
        <v>114</v>
      </c>
      <c r="H139" s="126"/>
      <c r="I139" s="133"/>
      <c r="J139" s="133"/>
      <c r="K139" s="133"/>
      <c r="L139" s="128"/>
      <c r="M139" s="137"/>
    </row>
    <row r="140" spans="1:15" ht="22.5" x14ac:dyDescent="0.5">
      <c r="A140" s="123">
        <v>10</v>
      </c>
      <c r="B140" s="133" t="s">
        <v>322</v>
      </c>
      <c r="C140" s="123" t="s">
        <v>323</v>
      </c>
      <c r="D140" s="134" t="s">
        <v>222</v>
      </c>
      <c r="E140" s="135">
        <v>23500</v>
      </c>
      <c r="F140" s="137" t="s">
        <v>271</v>
      </c>
      <c r="G140" s="62" t="s">
        <v>114</v>
      </c>
      <c r="H140" s="126"/>
      <c r="I140" s="133"/>
      <c r="J140" s="133"/>
      <c r="K140" s="133"/>
      <c r="L140" s="128"/>
      <c r="M140" s="137"/>
    </row>
    <row r="141" spans="1:15" ht="22.5" x14ac:dyDescent="0.5">
      <c r="A141" s="123">
        <v>11</v>
      </c>
      <c r="B141" s="133" t="s">
        <v>322</v>
      </c>
      <c r="C141" s="123" t="s">
        <v>324</v>
      </c>
      <c r="D141" s="134" t="s">
        <v>222</v>
      </c>
      <c r="E141" s="135">
        <v>18900</v>
      </c>
      <c r="F141" s="137" t="s">
        <v>325</v>
      </c>
      <c r="G141" s="62" t="s">
        <v>114</v>
      </c>
      <c r="H141" s="126"/>
      <c r="I141" s="133"/>
      <c r="J141" s="133"/>
      <c r="K141" s="133"/>
      <c r="L141" s="128"/>
      <c r="M141" s="137"/>
    </row>
    <row r="142" spans="1:15" ht="19.899999999999999" customHeight="1" thickBot="1" x14ac:dyDescent="0.35">
      <c r="A142" s="128"/>
      <c r="B142" s="133"/>
      <c r="C142" s="128"/>
      <c r="D142" s="167" t="s">
        <v>65</v>
      </c>
      <c r="E142" s="168">
        <f>SUM(E127:E141)</f>
        <v>337168</v>
      </c>
      <c r="F142" s="137"/>
      <c r="G142" s="133"/>
      <c r="H142" s="133"/>
      <c r="I142" s="133"/>
      <c r="J142" s="133"/>
      <c r="K142" s="133"/>
      <c r="L142" s="128"/>
      <c r="M142" s="137"/>
      <c r="O142" s="170"/>
    </row>
    <row r="143" spans="1:15" ht="19.899999999999999" customHeight="1" thickTop="1" x14ac:dyDescent="0.3">
      <c r="A143" s="128"/>
      <c r="B143" s="171" t="s">
        <v>72</v>
      </c>
      <c r="C143" s="128"/>
      <c r="D143" s="172"/>
      <c r="E143" s="173"/>
      <c r="F143" s="137"/>
      <c r="G143" s="133"/>
      <c r="H143" s="133"/>
      <c r="I143" s="133"/>
      <c r="J143" s="133"/>
      <c r="K143" s="133"/>
      <c r="L143" s="128"/>
      <c r="M143" s="137"/>
    </row>
    <row r="144" spans="1:15" ht="19.899999999999999" customHeight="1" x14ac:dyDescent="0.5">
      <c r="A144" s="201">
        <v>1</v>
      </c>
      <c r="B144" s="202" t="s">
        <v>148</v>
      </c>
      <c r="C144" s="203" t="s">
        <v>149</v>
      </c>
      <c r="D144" s="161" t="s">
        <v>150</v>
      </c>
      <c r="E144" s="174">
        <v>9950</v>
      </c>
      <c r="F144" s="204" t="s">
        <v>13</v>
      </c>
      <c r="G144" s="62" t="s">
        <v>114</v>
      </c>
      <c r="H144" s="202"/>
      <c r="I144" s="202"/>
      <c r="J144" s="202"/>
      <c r="K144" s="202"/>
      <c r="L144" s="201"/>
      <c r="M144" s="204"/>
    </row>
    <row r="145" spans="1:15" ht="19.899999999999999" customHeight="1" x14ac:dyDescent="0.5">
      <c r="A145" s="201"/>
      <c r="B145" s="202"/>
      <c r="C145" s="203"/>
      <c r="D145" s="195"/>
      <c r="E145" s="205"/>
      <c r="F145" s="204"/>
      <c r="G145" s="98"/>
      <c r="H145" s="202"/>
      <c r="I145" s="202"/>
      <c r="J145" s="202"/>
      <c r="K145" s="202"/>
      <c r="L145" s="201"/>
      <c r="M145" s="204"/>
    </row>
    <row r="146" spans="1:15" ht="19.899999999999999" customHeight="1" thickBot="1" x14ac:dyDescent="0.35">
      <c r="A146" s="201"/>
      <c r="B146" s="202"/>
      <c r="C146" s="201"/>
      <c r="D146" s="167" t="s">
        <v>65</v>
      </c>
      <c r="E146" s="168">
        <f>SUM(E144:E144)</f>
        <v>9950</v>
      </c>
      <c r="F146" s="204"/>
      <c r="G146" s="202"/>
      <c r="H146" s="202"/>
      <c r="I146" s="202"/>
      <c r="J146" s="202"/>
      <c r="K146" s="202"/>
      <c r="L146" s="201"/>
      <c r="M146" s="204"/>
    </row>
    <row r="147" spans="1:15" ht="19.899999999999999" customHeight="1" thickTop="1" x14ac:dyDescent="0.3">
      <c r="A147" s="201"/>
      <c r="B147" s="216" t="s">
        <v>329</v>
      </c>
      <c r="C147" s="201"/>
      <c r="D147" s="184"/>
      <c r="E147" s="185"/>
      <c r="F147" s="204"/>
      <c r="G147" s="202"/>
      <c r="H147" s="202"/>
      <c r="I147" s="202"/>
      <c r="J147" s="202"/>
      <c r="K147" s="202"/>
      <c r="L147" s="201"/>
      <c r="M147" s="204"/>
    </row>
    <row r="148" spans="1:15" ht="19.899999999999999" customHeight="1" x14ac:dyDescent="0.5">
      <c r="A148" s="201">
        <v>1</v>
      </c>
      <c r="B148" s="202" t="s">
        <v>330</v>
      </c>
      <c r="C148" s="201" t="s">
        <v>339</v>
      </c>
      <c r="D148" s="134" t="s">
        <v>222</v>
      </c>
      <c r="E148" s="217">
        <v>1330</v>
      </c>
      <c r="F148" s="204" t="s">
        <v>309</v>
      </c>
      <c r="G148" s="62" t="s">
        <v>114</v>
      </c>
      <c r="H148" s="202"/>
      <c r="I148" s="202"/>
      <c r="J148" s="202"/>
      <c r="K148" s="202"/>
      <c r="L148" s="201"/>
      <c r="M148" s="204"/>
    </row>
    <row r="149" spans="1:15" ht="19.899999999999999" customHeight="1" x14ac:dyDescent="0.5">
      <c r="A149" s="201">
        <v>2</v>
      </c>
      <c r="B149" s="202" t="s">
        <v>330</v>
      </c>
      <c r="C149" s="201" t="s">
        <v>340</v>
      </c>
      <c r="D149" s="134" t="s">
        <v>222</v>
      </c>
      <c r="E149" s="217">
        <v>1330</v>
      </c>
      <c r="F149" s="204" t="s">
        <v>333</v>
      </c>
      <c r="G149" s="62" t="s">
        <v>114</v>
      </c>
      <c r="H149" s="202"/>
      <c r="I149" s="202"/>
      <c r="J149" s="202"/>
      <c r="K149" s="202"/>
      <c r="L149" s="201"/>
      <c r="M149" s="204"/>
    </row>
    <row r="150" spans="1:15" ht="19.899999999999999" customHeight="1" x14ac:dyDescent="0.5">
      <c r="A150" s="201">
        <v>3</v>
      </c>
      <c r="B150" s="202" t="s">
        <v>330</v>
      </c>
      <c r="C150" s="201" t="s">
        <v>341</v>
      </c>
      <c r="D150" s="134" t="s">
        <v>222</v>
      </c>
      <c r="E150" s="217">
        <v>1330</v>
      </c>
      <c r="F150" s="204" t="s">
        <v>334</v>
      </c>
      <c r="G150" s="62" t="s">
        <v>114</v>
      </c>
      <c r="H150" s="202"/>
      <c r="I150" s="202"/>
      <c r="J150" s="202"/>
      <c r="K150" s="202"/>
      <c r="L150" s="201"/>
      <c r="M150" s="204"/>
    </row>
    <row r="151" spans="1:15" ht="19.899999999999999" customHeight="1" thickBot="1" x14ac:dyDescent="0.35">
      <c r="A151" s="201"/>
      <c r="B151" s="202"/>
      <c r="C151" s="201"/>
      <c r="D151" s="167" t="s">
        <v>65</v>
      </c>
      <c r="E151" s="168">
        <f>SUM(E148:E150)</f>
        <v>3990</v>
      </c>
      <c r="F151" s="204"/>
      <c r="G151" s="202"/>
      <c r="H151" s="202"/>
      <c r="I151" s="202"/>
      <c r="J151" s="202"/>
      <c r="K151" s="202"/>
      <c r="L151" s="201"/>
      <c r="M151" s="204"/>
    </row>
    <row r="152" spans="1:15" ht="19.899999999999999" customHeight="1" thickTop="1" x14ac:dyDescent="0.3">
      <c r="A152" s="128"/>
      <c r="B152" s="171" t="s">
        <v>119</v>
      </c>
      <c r="C152" s="128"/>
      <c r="D152" s="172"/>
      <c r="E152" s="173"/>
      <c r="F152" s="137"/>
      <c r="G152" s="133"/>
      <c r="H152" s="133"/>
      <c r="I152" s="133"/>
      <c r="J152" s="133"/>
      <c r="K152" s="133"/>
      <c r="L152" s="128"/>
      <c r="M152" s="137"/>
      <c r="O152" s="170">
        <f>E146</f>
        <v>9950</v>
      </c>
    </row>
    <row r="153" spans="1:15" ht="19.899999999999999" customHeight="1" x14ac:dyDescent="0.5">
      <c r="A153" s="128">
        <v>1</v>
      </c>
      <c r="B153" s="133" t="s">
        <v>120</v>
      </c>
      <c r="C153" s="128" t="s">
        <v>121</v>
      </c>
      <c r="D153" s="128" t="s">
        <v>123</v>
      </c>
      <c r="E153" s="173">
        <v>4100</v>
      </c>
      <c r="F153" s="136" t="s">
        <v>336</v>
      </c>
      <c r="G153" s="62" t="s">
        <v>114</v>
      </c>
      <c r="H153" s="133"/>
      <c r="I153" s="133"/>
      <c r="J153" s="133"/>
      <c r="K153" s="133"/>
      <c r="L153" s="128"/>
      <c r="M153" s="136"/>
      <c r="O153" s="206">
        <f>SUM(O8:O152)</f>
        <v>311500</v>
      </c>
    </row>
    <row r="154" spans="1:15" ht="19.899999999999999" customHeight="1" x14ac:dyDescent="0.5">
      <c r="A154" s="201">
        <v>2</v>
      </c>
      <c r="B154" s="202" t="s">
        <v>166</v>
      </c>
      <c r="C154" s="201" t="s">
        <v>167</v>
      </c>
      <c r="D154" s="128" t="s">
        <v>168</v>
      </c>
      <c r="E154" s="173">
        <v>19000</v>
      </c>
      <c r="F154" s="207" t="s">
        <v>337</v>
      </c>
      <c r="G154" s="62" t="s">
        <v>114</v>
      </c>
      <c r="H154" s="202"/>
      <c r="I154" s="202"/>
      <c r="J154" s="202"/>
      <c r="K154" s="202"/>
      <c r="L154" s="201"/>
      <c r="M154" s="207"/>
      <c r="O154" s="206"/>
    </row>
    <row r="155" spans="1:15" ht="19.899999999999999" customHeight="1" x14ac:dyDescent="0.5">
      <c r="A155" s="201"/>
      <c r="B155" s="202"/>
      <c r="C155" s="201"/>
      <c r="D155" s="201"/>
      <c r="E155" s="208"/>
      <c r="F155" s="207"/>
      <c r="G155" s="98"/>
      <c r="H155" s="202"/>
      <c r="I155" s="202"/>
      <c r="J155" s="202"/>
      <c r="K155" s="202"/>
      <c r="L155" s="201"/>
      <c r="M155" s="207"/>
      <c r="O155" s="206"/>
    </row>
    <row r="156" spans="1:15" ht="19.899999999999999" customHeight="1" x14ac:dyDescent="0.3">
      <c r="A156" s="201"/>
      <c r="B156" s="202"/>
      <c r="C156" s="201"/>
      <c r="D156" s="140" t="s">
        <v>65</v>
      </c>
      <c r="E156" s="218">
        <f>SUM(E153:E155)</f>
        <v>23100</v>
      </c>
      <c r="F156" s="207"/>
      <c r="G156" s="202"/>
      <c r="H156" s="202"/>
      <c r="I156" s="202"/>
      <c r="J156" s="202"/>
      <c r="K156" s="202"/>
      <c r="L156" s="201"/>
      <c r="M156" s="207"/>
    </row>
    <row r="157" spans="1:15" ht="19.899999999999999" customHeight="1" x14ac:dyDescent="0.3">
      <c r="A157" s="219"/>
      <c r="B157" s="220"/>
      <c r="C157" s="219"/>
      <c r="D157" s="222" t="s">
        <v>331</v>
      </c>
      <c r="E157" s="223">
        <f>SUM(E39+E105+E110+E125+E142+E146+E151+E156)</f>
        <v>697758</v>
      </c>
      <c r="F157" s="221"/>
      <c r="G157" s="220"/>
      <c r="H157" s="220"/>
      <c r="I157" s="220"/>
      <c r="J157" s="220"/>
      <c r="K157" s="220"/>
      <c r="L157" s="219"/>
      <c r="M157" s="221"/>
    </row>
    <row r="158" spans="1:15" ht="19.899999999999999" customHeight="1" x14ac:dyDescent="0.3">
      <c r="D158" s="210"/>
      <c r="E158" s="212"/>
      <c r="F158" s="211"/>
      <c r="M158" s="211"/>
    </row>
    <row r="159" spans="1:15" ht="19.899999999999999" customHeight="1" x14ac:dyDescent="0.3"/>
    <row r="160" spans="1:15" ht="19.899999999999999" customHeight="1" x14ac:dyDescent="0.3"/>
    <row r="161" ht="19.899999999999999" customHeight="1" x14ac:dyDescent="0.3"/>
  </sheetData>
  <mergeCells count="12">
    <mergeCell ref="M3:M5"/>
    <mergeCell ref="A1:M1"/>
    <mergeCell ref="A2:M2"/>
    <mergeCell ref="G3:L3"/>
    <mergeCell ref="G4:G5"/>
    <mergeCell ref="H4:H5"/>
    <mergeCell ref="J4:J5"/>
    <mergeCell ref="F3:F5"/>
    <mergeCell ref="B3:B5"/>
    <mergeCell ref="A3:A5"/>
    <mergeCell ref="E3:E5"/>
    <mergeCell ref="C3:C5"/>
  </mergeCells>
  <phoneticPr fontId="8" type="noConversion"/>
  <pageMargins left="0.23622047244094491" right="0.19685039370078741" top="0.59055118110236227" bottom="0.51181102362204722" header="0.31496062992125984" footer="0.31496062992125984"/>
  <pageSetup paperSize="9" orientation="landscape" horizontalDpi="4294967293" verticalDpi="360" r:id="rId1"/>
  <headerFooter scaleWithDoc="0">
    <oddFooter>&amp;R&amp;P/&amp;N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1"/>
  <sheetViews>
    <sheetView view="pageBreakPreview" topLeftCell="A19" zoomScaleNormal="100" zoomScaleSheetLayoutView="100" workbookViewId="0">
      <selection activeCell="I44" sqref="I44"/>
    </sheetView>
  </sheetViews>
  <sheetFormatPr defaultColWidth="9" defaultRowHeight="18.75" x14ac:dyDescent="0.3"/>
  <cols>
    <col min="1" max="1" width="5.875" style="2" customWidth="1"/>
    <col min="2" max="2" width="33.125" style="1" customWidth="1"/>
    <col min="3" max="3" width="12.875" style="2" customWidth="1"/>
    <col min="4" max="4" width="12.25" style="3" customWidth="1"/>
    <col min="5" max="5" width="12.125" style="1" customWidth="1"/>
    <col min="6" max="6" width="15" style="1" bestFit="1" customWidth="1"/>
    <col min="7" max="8" width="4.75" style="1" customWidth="1"/>
    <col min="9" max="9" width="5.375" style="1" customWidth="1"/>
    <col min="10" max="10" width="6" style="1" customWidth="1"/>
    <col min="11" max="11" width="5.625" style="1" customWidth="1"/>
    <col min="12" max="12" width="7.25" style="1" customWidth="1"/>
    <col min="13" max="13" width="10.25" style="1" customWidth="1"/>
    <col min="14" max="16384" width="9" style="1"/>
  </cols>
  <sheetData>
    <row r="1" spans="1:13" s="5" customFormat="1" x14ac:dyDescent="0.3">
      <c r="A1" s="242" t="s">
        <v>328</v>
      </c>
      <c r="B1" s="242"/>
      <c r="C1" s="242"/>
      <c r="D1" s="242"/>
      <c r="E1" s="242"/>
      <c r="F1" s="242"/>
      <c r="G1" s="242"/>
      <c r="H1" s="242"/>
      <c r="I1" s="242"/>
      <c r="J1" s="242"/>
      <c r="K1" s="242"/>
      <c r="L1" s="242"/>
      <c r="M1" s="242"/>
    </row>
    <row r="2" spans="1:13" s="5" customFormat="1" x14ac:dyDescent="0.3">
      <c r="A2" s="243" t="s">
        <v>203</v>
      </c>
      <c r="B2" s="243"/>
      <c r="C2" s="243"/>
      <c r="D2" s="243"/>
      <c r="E2" s="243"/>
      <c r="F2" s="243"/>
      <c r="G2" s="243"/>
      <c r="H2" s="243"/>
      <c r="I2" s="243"/>
      <c r="J2" s="243"/>
      <c r="K2" s="243"/>
      <c r="L2" s="243"/>
      <c r="M2" s="243"/>
    </row>
    <row r="3" spans="1:13" s="5" customFormat="1" x14ac:dyDescent="0.3">
      <c r="A3" s="244" t="s">
        <v>8</v>
      </c>
      <c r="B3" s="247" t="s">
        <v>9</v>
      </c>
      <c r="C3" s="250" t="s">
        <v>64</v>
      </c>
      <c r="D3" s="51"/>
      <c r="E3" s="253" t="s">
        <v>5</v>
      </c>
      <c r="F3" s="247" t="s">
        <v>82</v>
      </c>
      <c r="G3" s="256" t="s">
        <v>86</v>
      </c>
      <c r="H3" s="257"/>
      <c r="I3" s="257"/>
      <c r="J3" s="257"/>
      <c r="K3" s="257"/>
      <c r="L3" s="258"/>
      <c r="M3" s="247" t="s">
        <v>10</v>
      </c>
    </row>
    <row r="4" spans="1:13" s="5" customFormat="1" x14ac:dyDescent="0.3">
      <c r="A4" s="245"/>
      <c r="B4" s="248"/>
      <c r="C4" s="251"/>
      <c r="D4" s="44" t="s">
        <v>48</v>
      </c>
      <c r="E4" s="254"/>
      <c r="F4" s="248"/>
      <c r="G4" s="244" t="s">
        <v>83</v>
      </c>
      <c r="H4" s="247" t="s">
        <v>84</v>
      </c>
      <c r="I4" s="45" t="s">
        <v>87</v>
      </c>
      <c r="J4" s="247" t="s">
        <v>85</v>
      </c>
      <c r="K4" s="45" t="s">
        <v>89</v>
      </c>
      <c r="L4" s="47" t="s">
        <v>91</v>
      </c>
      <c r="M4" s="248"/>
    </row>
    <row r="5" spans="1:13" s="5" customFormat="1" x14ac:dyDescent="0.3">
      <c r="A5" s="246"/>
      <c r="B5" s="249"/>
      <c r="C5" s="252"/>
      <c r="D5" s="52" t="s">
        <v>49</v>
      </c>
      <c r="E5" s="255"/>
      <c r="F5" s="249"/>
      <c r="G5" s="246"/>
      <c r="H5" s="249"/>
      <c r="I5" s="46" t="s">
        <v>88</v>
      </c>
      <c r="J5" s="249"/>
      <c r="K5" s="46" t="s">
        <v>90</v>
      </c>
      <c r="L5" s="48" t="s">
        <v>92</v>
      </c>
      <c r="M5" s="249"/>
    </row>
    <row r="6" spans="1:13" s="5" customFormat="1" ht="19.5" customHeight="1" x14ac:dyDescent="0.5">
      <c r="A6" s="10">
        <v>1</v>
      </c>
      <c r="B6" s="15" t="s">
        <v>102</v>
      </c>
      <c r="C6" s="10" t="s">
        <v>103</v>
      </c>
      <c r="D6" s="12" t="s">
        <v>104</v>
      </c>
      <c r="E6" s="21">
        <v>10900</v>
      </c>
      <c r="F6" s="53" t="s">
        <v>109</v>
      </c>
      <c r="G6" s="62" t="s">
        <v>114</v>
      </c>
      <c r="H6" s="8"/>
      <c r="I6" s="9"/>
      <c r="J6" s="9"/>
      <c r="K6" s="9"/>
      <c r="L6" s="9"/>
      <c r="M6" s="53"/>
    </row>
    <row r="7" spans="1:13" s="5" customFormat="1" ht="19.5" customHeight="1" x14ac:dyDescent="0.5">
      <c r="A7" s="10">
        <v>2</v>
      </c>
      <c r="B7" s="15" t="s">
        <v>105</v>
      </c>
      <c r="C7" s="10" t="s">
        <v>106</v>
      </c>
      <c r="D7" s="12" t="s">
        <v>104</v>
      </c>
      <c r="E7" s="21">
        <v>5000</v>
      </c>
      <c r="F7" s="53" t="s">
        <v>109</v>
      </c>
      <c r="G7" s="62" t="s">
        <v>114</v>
      </c>
      <c r="H7" s="8"/>
      <c r="I7" s="9"/>
      <c r="J7" s="9"/>
      <c r="K7" s="9"/>
      <c r="L7" s="9"/>
      <c r="M7" s="53"/>
    </row>
    <row r="8" spans="1:13" s="5" customFormat="1" ht="19.5" customHeight="1" x14ac:dyDescent="0.5">
      <c r="A8" s="10">
        <v>3</v>
      </c>
      <c r="B8" s="15" t="s">
        <v>107</v>
      </c>
      <c r="C8" s="10" t="s">
        <v>108</v>
      </c>
      <c r="D8" s="12" t="s">
        <v>104</v>
      </c>
      <c r="E8" s="21">
        <v>8400</v>
      </c>
      <c r="F8" s="53" t="s">
        <v>13</v>
      </c>
      <c r="G8" s="64" t="s">
        <v>114</v>
      </c>
      <c r="H8" s="72"/>
      <c r="I8" s="49"/>
      <c r="J8" s="49"/>
      <c r="K8" s="9"/>
      <c r="L8" s="9"/>
      <c r="M8" s="53"/>
    </row>
    <row r="9" spans="1:13" s="5" customFormat="1" ht="19.5" customHeight="1" x14ac:dyDescent="0.5">
      <c r="A9" s="10">
        <v>4</v>
      </c>
      <c r="B9" s="15" t="s">
        <v>145</v>
      </c>
      <c r="C9" s="10" t="s">
        <v>218</v>
      </c>
      <c r="D9" s="12" t="s">
        <v>147</v>
      </c>
      <c r="E9" s="21">
        <v>3300</v>
      </c>
      <c r="F9" s="53" t="s">
        <v>13</v>
      </c>
      <c r="G9" s="64" t="s">
        <v>114</v>
      </c>
      <c r="H9" s="72"/>
      <c r="I9" s="49"/>
      <c r="J9" s="49"/>
      <c r="K9" s="9"/>
      <c r="L9" s="9"/>
      <c r="M9" s="53"/>
    </row>
    <row r="10" spans="1:13" s="5" customFormat="1" ht="19.5" customHeight="1" x14ac:dyDescent="0.5">
      <c r="A10" s="63"/>
      <c r="B10" s="59" t="s">
        <v>146</v>
      </c>
      <c r="C10" s="60"/>
      <c r="D10" s="97"/>
      <c r="E10" s="61"/>
      <c r="F10" s="53"/>
      <c r="G10" s="64"/>
      <c r="H10" s="72"/>
      <c r="I10" s="49"/>
      <c r="J10" s="49"/>
      <c r="K10" s="9"/>
      <c r="L10" s="9"/>
      <c r="M10" s="53"/>
    </row>
    <row r="11" spans="1:13" s="111" customFormat="1" ht="19.5" customHeight="1" x14ac:dyDescent="0.5">
      <c r="A11" s="102">
        <v>5</v>
      </c>
      <c r="B11" s="103" t="s">
        <v>181</v>
      </c>
      <c r="C11" s="102" t="s">
        <v>182</v>
      </c>
      <c r="D11" s="104" t="s">
        <v>196</v>
      </c>
      <c r="E11" s="105">
        <v>12710</v>
      </c>
      <c r="F11" s="106" t="s">
        <v>98</v>
      </c>
      <c r="G11" s="107" t="s">
        <v>114</v>
      </c>
      <c r="H11" s="108"/>
      <c r="I11" s="109"/>
      <c r="J11" s="109"/>
      <c r="K11" s="109"/>
      <c r="L11" s="109"/>
      <c r="M11" s="110"/>
    </row>
    <row r="12" spans="1:13" s="111" customFormat="1" ht="19.5" customHeight="1" x14ac:dyDescent="0.5">
      <c r="A12" s="102"/>
      <c r="B12" s="103" t="s">
        <v>183</v>
      </c>
      <c r="C12" s="102"/>
      <c r="D12" s="104"/>
      <c r="E12" s="105"/>
      <c r="F12" s="106"/>
      <c r="G12" s="107"/>
      <c r="H12" s="108"/>
      <c r="I12" s="109"/>
      <c r="J12" s="109"/>
      <c r="K12" s="109"/>
      <c r="L12" s="109"/>
      <c r="M12" s="110"/>
    </row>
    <row r="13" spans="1:13" s="111" customFormat="1" ht="19.5" customHeight="1" x14ac:dyDescent="0.5">
      <c r="A13" s="102">
        <v>6</v>
      </c>
      <c r="B13" s="103" t="s">
        <v>200</v>
      </c>
      <c r="C13" s="102" t="s">
        <v>184</v>
      </c>
      <c r="D13" s="104" t="s">
        <v>196</v>
      </c>
      <c r="E13" s="105">
        <v>3790</v>
      </c>
      <c r="F13" s="106" t="s">
        <v>98</v>
      </c>
      <c r="G13" s="107" t="s">
        <v>114</v>
      </c>
      <c r="H13" s="108"/>
      <c r="I13" s="109"/>
      <c r="J13" s="109"/>
      <c r="K13" s="109"/>
      <c r="L13" s="109"/>
      <c r="M13" s="110"/>
    </row>
    <row r="14" spans="1:13" s="111" customFormat="1" ht="19.5" customHeight="1" x14ac:dyDescent="0.5">
      <c r="A14" s="102"/>
      <c r="B14" s="103" t="s">
        <v>199</v>
      </c>
      <c r="C14" s="102"/>
      <c r="D14" s="104"/>
      <c r="E14" s="105"/>
      <c r="F14" s="106"/>
      <c r="G14" s="107"/>
      <c r="H14" s="108"/>
      <c r="I14" s="109"/>
      <c r="J14" s="109"/>
      <c r="K14" s="109"/>
      <c r="L14" s="109"/>
      <c r="M14" s="110"/>
    </row>
    <row r="15" spans="1:13" s="111" customFormat="1" ht="19.5" customHeight="1" x14ac:dyDescent="0.5">
      <c r="A15" s="102">
        <v>7</v>
      </c>
      <c r="B15" s="103" t="s">
        <v>181</v>
      </c>
      <c r="C15" s="102" t="s">
        <v>185</v>
      </c>
      <c r="D15" s="104" t="s">
        <v>196</v>
      </c>
      <c r="E15" s="105">
        <v>12710</v>
      </c>
      <c r="F15" s="112" t="s">
        <v>197</v>
      </c>
      <c r="G15" s="107" t="s">
        <v>114</v>
      </c>
      <c r="H15" s="108"/>
      <c r="I15" s="109"/>
      <c r="J15" s="109"/>
      <c r="K15" s="109"/>
      <c r="L15" s="109"/>
      <c r="M15" s="110"/>
    </row>
    <row r="16" spans="1:13" s="111" customFormat="1" ht="19.5" customHeight="1" x14ac:dyDescent="0.45">
      <c r="A16" s="102"/>
      <c r="B16" s="103" t="s">
        <v>183</v>
      </c>
      <c r="C16" s="102"/>
      <c r="D16" s="104"/>
      <c r="E16" s="105"/>
      <c r="F16" s="112"/>
      <c r="G16" s="113"/>
      <c r="H16" s="108"/>
      <c r="I16" s="109"/>
      <c r="J16" s="109"/>
      <c r="K16" s="109"/>
      <c r="L16" s="109"/>
      <c r="M16" s="110"/>
    </row>
    <row r="17" spans="1:13" s="111" customFormat="1" ht="19.5" customHeight="1" x14ac:dyDescent="0.5">
      <c r="A17" s="102">
        <v>8</v>
      </c>
      <c r="B17" s="103" t="s">
        <v>202</v>
      </c>
      <c r="C17" s="102" t="s">
        <v>186</v>
      </c>
      <c r="D17" s="104" t="s">
        <v>196</v>
      </c>
      <c r="E17" s="105">
        <v>3790</v>
      </c>
      <c r="F17" s="112" t="s">
        <v>197</v>
      </c>
      <c r="G17" s="107" t="s">
        <v>114</v>
      </c>
      <c r="H17" s="108"/>
      <c r="I17" s="109"/>
      <c r="J17" s="109"/>
      <c r="K17" s="109"/>
      <c r="L17" s="109"/>
      <c r="M17" s="110"/>
    </row>
    <row r="18" spans="1:13" s="111" customFormat="1" ht="19.5" customHeight="1" x14ac:dyDescent="0.5">
      <c r="A18" s="102"/>
      <c r="B18" s="103" t="s">
        <v>201</v>
      </c>
      <c r="C18" s="102"/>
      <c r="D18" s="104"/>
      <c r="E18" s="105"/>
      <c r="F18" s="106"/>
      <c r="G18" s="107"/>
      <c r="H18" s="108"/>
      <c r="I18" s="109"/>
      <c r="J18" s="109"/>
      <c r="K18" s="109"/>
      <c r="L18" s="109"/>
      <c r="M18" s="110"/>
    </row>
    <row r="19" spans="1:13" s="111" customFormat="1" ht="19.5" customHeight="1" x14ac:dyDescent="0.5">
      <c r="A19" s="102">
        <v>9</v>
      </c>
      <c r="B19" s="103" t="s">
        <v>181</v>
      </c>
      <c r="C19" s="102" t="s">
        <v>187</v>
      </c>
      <c r="D19" s="104" t="s">
        <v>196</v>
      </c>
      <c r="E19" s="105">
        <v>12710</v>
      </c>
      <c r="F19" s="106" t="s">
        <v>13</v>
      </c>
      <c r="G19" s="107" t="s">
        <v>114</v>
      </c>
      <c r="H19" s="108"/>
      <c r="I19" s="109"/>
      <c r="J19" s="109"/>
      <c r="K19" s="109"/>
      <c r="L19" s="109"/>
      <c r="M19" s="110"/>
    </row>
    <row r="20" spans="1:13" s="111" customFormat="1" ht="19.5" customHeight="1" x14ac:dyDescent="0.5">
      <c r="A20" s="102"/>
      <c r="B20" s="103" t="s">
        <v>183</v>
      </c>
      <c r="C20" s="102"/>
      <c r="D20" s="104"/>
      <c r="E20" s="105"/>
      <c r="F20" s="106"/>
      <c r="G20" s="107"/>
      <c r="H20" s="108"/>
      <c r="I20" s="109"/>
      <c r="J20" s="109"/>
      <c r="K20" s="109"/>
      <c r="L20" s="109"/>
      <c r="M20" s="110"/>
    </row>
    <row r="21" spans="1:13" s="111" customFormat="1" ht="19.5" customHeight="1" x14ac:dyDescent="0.5">
      <c r="A21" s="102">
        <v>10</v>
      </c>
      <c r="B21" s="103" t="s">
        <v>202</v>
      </c>
      <c r="C21" s="102" t="s">
        <v>188</v>
      </c>
      <c r="D21" s="104" t="s">
        <v>196</v>
      </c>
      <c r="E21" s="105">
        <v>3790</v>
      </c>
      <c r="F21" s="106" t="s">
        <v>13</v>
      </c>
      <c r="G21" s="107" t="s">
        <v>114</v>
      </c>
      <c r="H21" s="108"/>
      <c r="I21" s="109"/>
      <c r="J21" s="109"/>
      <c r="K21" s="109"/>
      <c r="L21" s="109"/>
      <c r="M21" s="110"/>
    </row>
    <row r="22" spans="1:13" s="111" customFormat="1" ht="19.5" customHeight="1" x14ac:dyDescent="0.5">
      <c r="A22" s="102"/>
      <c r="B22" s="103" t="s">
        <v>199</v>
      </c>
      <c r="C22" s="102"/>
      <c r="D22" s="104"/>
      <c r="E22" s="105"/>
      <c r="F22" s="106"/>
      <c r="G22" s="107"/>
      <c r="H22" s="108"/>
      <c r="I22" s="109"/>
      <c r="J22" s="109"/>
      <c r="K22" s="109"/>
      <c r="L22" s="109"/>
      <c r="M22" s="110"/>
    </row>
    <row r="23" spans="1:13" s="111" customFormat="1" ht="19.5" customHeight="1" x14ac:dyDescent="0.5">
      <c r="A23" s="102">
        <v>11</v>
      </c>
      <c r="B23" s="103" t="s">
        <v>181</v>
      </c>
      <c r="C23" s="102" t="s">
        <v>209</v>
      </c>
      <c r="D23" s="104" t="s">
        <v>196</v>
      </c>
      <c r="E23" s="105">
        <v>12710</v>
      </c>
      <c r="F23" s="106" t="s">
        <v>259</v>
      </c>
      <c r="G23" s="107" t="s">
        <v>114</v>
      </c>
      <c r="H23" s="108"/>
      <c r="I23" s="109"/>
      <c r="J23" s="109"/>
      <c r="K23" s="109"/>
      <c r="L23" s="109"/>
      <c r="M23" s="110"/>
    </row>
    <row r="24" spans="1:13" s="111" customFormat="1" ht="19.5" customHeight="1" x14ac:dyDescent="0.5">
      <c r="A24" s="102"/>
      <c r="B24" s="103" t="s">
        <v>183</v>
      </c>
      <c r="C24" s="102"/>
      <c r="D24" s="104"/>
      <c r="E24" s="105"/>
      <c r="F24" s="106"/>
      <c r="G24" s="107"/>
      <c r="H24" s="108"/>
      <c r="I24" s="109"/>
      <c r="J24" s="109"/>
      <c r="K24" s="109"/>
      <c r="L24" s="109"/>
      <c r="M24" s="110"/>
    </row>
    <row r="25" spans="1:13" s="111" customFormat="1" ht="19.5" customHeight="1" x14ac:dyDescent="0.5">
      <c r="A25" s="102"/>
      <c r="B25" s="103"/>
      <c r="C25" s="102"/>
      <c r="D25" s="104"/>
      <c r="E25" s="105"/>
      <c r="F25" s="106"/>
      <c r="G25" s="107"/>
      <c r="H25" s="108"/>
      <c r="I25" s="109"/>
      <c r="J25" s="109"/>
      <c r="K25" s="109"/>
      <c r="L25" s="109"/>
      <c r="M25" s="110"/>
    </row>
    <row r="26" spans="1:13" s="111" customFormat="1" ht="19.5" customHeight="1" x14ac:dyDescent="0.5">
      <c r="A26" s="102">
        <v>12</v>
      </c>
      <c r="B26" s="103" t="s">
        <v>200</v>
      </c>
      <c r="C26" s="102" t="s">
        <v>210</v>
      </c>
      <c r="D26" s="104" t="s">
        <v>196</v>
      </c>
      <c r="E26" s="105">
        <v>3790</v>
      </c>
      <c r="F26" s="106" t="s">
        <v>259</v>
      </c>
      <c r="G26" s="107" t="s">
        <v>114</v>
      </c>
      <c r="H26" s="108"/>
      <c r="I26" s="109"/>
      <c r="J26" s="109"/>
      <c r="K26" s="109"/>
      <c r="L26" s="109"/>
      <c r="M26" s="110"/>
    </row>
    <row r="27" spans="1:13" s="111" customFormat="1" ht="19.5" customHeight="1" x14ac:dyDescent="0.5">
      <c r="A27" s="102"/>
      <c r="B27" s="103" t="s">
        <v>201</v>
      </c>
      <c r="C27" s="102"/>
      <c r="D27" s="104"/>
      <c r="E27" s="105"/>
      <c r="F27" s="106"/>
      <c r="G27" s="107"/>
      <c r="H27" s="108"/>
      <c r="I27" s="109"/>
      <c r="J27" s="109"/>
      <c r="K27" s="109"/>
      <c r="L27" s="109"/>
      <c r="M27" s="110"/>
    </row>
    <row r="28" spans="1:13" s="111" customFormat="1" ht="19.5" customHeight="1" x14ac:dyDescent="0.5">
      <c r="A28" s="102">
        <v>13</v>
      </c>
      <c r="B28" s="103" t="s">
        <v>189</v>
      </c>
      <c r="C28" s="102" t="s">
        <v>190</v>
      </c>
      <c r="D28" s="104" t="s">
        <v>196</v>
      </c>
      <c r="E28" s="105">
        <v>7000</v>
      </c>
      <c r="F28" s="106" t="s">
        <v>109</v>
      </c>
      <c r="G28" s="107" t="s">
        <v>114</v>
      </c>
      <c r="H28" s="108"/>
      <c r="I28" s="109"/>
      <c r="J28" s="109"/>
      <c r="K28" s="109"/>
      <c r="L28" s="109"/>
      <c r="M28" s="110"/>
    </row>
    <row r="29" spans="1:13" s="111" customFormat="1" ht="19.5" customHeight="1" x14ac:dyDescent="0.5">
      <c r="A29" s="102"/>
      <c r="B29" s="103" t="s">
        <v>205</v>
      </c>
      <c r="C29" s="102"/>
      <c r="D29" s="104"/>
      <c r="E29" s="105"/>
      <c r="F29" s="106"/>
      <c r="G29" s="107"/>
      <c r="H29" s="108"/>
      <c r="I29" s="109"/>
      <c r="J29" s="109"/>
      <c r="K29" s="109"/>
      <c r="L29" s="109"/>
      <c r="M29" s="110"/>
    </row>
    <row r="30" spans="1:13" s="111" customFormat="1" ht="19.5" customHeight="1" x14ac:dyDescent="0.5">
      <c r="A30" s="102"/>
      <c r="B30" s="103" t="s">
        <v>204</v>
      </c>
      <c r="C30" s="102"/>
      <c r="D30" s="104"/>
      <c r="E30" s="105"/>
      <c r="F30" s="106"/>
      <c r="G30" s="107"/>
      <c r="H30" s="108"/>
      <c r="I30" s="109"/>
      <c r="J30" s="109"/>
      <c r="K30" s="109"/>
      <c r="L30" s="109"/>
      <c r="M30" s="110"/>
    </row>
    <row r="31" spans="1:13" s="111" customFormat="1" ht="19.5" customHeight="1" x14ac:dyDescent="0.5">
      <c r="A31" s="102">
        <v>14</v>
      </c>
      <c r="B31" s="103" t="s">
        <v>189</v>
      </c>
      <c r="C31" s="102" t="s">
        <v>191</v>
      </c>
      <c r="D31" s="104" t="s">
        <v>196</v>
      </c>
      <c r="E31" s="105">
        <v>7000</v>
      </c>
      <c r="F31" s="112" t="s">
        <v>197</v>
      </c>
      <c r="G31" s="107" t="s">
        <v>114</v>
      </c>
      <c r="H31" s="108"/>
      <c r="I31" s="109"/>
      <c r="J31" s="109"/>
      <c r="K31" s="109"/>
      <c r="L31" s="109"/>
      <c r="M31" s="110"/>
    </row>
    <row r="32" spans="1:13" s="111" customFormat="1" ht="19.5" customHeight="1" x14ac:dyDescent="0.5">
      <c r="A32" s="102"/>
      <c r="B32" s="103" t="s">
        <v>205</v>
      </c>
      <c r="C32" s="102"/>
      <c r="D32" s="104"/>
      <c r="E32" s="105"/>
      <c r="F32" s="106"/>
      <c r="G32" s="107"/>
      <c r="H32" s="108"/>
      <c r="I32" s="109"/>
      <c r="J32" s="109"/>
      <c r="K32" s="109"/>
      <c r="L32" s="109"/>
      <c r="M32" s="110"/>
    </row>
    <row r="33" spans="1:13" s="111" customFormat="1" ht="19.5" customHeight="1" x14ac:dyDescent="0.5">
      <c r="A33" s="102"/>
      <c r="B33" s="103" t="s">
        <v>204</v>
      </c>
      <c r="C33" s="102"/>
      <c r="D33" s="104"/>
      <c r="E33" s="105"/>
      <c r="F33" s="106"/>
      <c r="G33" s="107"/>
      <c r="H33" s="108"/>
      <c r="I33" s="109"/>
      <c r="J33" s="109"/>
      <c r="K33" s="109"/>
      <c r="L33" s="109"/>
      <c r="M33" s="110"/>
    </row>
    <row r="34" spans="1:13" s="111" customFormat="1" ht="19.5" customHeight="1" x14ac:dyDescent="0.5">
      <c r="A34" s="102">
        <v>15</v>
      </c>
      <c r="B34" s="103" t="s">
        <v>212</v>
      </c>
      <c r="C34" s="102" t="s">
        <v>211</v>
      </c>
      <c r="D34" s="104" t="s">
        <v>196</v>
      </c>
      <c r="E34" s="105">
        <v>4000</v>
      </c>
      <c r="F34" s="106" t="s">
        <v>327</v>
      </c>
      <c r="G34" s="107" t="s">
        <v>114</v>
      </c>
      <c r="H34" s="108"/>
      <c r="I34" s="109"/>
      <c r="J34" s="109"/>
      <c r="K34" s="109"/>
      <c r="L34" s="109"/>
      <c r="M34" s="110"/>
    </row>
    <row r="35" spans="1:13" s="111" customFormat="1" ht="19.5" customHeight="1" x14ac:dyDescent="0.5">
      <c r="A35" s="102"/>
      <c r="B35" s="103" t="s">
        <v>213</v>
      </c>
      <c r="C35" s="102"/>
      <c r="D35" s="104"/>
      <c r="E35" s="105"/>
      <c r="F35" s="106"/>
      <c r="G35" s="107"/>
      <c r="H35" s="108"/>
      <c r="I35" s="109"/>
      <c r="J35" s="109"/>
      <c r="K35" s="109"/>
      <c r="L35" s="109"/>
      <c r="M35" s="110"/>
    </row>
    <row r="36" spans="1:13" s="111" customFormat="1" ht="19.5" customHeight="1" x14ac:dyDescent="0.5">
      <c r="A36" s="102">
        <v>16</v>
      </c>
      <c r="B36" s="103" t="s">
        <v>207</v>
      </c>
      <c r="C36" s="102" t="s">
        <v>214</v>
      </c>
      <c r="D36" s="104" t="s">
        <v>196</v>
      </c>
      <c r="E36" s="105">
        <v>3000</v>
      </c>
      <c r="F36" s="106" t="s">
        <v>215</v>
      </c>
      <c r="G36" s="107" t="s">
        <v>114</v>
      </c>
      <c r="H36" s="108"/>
      <c r="I36" s="109"/>
      <c r="J36" s="109"/>
      <c r="K36" s="109"/>
      <c r="L36" s="109"/>
      <c r="M36" s="110"/>
    </row>
    <row r="37" spans="1:13" s="111" customFormat="1" ht="19.5" customHeight="1" x14ac:dyDescent="0.5">
      <c r="A37" s="102"/>
      <c r="B37" s="103" t="s">
        <v>206</v>
      </c>
      <c r="C37" s="102"/>
      <c r="D37" s="104"/>
      <c r="E37" s="105"/>
      <c r="F37" s="106"/>
      <c r="G37" s="107"/>
      <c r="H37" s="108"/>
      <c r="I37" s="109"/>
      <c r="J37" s="109"/>
      <c r="K37" s="109"/>
      <c r="L37" s="109"/>
      <c r="M37" s="110"/>
    </row>
    <row r="38" spans="1:13" s="111" customFormat="1" ht="19.5" customHeight="1" x14ac:dyDescent="0.5">
      <c r="A38" s="102">
        <v>17</v>
      </c>
      <c r="B38" s="103" t="s">
        <v>207</v>
      </c>
      <c r="C38" s="102" t="s">
        <v>192</v>
      </c>
      <c r="D38" s="104" t="s">
        <v>196</v>
      </c>
      <c r="E38" s="105">
        <v>3000</v>
      </c>
      <c r="F38" s="106" t="s">
        <v>198</v>
      </c>
      <c r="G38" s="107" t="s">
        <v>114</v>
      </c>
      <c r="H38" s="108"/>
      <c r="I38" s="109"/>
      <c r="J38" s="109"/>
      <c r="K38" s="109"/>
      <c r="L38" s="109"/>
      <c r="M38" s="110"/>
    </row>
    <row r="39" spans="1:13" s="111" customFormat="1" ht="19.5" customHeight="1" x14ac:dyDescent="0.5">
      <c r="A39" s="102"/>
      <c r="B39" s="103" t="s">
        <v>206</v>
      </c>
      <c r="C39" s="102"/>
      <c r="D39" s="104"/>
      <c r="E39" s="105"/>
      <c r="F39" s="106"/>
      <c r="G39" s="107"/>
      <c r="H39" s="108"/>
      <c r="I39" s="109"/>
      <c r="J39" s="109"/>
      <c r="K39" s="109"/>
      <c r="L39" s="109"/>
      <c r="M39" s="110"/>
    </row>
    <row r="40" spans="1:13" s="111" customFormat="1" ht="19.5" customHeight="1" x14ac:dyDescent="0.5">
      <c r="A40" s="102">
        <v>18</v>
      </c>
      <c r="B40" s="103" t="s">
        <v>207</v>
      </c>
      <c r="C40" s="102" t="s">
        <v>193</v>
      </c>
      <c r="D40" s="104" t="s">
        <v>196</v>
      </c>
      <c r="E40" s="105">
        <v>3000</v>
      </c>
      <c r="F40" s="112" t="s">
        <v>197</v>
      </c>
      <c r="G40" s="107" t="s">
        <v>114</v>
      </c>
      <c r="H40" s="108"/>
      <c r="I40" s="109"/>
      <c r="J40" s="109"/>
      <c r="K40" s="109"/>
      <c r="L40" s="109"/>
      <c r="M40" s="110"/>
    </row>
    <row r="41" spans="1:13" s="111" customFormat="1" ht="19.5" customHeight="1" x14ac:dyDescent="0.5">
      <c r="A41" s="102"/>
      <c r="B41" s="103" t="s">
        <v>206</v>
      </c>
      <c r="C41" s="102"/>
      <c r="D41" s="104"/>
      <c r="E41" s="105"/>
      <c r="F41" s="106"/>
      <c r="G41" s="107"/>
      <c r="H41" s="108"/>
      <c r="I41" s="109"/>
      <c r="J41" s="109"/>
      <c r="K41" s="109"/>
      <c r="L41" s="109"/>
      <c r="M41" s="110"/>
    </row>
    <row r="42" spans="1:13" s="111" customFormat="1" ht="19.5" customHeight="1" x14ac:dyDescent="0.5">
      <c r="A42" s="102">
        <v>19</v>
      </c>
      <c r="B42" s="103" t="s">
        <v>208</v>
      </c>
      <c r="C42" s="102" t="s">
        <v>194</v>
      </c>
      <c r="D42" s="104" t="s">
        <v>196</v>
      </c>
      <c r="E42" s="105">
        <v>3000</v>
      </c>
      <c r="F42" s="106" t="s">
        <v>13</v>
      </c>
      <c r="G42" s="107" t="s">
        <v>114</v>
      </c>
      <c r="H42" s="108"/>
      <c r="I42" s="109"/>
      <c r="J42" s="109"/>
      <c r="K42" s="109"/>
      <c r="L42" s="109"/>
      <c r="M42" s="110"/>
    </row>
    <row r="43" spans="1:13" s="111" customFormat="1" ht="19.5" customHeight="1" x14ac:dyDescent="0.5">
      <c r="A43" s="102"/>
      <c r="B43" s="103" t="s">
        <v>206</v>
      </c>
      <c r="C43" s="102"/>
      <c r="D43" s="104"/>
      <c r="E43" s="105"/>
      <c r="F43" s="106"/>
      <c r="G43" s="107"/>
      <c r="H43" s="108"/>
      <c r="I43" s="109"/>
      <c r="J43" s="109"/>
      <c r="K43" s="109"/>
      <c r="L43" s="109"/>
      <c r="M43" s="110"/>
    </row>
    <row r="44" spans="1:13" s="111" customFormat="1" ht="19.5" customHeight="1" x14ac:dyDescent="0.5">
      <c r="A44" s="102">
        <v>20</v>
      </c>
      <c r="B44" s="103" t="s">
        <v>207</v>
      </c>
      <c r="C44" s="102" t="s">
        <v>195</v>
      </c>
      <c r="D44" s="104" t="s">
        <v>196</v>
      </c>
      <c r="E44" s="105">
        <v>3000</v>
      </c>
      <c r="F44" s="106" t="s">
        <v>338</v>
      </c>
      <c r="H44" s="107" t="s">
        <v>114</v>
      </c>
      <c r="I44" s="107"/>
      <c r="J44" s="109"/>
      <c r="K44" s="109"/>
      <c r="L44" s="109"/>
      <c r="M44" s="110"/>
    </row>
    <row r="45" spans="1:13" s="111" customFormat="1" ht="19.5" customHeight="1" x14ac:dyDescent="0.5">
      <c r="A45" s="102"/>
      <c r="B45" s="103" t="s">
        <v>206</v>
      </c>
      <c r="C45" s="102"/>
      <c r="D45" s="120"/>
      <c r="E45" s="121"/>
      <c r="F45" s="106"/>
      <c r="G45" s="107"/>
      <c r="H45" s="108"/>
      <c r="I45" s="109"/>
      <c r="J45" s="109"/>
      <c r="K45" s="109"/>
      <c r="L45" s="109"/>
      <c r="M45" s="110"/>
    </row>
    <row r="46" spans="1:13" ht="19.5" customHeight="1" thickBot="1" x14ac:dyDescent="0.35">
      <c r="A46" s="114"/>
      <c r="B46" s="115"/>
      <c r="C46" s="116"/>
      <c r="D46" s="40" t="s">
        <v>65</v>
      </c>
      <c r="E46" s="73">
        <f>SUM(E6:E45)</f>
        <v>126600</v>
      </c>
      <c r="F46" s="116"/>
      <c r="G46" s="117"/>
      <c r="H46" s="116"/>
      <c r="I46" s="118"/>
      <c r="J46" s="119"/>
      <c r="K46" s="119"/>
      <c r="L46" s="119"/>
      <c r="M46" s="119"/>
    </row>
    <row r="47" spans="1:13" ht="19.5" thickTop="1" x14ac:dyDescent="0.3">
      <c r="A47" s="27"/>
      <c r="B47" s="28"/>
      <c r="C47" s="6"/>
      <c r="D47" s="7"/>
      <c r="E47" s="42"/>
      <c r="F47" s="2"/>
    </row>
    <row r="48" spans="1:13" x14ac:dyDescent="0.3">
      <c r="D48" s="19"/>
      <c r="G48" s="43"/>
    </row>
    <row r="49" spans="4:4" x14ac:dyDescent="0.3">
      <c r="D49" s="19"/>
    </row>
    <row r="50" spans="4:4" x14ac:dyDescent="0.3">
      <c r="D50" s="19"/>
    </row>
    <row r="51" spans="4:4" x14ac:dyDescent="0.3">
      <c r="D51" s="19"/>
    </row>
  </sheetData>
  <mergeCells count="12">
    <mergeCell ref="A1:M1"/>
    <mergeCell ref="A2:M2"/>
    <mergeCell ref="A3:A5"/>
    <mergeCell ref="B3:B5"/>
    <mergeCell ref="C3:C5"/>
    <mergeCell ref="E3:E5"/>
    <mergeCell ref="F3:F5"/>
    <mergeCell ref="G3:L3"/>
    <mergeCell ref="M3:M5"/>
    <mergeCell ref="G4:G5"/>
    <mergeCell ref="H4:H5"/>
    <mergeCell ref="J4:J5"/>
  </mergeCells>
  <pageMargins left="0.15748031496062992" right="0.19685039370078741" top="0.74803149606299213" bottom="0.74803149606299213" header="0.31496062992125984" footer="0.31496062992125984"/>
  <pageSetup paperSize="9" orientation="landscape" horizontalDpi="4294967293" verticalDpi="360" r:id="rId1"/>
  <headerFooter differentFirst="1" scaleWithDoc="0" alignWithMargins="0">
    <oddHeader>&amp;C&amp;"TH SarabunPSK,ธรรมดา"&amp;14&amp;P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9"/>
  <sheetViews>
    <sheetView showWhiteSpace="0" view="pageLayout" zoomScaleNormal="89" workbookViewId="0">
      <selection activeCell="D22" sqref="D22"/>
    </sheetView>
  </sheetViews>
  <sheetFormatPr defaultColWidth="9" defaultRowHeight="18.75" x14ac:dyDescent="0.3"/>
  <cols>
    <col min="1" max="1" width="6.5" style="2" customWidth="1"/>
    <col min="2" max="2" width="33.125" style="1" customWidth="1"/>
    <col min="3" max="3" width="13.125" style="2" customWidth="1"/>
    <col min="4" max="4" width="12.375" style="3" customWidth="1"/>
    <col min="5" max="5" width="10.375" style="1" customWidth="1"/>
    <col min="6" max="6" width="14.5" style="1" bestFit="1" customWidth="1"/>
    <col min="7" max="7" width="4.625" style="1" customWidth="1"/>
    <col min="8" max="8" width="4.75" style="1" customWidth="1"/>
    <col min="9" max="9" width="5.375" style="1" customWidth="1"/>
    <col min="10" max="10" width="6.25" style="1" customWidth="1"/>
    <col min="11" max="11" width="5.875" style="1" customWidth="1"/>
    <col min="12" max="12" width="8" style="1" customWidth="1"/>
    <col min="13" max="13" width="9.625" style="1" customWidth="1"/>
    <col min="14" max="16384" width="9" style="1"/>
  </cols>
  <sheetData>
    <row r="1" spans="1:13" s="5" customFormat="1" x14ac:dyDescent="0.3">
      <c r="A1" s="242" t="s">
        <v>347</v>
      </c>
      <c r="B1" s="242"/>
      <c r="C1" s="242"/>
      <c r="D1" s="242"/>
      <c r="E1" s="242"/>
      <c r="F1" s="242"/>
      <c r="G1" s="242"/>
      <c r="H1" s="242"/>
      <c r="I1" s="242"/>
      <c r="J1" s="242"/>
      <c r="K1" s="242"/>
      <c r="L1" s="242"/>
      <c r="M1" s="242"/>
    </row>
    <row r="2" spans="1:13" s="5" customFormat="1" x14ac:dyDescent="0.3">
      <c r="A2" s="243" t="s">
        <v>203</v>
      </c>
      <c r="B2" s="243"/>
      <c r="C2" s="243"/>
      <c r="D2" s="243"/>
      <c r="E2" s="243"/>
      <c r="F2" s="243"/>
      <c r="G2" s="243"/>
      <c r="H2" s="243"/>
      <c r="I2" s="243"/>
      <c r="J2" s="243"/>
      <c r="K2" s="243"/>
      <c r="L2" s="243"/>
      <c r="M2" s="243"/>
    </row>
    <row r="3" spans="1:13" s="5" customFormat="1" x14ac:dyDescent="0.3">
      <c r="A3" s="244" t="s">
        <v>8</v>
      </c>
      <c r="B3" s="247" t="s">
        <v>9</v>
      </c>
      <c r="C3" s="250" t="s">
        <v>64</v>
      </c>
      <c r="D3" s="51"/>
      <c r="E3" s="253" t="s">
        <v>5</v>
      </c>
      <c r="F3" s="247" t="s">
        <v>82</v>
      </c>
      <c r="G3" s="256" t="s">
        <v>86</v>
      </c>
      <c r="H3" s="257"/>
      <c r="I3" s="257"/>
      <c r="J3" s="257"/>
      <c r="K3" s="257"/>
      <c r="L3" s="258"/>
      <c r="M3" s="247" t="s">
        <v>10</v>
      </c>
    </row>
    <row r="4" spans="1:13" s="5" customFormat="1" x14ac:dyDescent="0.3">
      <c r="A4" s="245"/>
      <c r="B4" s="248"/>
      <c r="C4" s="251"/>
      <c r="D4" s="44" t="s">
        <v>48</v>
      </c>
      <c r="E4" s="254"/>
      <c r="F4" s="248"/>
      <c r="G4" s="244" t="s">
        <v>83</v>
      </c>
      <c r="H4" s="247" t="s">
        <v>84</v>
      </c>
      <c r="I4" s="45" t="s">
        <v>87</v>
      </c>
      <c r="J4" s="247" t="s">
        <v>85</v>
      </c>
      <c r="K4" s="45" t="s">
        <v>89</v>
      </c>
      <c r="L4" s="47" t="s">
        <v>91</v>
      </c>
      <c r="M4" s="248"/>
    </row>
    <row r="5" spans="1:13" s="5" customFormat="1" x14ac:dyDescent="0.3">
      <c r="A5" s="246"/>
      <c r="B5" s="249"/>
      <c r="C5" s="252"/>
      <c r="D5" s="52" t="s">
        <v>49</v>
      </c>
      <c r="E5" s="255"/>
      <c r="F5" s="249"/>
      <c r="G5" s="246"/>
      <c r="H5" s="249"/>
      <c r="I5" s="46" t="s">
        <v>88</v>
      </c>
      <c r="J5" s="249"/>
      <c r="K5" s="46" t="s">
        <v>90</v>
      </c>
      <c r="L5" s="48" t="s">
        <v>92</v>
      </c>
      <c r="M5" s="249"/>
    </row>
    <row r="6" spans="1:13" x14ac:dyDescent="0.3">
      <c r="A6" s="25"/>
      <c r="B6" s="24" t="s">
        <v>67</v>
      </c>
      <c r="C6" s="25"/>
      <c r="D6" s="33"/>
      <c r="E6" s="25"/>
      <c r="F6" s="34"/>
      <c r="G6" s="34"/>
      <c r="H6" s="35"/>
      <c r="I6" s="35"/>
      <c r="J6" s="35"/>
      <c r="K6" s="35"/>
      <c r="L6" s="35"/>
      <c r="M6" s="35"/>
    </row>
    <row r="7" spans="1:13" s="5" customFormat="1" ht="21.75" x14ac:dyDescent="0.5">
      <c r="A7" s="11">
        <v>1</v>
      </c>
      <c r="B7" s="9" t="s">
        <v>56</v>
      </c>
      <c r="C7" s="11" t="s">
        <v>57</v>
      </c>
      <c r="D7" s="20" t="s">
        <v>2</v>
      </c>
      <c r="E7" s="66">
        <v>3200</v>
      </c>
      <c r="F7" s="54" t="s">
        <v>113</v>
      </c>
      <c r="G7" s="62" t="s">
        <v>114</v>
      </c>
      <c r="H7" s="16"/>
      <c r="I7" s="9"/>
      <c r="J7" s="9"/>
      <c r="K7" s="9"/>
      <c r="L7" s="9"/>
      <c r="M7" s="54"/>
    </row>
    <row r="8" spans="1:13" ht="19.5" thickBot="1" x14ac:dyDescent="0.35">
      <c r="A8" s="26"/>
      <c r="B8" s="26"/>
      <c r="C8" s="26"/>
      <c r="D8" s="70" t="s">
        <v>65</v>
      </c>
      <c r="E8" s="71">
        <f>SUM(E7)</f>
        <v>3200</v>
      </c>
      <c r="F8" s="55"/>
      <c r="G8" s="18"/>
      <c r="H8" s="26"/>
      <c r="I8" s="14"/>
      <c r="J8" s="14"/>
      <c r="K8" s="14"/>
      <c r="L8" s="14"/>
      <c r="M8" s="55"/>
    </row>
    <row r="9" spans="1:13" ht="19.5" thickTop="1" x14ac:dyDescent="0.3">
      <c r="A9" s="26"/>
      <c r="B9" s="26"/>
      <c r="C9" s="26"/>
      <c r="D9" s="68"/>
      <c r="E9" s="69"/>
      <c r="F9" s="55"/>
      <c r="G9" s="18"/>
      <c r="H9" s="26"/>
      <c r="I9" s="14"/>
      <c r="J9" s="14"/>
      <c r="K9" s="14"/>
      <c r="L9" s="14"/>
      <c r="M9" s="55"/>
    </row>
    <row r="10" spans="1:13" x14ac:dyDescent="0.3">
      <c r="A10" s="26"/>
      <c r="B10" s="37" t="s">
        <v>69</v>
      </c>
      <c r="C10" s="26"/>
      <c r="D10" s="29"/>
      <c r="E10" s="36"/>
      <c r="F10" s="55"/>
      <c r="G10" s="18"/>
      <c r="H10" s="26"/>
      <c r="I10" s="14"/>
      <c r="J10" s="14"/>
      <c r="K10" s="14"/>
      <c r="L10" s="14"/>
      <c r="M10" s="55"/>
    </row>
    <row r="11" spans="1:13" s="5" customFormat="1" ht="21.75" x14ac:dyDescent="0.5">
      <c r="A11" s="11">
        <v>2</v>
      </c>
      <c r="B11" s="9" t="s">
        <v>60</v>
      </c>
      <c r="C11" s="11" t="s">
        <v>58</v>
      </c>
      <c r="D11" s="13" t="s">
        <v>4</v>
      </c>
      <c r="E11" s="22">
        <v>3500</v>
      </c>
      <c r="F11" s="54" t="s">
        <v>13</v>
      </c>
      <c r="G11" s="62"/>
      <c r="H11" s="16"/>
      <c r="I11" s="62" t="s">
        <v>114</v>
      </c>
      <c r="J11" s="9"/>
      <c r="K11" s="9"/>
      <c r="L11" s="9"/>
      <c r="M11" s="54"/>
    </row>
    <row r="12" spans="1:13" s="5" customFormat="1" x14ac:dyDescent="0.3">
      <c r="A12" s="11"/>
      <c r="B12" s="9" t="s">
        <v>59</v>
      </c>
      <c r="C12" s="11"/>
      <c r="D12" s="58"/>
      <c r="E12" s="66"/>
      <c r="F12" s="54"/>
      <c r="G12" s="11"/>
      <c r="H12" s="16"/>
      <c r="I12" s="9"/>
      <c r="J12" s="9"/>
      <c r="K12" s="9"/>
      <c r="L12" s="9"/>
      <c r="M12" s="54"/>
    </row>
    <row r="13" spans="1:13" s="30" customFormat="1" ht="19.5" thickBot="1" x14ac:dyDescent="0.35">
      <c r="A13" s="11"/>
      <c r="B13" s="9"/>
      <c r="C13" s="11"/>
      <c r="D13" s="65" t="s">
        <v>65</v>
      </c>
      <c r="E13" s="41">
        <f>SUM(E11:E12)</f>
        <v>3500</v>
      </c>
      <c r="F13" s="56"/>
      <c r="G13" s="17"/>
      <c r="H13" s="17"/>
      <c r="I13" s="17"/>
      <c r="J13" s="17"/>
      <c r="K13" s="17"/>
      <c r="L13" s="17"/>
      <c r="M13" s="56"/>
    </row>
    <row r="14" spans="1:13" s="30" customFormat="1" ht="19.5" thickTop="1" x14ac:dyDescent="0.3">
      <c r="A14" s="11"/>
      <c r="B14" s="9"/>
      <c r="C14" s="11"/>
      <c r="D14" s="11"/>
      <c r="E14" s="11"/>
      <c r="F14" s="56"/>
      <c r="G14" s="17"/>
      <c r="H14" s="17"/>
      <c r="I14" s="17"/>
      <c r="J14" s="17"/>
      <c r="K14" s="17"/>
      <c r="L14" s="17"/>
      <c r="M14" s="56"/>
    </row>
    <row r="15" spans="1:13" s="5" customFormat="1" x14ac:dyDescent="0.3">
      <c r="A15" s="50"/>
      <c r="B15" s="99" t="s">
        <v>76</v>
      </c>
      <c r="C15" s="50"/>
      <c r="D15" s="100"/>
      <c r="E15" s="67"/>
      <c r="F15" s="50"/>
      <c r="G15" s="50"/>
      <c r="H15" s="49"/>
      <c r="I15" s="49"/>
      <c r="J15" s="49"/>
      <c r="K15" s="49"/>
      <c r="L15" s="49"/>
      <c r="M15" s="101"/>
    </row>
    <row r="16" spans="1:13" s="5" customFormat="1" ht="21.75" x14ac:dyDescent="0.5">
      <c r="A16" s="11">
        <v>1</v>
      </c>
      <c r="B16" s="9" t="s">
        <v>0</v>
      </c>
      <c r="C16" s="11" t="s">
        <v>1</v>
      </c>
      <c r="D16" s="13" t="s">
        <v>3</v>
      </c>
      <c r="E16" s="22">
        <v>3900</v>
      </c>
      <c r="F16" s="54" t="s">
        <v>75</v>
      </c>
      <c r="G16" s="62" t="s">
        <v>114</v>
      </c>
      <c r="H16" s="16"/>
      <c r="I16" s="9"/>
      <c r="J16" s="9"/>
      <c r="K16" s="9"/>
      <c r="L16" s="9"/>
      <c r="M16" s="54"/>
    </row>
    <row r="17" spans="1:13" s="5" customFormat="1" ht="21.75" x14ac:dyDescent="0.5">
      <c r="A17" s="11"/>
      <c r="B17" s="9"/>
      <c r="C17" s="11"/>
      <c r="D17" s="13"/>
      <c r="E17" s="22"/>
      <c r="F17" s="54"/>
      <c r="G17" s="62"/>
      <c r="H17" s="16"/>
      <c r="I17" s="9"/>
      <c r="J17" s="9"/>
      <c r="K17" s="9"/>
      <c r="L17" s="9"/>
      <c r="M17" s="54"/>
    </row>
    <row r="18" spans="1:13" s="5" customFormat="1" ht="19.5" thickBot="1" x14ac:dyDescent="0.35">
      <c r="A18" s="38"/>
      <c r="B18" s="39"/>
      <c r="C18" s="38"/>
      <c r="D18" s="40" t="s">
        <v>65</v>
      </c>
      <c r="E18" s="41">
        <f>SUM(E16:E17)</f>
        <v>3900</v>
      </c>
      <c r="F18" s="57"/>
      <c r="G18" s="23"/>
      <c r="H18" s="23"/>
      <c r="I18" s="23"/>
      <c r="J18" s="23"/>
      <c r="K18" s="23"/>
      <c r="L18" s="23"/>
      <c r="M18" s="57"/>
    </row>
    <row r="19" spans="1:13" s="5" customFormat="1" ht="19.5" thickTop="1" x14ac:dyDescent="0.3">
      <c r="A19" s="4"/>
      <c r="B19" s="32"/>
      <c r="C19" s="4"/>
      <c r="D19" s="7"/>
      <c r="E19" s="31"/>
    </row>
  </sheetData>
  <mergeCells count="12">
    <mergeCell ref="A1:M1"/>
    <mergeCell ref="A2:M2"/>
    <mergeCell ref="A3:A5"/>
    <mergeCell ref="B3:B5"/>
    <mergeCell ref="C3:C5"/>
    <mergeCell ref="E3:E5"/>
    <mergeCell ref="F3:F5"/>
    <mergeCell ref="G3:L3"/>
    <mergeCell ref="M3:M5"/>
    <mergeCell ref="G4:G5"/>
    <mergeCell ref="H4:H5"/>
    <mergeCell ref="J4:J5"/>
  </mergeCells>
  <pageMargins left="0.19685039370078741" right="0.19685039370078741" top="0.55118110236220474" bottom="0.35433070866141736" header="0.31496062992125984" footer="0.31496062992125984"/>
  <pageSetup paperSize="9" orientation="landscape" horizontalDpi="4294967293" verticalDpi="360" r:id="rId1"/>
  <headerFooter>
    <evenFooter xml:space="preserve">&amp;C&amp;"TH SarabunPSK,ธรรมดา"&amp;16 7&amp;"Tahoma,ธรรมดา"&amp;11
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7"/>
  <sheetViews>
    <sheetView workbookViewId="0">
      <selection activeCell="H14" sqref="H14"/>
    </sheetView>
  </sheetViews>
  <sheetFormatPr defaultColWidth="8.75" defaultRowHeight="19.5" x14ac:dyDescent="0.25"/>
  <cols>
    <col min="1" max="1" width="28.25" style="74" customWidth="1"/>
    <col min="2" max="2" width="11.75" style="74" customWidth="1"/>
    <col min="3" max="3" width="11.875" style="74" customWidth="1"/>
    <col min="4" max="4" width="14.375" style="74" customWidth="1"/>
    <col min="5" max="5" width="12.875" style="74" customWidth="1"/>
    <col min="6" max="16384" width="8.75" style="74"/>
  </cols>
  <sheetData>
    <row r="1" spans="1:5" s="77" customFormat="1" ht="21" x14ac:dyDescent="0.35">
      <c r="A1" s="263" t="s">
        <v>137</v>
      </c>
      <c r="B1" s="263"/>
      <c r="C1" s="263"/>
      <c r="D1" s="263"/>
      <c r="E1" s="263"/>
    </row>
    <row r="2" spans="1:5" s="77" customFormat="1" ht="21" x14ac:dyDescent="0.35">
      <c r="A2" s="263" t="s">
        <v>138</v>
      </c>
      <c r="B2" s="263"/>
      <c r="C2" s="263"/>
      <c r="D2" s="263"/>
      <c r="E2" s="263"/>
    </row>
    <row r="3" spans="1:5" s="77" customFormat="1" ht="21" x14ac:dyDescent="0.35">
      <c r="A3" s="264" t="s">
        <v>140</v>
      </c>
      <c r="B3" s="264"/>
      <c r="C3" s="264"/>
      <c r="D3" s="264"/>
      <c r="E3" s="264"/>
    </row>
    <row r="4" spans="1:5" s="77" customFormat="1" ht="21" x14ac:dyDescent="0.35">
      <c r="A4" s="261" t="s">
        <v>134</v>
      </c>
      <c r="B4" s="260" t="s">
        <v>135</v>
      </c>
      <c r="C4" s="260"/>
      <c r="D4" s="259" t="s">
        <v>136</v>
      </c>
      <c r="E4" s="259"/>
    </row>
    <row r="5" spans="1:5" s="77" customFormat="1" ht="21" x14ac:dyDescent="0.35">
      <c r="A5" s="262"/>
      <c r="B5" s="75" t="s">
        <v>9</v>
      </c>
      <c r="C5" s="76" t="s">
        <v>129</v>
      </c>
      <c r="D5" s="75" t="s">
        <v>9</v>
      </c>
      <c r="E5" s="76" t="s">
        <v>129</v>
      </c>
    </row>
    <row r="6" spans="1:5" s="77" customFormat="1" ht="21" x14ac:dyDescent="0.35">
      <c r="A6" s="91" t="s">
        <v>131</v>
      </c>
      <c r="B6" s="78"/>
      <c r="C6" s="79"/>
      <c r="D6" s="78"/>
      <c r="E6" s="79"/>
    </row>
    <row r="7" spans="1:5" s="77" customFormat="1" ht="21" x14ac:dyDescent="0.35">
      <c r="A7" s="80" t="s">
        <v>124</v>
      </c>
      <c r="B7" s="84">
        <v>10</v>
      </c>
      <c r="C7" s="81">
        <v>28700</v>
      </c>
      <c r="D7" s="84">
        <v>1</v>
      </c>
      <c r="E7" s="82">
        <v>3200</v>
      </c>
    </row>
    <row r="8" spans="1:5" s="77" customFormat="1" ht="21" x14ac:dyDescent="0.35">
      <c r="A8" s="80" t="s">
        <v>125</v>
      </c>
      <c r="B8" s="84">
        <v>19</v>
      </c>
      <c r="C8" s="81">
        <v>14750</v>
      </c>
      <c r="D8" s="84">
        <v>4</v>
      </c>
      <c r="E8" s="82">
        <v>15400</v>
      </c>
    </row>
    <row r="9" spans="1:5" s="77" customFormat="1" ht="21" x14ac:dyDescent="0.35">
      <c r="A9" s="80" t="s">
        <v>126</v>
      </c>
      <c r="B9" s="84">
        <v>9</v>
      </c>
      <c r="C9" s="81">
        <v>26450</v>
      </c>
      <c r="D9" s="81"/>
      <c r="E9" s="82"/>
    </row>
    <row r="10" spans="1:5" s="77" customFormat="1" ht="21" x14ac:dyDescent="0.35">
      <c r="A10" s="80" t="s">
        <v>130</v>
      </c>
      <c r="B10" s="84">
        <v>14</v>
      </c>
      <c r="C10" s="81">
        <v>397890</v>
      </c>
      <c r="D10" s="81"/>
      <c r="E10" s="82"/>
    </row>
    <row r="11" spans="1:5" s="77" customFormat="1" ht="21" x14ac:dyDescent="0.35">
      <c r="A11" s="80" t="s">
        <v>127</v>
      </c>
      <c r="B11" s="84">
        <v>1</v>
      </c>
      <c r="C11" s="81">
        <v>11600</v>
      </c>
      <c r="D11" s="81"/>
      <c r="E11" s="82"/>
    </row>
    <row r="12" spans="1:5" s="77" customFormat="1" ht="21" x14ac:dyDescent="0.35">
      <c r="A12" s="80" t="s">
        <v>128</v>
      </c>
      <c r="B12" s="84">
        <v>1</v>
      </c>
      <c r="C12" s="81">
        <v>4100</v>
      </c>
      <c r="D12" s="81"/>
      <c r="E12" s="83"/>
    </row>
    <row r="13" spans="1:5" s="77" customFormat="1" ht="21" x14ac:dyDescent="0.35">
      <c r="A13" s="80" t="s">
        <v>133</v>
      </c>
      <c r="B13" s="96"/>
      <c r="C13" s="81"/>
      <c r="D13" s="84">
        <v>1</v>
      </c>
      <c r="E13" s="83">
        <v>895</v>
      </c>
    </row>
    <row r="14" spans="1:5" s="77" customFormat="1" ht="21" x14ac:dyDescent="0.35">
      <c r="A14" s="90" t="s">
        <v>132</v>
      </c>
      <c r="B14" s="87"/>
      <c r="C14" s="88"/>
      <c r="D14" s="89"/>
      <c r="E14" s="87"/>
    </row>
    <row r="15" spans="1:5" s="77" customFormat="1" ht="21" x14ac:dyDescent="0.35">
      <c r="A15" s="92" t="s">
        <v>139</v>
      </c>
      <c r="B15" s="85">
        <v>11</v>
      </c>
      <c r="C15" s="86">
        <v>218040</v>
      </c>
      <c r="D15" s="85">
        <v>3</v>
      </c>
      <c r="E15" s="86">
        <v>12090</v>
      </c>
    </row>
    <row r="16" spans="1:5" s="77" customFormat="1" ht="21" x14ac:dyDescent="0.35">
      <c r="A16" s="93" t="s">
        <v>65</v>
      </c>
      <c r="B16" s="94"/>
      <c r="C16" s="95">
        <f>SUM(C7:C15)</f>
        <v>701530</v>
      </c>
      <c r="D16" s="94"/>
      <c r="E16" s="95">
        <f>SUM(E6:E15)</f>
        <v>31585</v>
      </c>
    </row>
    <row r="17" s="77" customFormat="1" ht="21" x14ac:dyDescent="0.35"/>
    <row r="18" s="77" customFormat="1" ht="21" x14ac:dyDescent="0.35"/>
    <row r="19" s="77" customFormat="1" ht="21" x14ac:dyDescent="0.35"/>
    <row r="20" s="77" customFormat="1" ht="21" x14ac:dyDescent="0.35"/>
    <row r="21" s="77" customFormat="1" ht="21" x14ac:dyDescent="0.35"/>
    <row r="22" s="77" customFormat="1" ht="21" x14ac:dyDescent="0.35"/>
    <row r="23" s="77" customFormat="1" ht="21" x14ac:dyDescent="0.35"/>
    <row r="24" s="77" customFormat="1" ht="21" x14ac:dyDescent="0.35"/>
    <row r="25" s="77" customFormat="1" ht="21" x14ac:dyDescent="0.35"/>
    <row r="26" s="77" customFormat="1" ht="21" x14ac:dyDescent="0.35"/>
    <row r="27" s="77" customFormat="1" ht="21" x14ac:dyDescent="0.35"/>
  </sheetData>
  <mergeCells count="6">
    <mergeCell ref="D4:E4"/>
    <mergeCell ref="B4:C4"/>
    <mergeCell ref="A4:A5"/>
    <mergeCell ref="A1:E1"/>
    <mergeCell ref="A2:E2"/>
    <mergeCell ref="A3:E3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4</vt:i4>
      </vt:variant>
      <vt:variant>
        <vt:lpstr>ช่วงที่มีชื่อ</vt:lpstr>
      </vt:variant>
      <vt:variant>
        <vt:i4>2</vt:i4>
      </vt:variant>
    </vt:vector>
  </HeadingPairs>
  <TitlesOfParts>
    <vt:vector size="6" baseType="lpstr">
      <vt:lpstr>สำนักงาน</vt:lpstr>
      <vt:lpstr>คอมพิวเตอร์</vt:lpstr>
      <vt:lpstr>ต่ำกว่าเกณฑ์</vt:lpstr>
      <vt:lpstr>Sheet1</vt:lpstr>
      <vt:lpstr>คอมพิวเตอร์!Print_Titles</vt:lpstr>
      <vt:lpstr>สำนักงาน!Print_Titles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Lampangcity003</cp:lastModifiedBy>
  <cp:lastPrinted>2024-11-04T03:29:48Z</cp:lastPrinted>
  <dcterms:created xsi:type="dcterms:W3CDTF">2015-07-09T01:24:36Z</dcterms:created>
  <dcterms:modified xsi:type="dcterms:W3CDTF">2025-03-05T09:36:36Z</dcterms:modified>
</cp:coreProperties>
</file>