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ครื่องเก่า\E\UBONTAI งานต่าง ๆ\ครุภัณฑ์ 2567\"/>
    </mc:Choice>
  </mc:AlternateContent>
  <xr:revisionPtr revIDLastSave="0" documentId="13_ncr:1_{9AE6F3C0-B1D8-4CE5-8E55-42FE06C09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ครุภัณฑ์งานวิจัย2566" sheetId="1" r:id="rId1"/>
    <sheet name="Sheet1" sheetId="2" r:id="rId2"/>
  </sheets>
  <definedNames>
    <definedName name="_xlnm._FilterDatabase" localSheetId="0" hidden="1">ครุภัณฑ์งานวิจัย2566!#REF!</definedName>
    <definedName name="_xlnm.Print_Titles" localSheetId="0">ครุภัณฑ์งานวิจัย2566!$27:$29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13" i="1" l="1"/>
  <c r="E9" i="1"/>
  <c r="E17" i="1" l="1"/>
</calcChain>
</file>

<file path=xl/sharedStrings.xml><?xml version="1.0" encoding="utf-8"?>
<sst xmlns="http://schemas.openxmlformats.org/spreadsheetml/2006/main" count="185" uniqueCount="90">
  <si>
    <t>ราคาที่ได้มา</t>
  </si>
  <si>
    <t>ลำดับที่</t>
  </si>
  <si>
    <t>รายการ</t>
  </si>
  <si>
    <t>หมายเหตุ</t>
  </si>
  <si>
    <t>วัน เดือน ปี</t>
  </si>
  <si>
    <t>ที่ได้มา</t>
  </si>
  <si>
    <t>29 ม.ค. 2542</t>
  </si>
  <si>
    <t>400-28-0761</t>
  </si>
  <si>
    <t>406-42-0960</t>
  </si>
  <si>
    <t>416-50-0361</t>
  </si>
  <si>
    <t>CPU รุ่น hp compag intel  pentium</t>
  </si>
  <si>
    <t>416-50-0348</t>
  </si>
  <si>
    <t>เครื่องพิมพ์ ยี่ห้อ Brother</t>
  </si>
  <si>
    <t>416-57-0793</t>
  </si>
  <si>
    <t>รหัสครุภัณฑ์</t>
  </si>
  <si>
    <t>รวม</t>
  </si>
  <si>
    <t xml:space="preserve">โต๊ะทำงาน </t>
  </si>
  <si>
    <t>18 ต.ค. 2550</t>
  </si>
  <si>
    <t xml:space="preserve">จอ LCD  </t>
  </si>
  <si>
    <t>สถานที่ใช้งาน</t>
  </si>
  <si>
    <t>สภาพครุภัณฑ์</t>
  </si>
  <si>
    <t>ใช้ได้</t>
  </si>
  <si>
    <t>ชำรุด</t>
  </si>
  <si>
    <t>เสื่อม</t>
  </si>
  <si>
    <t>สูญหาย</t>
  </si>
  <si>
    <t>เก็บ</t>
  </si>
  <si>
    <t>หมดความ</t>
  </si>
  <si>
    <t>สภาพ</t>
  </si>
  <si>
    <t>ไว้นาน</t>
  </si>
  <si>
    <t>จำเป็น</t>
  </si>
  <si>
    <t>ü</t>
  </si>
  <si>
    <t>ตู้เก็บเอกสารชนิดบานเลื่อน ขนาด 5 ฟุต</t>
  </si>
  <si>
    <t>25 พ.ย. 2557</t>
  </si>
  <si>
    <t>400-63-6630</t>
  </si>
  <si>
    <t>29 พ.ย. 2562</t>
  </si>
  <si>
    <t>เก้าอี้ทำงาน ยี่ห้อ MONO</t>
  </si>
  <si>
    <t>401-63-9359</t>
  </si>
  <si>
    <t>CPU คอมพิวเตอร์สำหรับสำนักงาน</t>
  </si>
  <si>
    <t>416-63-1386</t>
  </si>
  <si>
    <t>8 ต.ค. 2562</t>
  </si>
  <si>
    <t>จอ LCD  สำหรับสำนักงาน</t>
  </si>
  <si>
    <t>416-63-1385</t>
  </si>
  <si>
    <t>โต๊ะทำงาน ยี่ห้อ TAIYO</t>
  </si>
  <si>
    <t>ห้อง Server</t>
  </si>
  <si>
    <t>เครื่องสำรองไฟ ขนาด 1 KVA</t>
  </si>
  <si>
    <t>416-63-1412</t>
  </si>
  <si>
    <t>เครื่องพิมพ์ Multifunction</t>
  </si>
  <si>
    <t>416-64-1803</t>
  </si>
  <si>
    <t>ภัทรธิดา</t>
  </si>
  <si>
    <t>ทะเบียนรายงานผลการตรวจนับครุภัณฑ์สำนักงาน  ประจำปี  2565</t>
  </si>
  <si>
    <t>ลำดับ</t>
  </si>
  <si>
    <t>หมายเลขครุภัณฑ์</t>
  </si>
  <si>
    <t>หัวหน้างานวิจัย</t>
  </si>
  <si>
    <t>ห้อง server</t>
  </si>
  <si>
    <t>จอ LCD  สำหรับสำนักงานขนาดไม่น้อยกว่า 19 นิ้ว</t>
  </si>
  <si>
    <t>จอ LCD   ACER</t>
  </si>
  <si>
    <t>CPU คอมพิวเตอร์สำหรับสำนักงาน ACER</t>
  </si>
  <si>
    <t>ทะเบียนรายงานผลการตรวจนับครุภัณฑ์คอมพิวเตอร์  ประจำปี 2565</t>
  </si>
  <si>
    <t>416-65-1978</t>
  </si>
  <si>
    <t>416-65-1979</t>
  </si>
  <si>
    <t>416-65-1991</t>
  </si>
  <si>
    <t>เครื่องพิมพ์  Brother DCPT-20</t>
  </si>
  <si>
    <t>416-65-1983</t>
  </si>
  <si>
    <t>22 มี.ค. 2564</t>
  </si>
  <si>
    <t>6 มิ.ย.  2565</t>
  </si>
  <si>
    <t>416-65-1972</t>
  </si>
  <si>
    <t>416-65-1973</t>
  </si>
  <si>
    <t>416-65-1992</t>
  </si>
  <si>
    <t>ทะเบียนรายงานผลการตรวจนับครุภัณฑ์สำนักงาน  ประจำปี  2566</t>
  </si>
  <si>
    <t>หัวหน้าฝ่ายแผนงานและงบประมาณ นางวิจิตรา</t>
  </si>
  <si>
    <t>นางพรพิมล อินเตชะ</t>
  </si>
  <si>
    <t>นางภัทรธิดา  พึ่งสุข</t>
  </si>
  <si>
    <t>หัวหน้าฝ่ายบริการฯ นางสาวญาดา ณ วงค์จันทร์</t>
  </si>
  <si>
    <t>ห้องศูนย์เทคโนโลยีฯ ห้องนางสนันตน์ชินา</t>
  </si>
  <si>
    <t xml:space="preserve">ห้องศูนย์เทคโนโลยีฯ </t>
  </si>
  <si>
    <t>นางพรพิมล  อินเตชะ</t>
  </si>
  <si>
    <r>
      <rPr>
        <b/>
        <u/>
        <sz val="14"/>
        <rFont val="TH SarabunPSK"/>
        <family val="2"/>
      </rPr>
      <t>โต๊ะ</t>
    </r>
    <r>
      <rPr>
        <b/>
        <sz val="14"/>
        <rFont val="TH SarabunPSK"/>
        <family val="2"/>
      </rPr>
      <t xml:space="preserve"> (400)</t>
    </r>
  </si>
  <si>
    <r>
      <rPr>
        <b/>
        <u/>
        <sz val="14"/>
        <rFont val="TH SarabunPSK"/>
        <family val="2"/>
      </rPr>
      <t>เก้าอี้</t>
    </r>
    <r>
      <rPr>
        <b/>
        <sz val="14"/>
        <rFont val="TH SarabunPSK"/>
        <family val="2"/>
      </rPr>
      <t xml:space="preserve"> (401)</t>
    </r>
  </si>
  <si>
    <r>
      <rPr>
        <b/>
        <u/>
        <sz val="14"/>
        <rFont val="TH SarabunPSK"/>
        <family val="2"/>
      </rPr>
      <t>ตู้</t>
    </r>
    <r>
      <rPr>
        <b/>
        <sz val="14"/>
        <rFont val="TH SarabunPSK"/>
        <family val="2"/>
      </rPr>
      <t xml:space="preserve"> (406)</t>
    </r>
  </si>
  <si>
    <t>นางนารี  เมืองมูล</t>
  </si>
  <si>
    <t>โซนธุรการ</t>
  </si>
  <si>
    <t>งานวิจัยและประเมินผล   ฝ่ายแผนงานและงบประมาณ  กองยุทธศาสตร์และงบประมาณ</t>
  </si>
  <si>
    <t>อยู่ห้องประชุมกองยุทธศาสตร์และงบประมาณ</t>
  </si>
  <si>
    <t>โต๊ะนายเฉลิมเกียรติ  ไชยแก้ว</t>
  </si>
  <si>
    <t>ระบบสารสนเทศเพื่อการติดตามและประเมินผลโครงการ</t>
  </si>
  <si>
    <t>(e-Monitoring and Evaluation)</t>
  </si>
  <si>
    <t>416-67-2489</t>
  </si>
  <si>
    <t>18 ม.ค. 2567</t>
  </si>
  <si>
    <t>อยู่ใน Server งานวิจัย</t>
  </si>
  <si>
    <t>โอนให้กองสาธารณสุข 6 ธ.ค.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</si>
</sst>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6" x14ac:knownFonts="1">
    <font>
      <sz val="11"/>
      <color theme="1"/>
      <name val="Tahoma"/>
      <family val="2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2"/>
      <name val="TH SarabunPSK"/>
      <family val="2"/>
    </font>
    <font>
      <sz val="11"/>
      <color indexed="8"/>
      <name val="Tahoma"/>
      <family val="2"/>
      <charset val="222"/>
    </font>
    <font>
      <sz val="8"/>
      <name val="Tahoma"/>
      <family val="2"/>
      <charset val="222"/>
    </font>
    <font>
      <b/>
      <sz val="16"/>
      <name val="TH SarabunPSK"/>
      <family val="2"/>
    </font>
    <font>
      <sz val="16"/>
      <name val="TH SarabunPSK"/>
      <family val="2"/>
    </font>
    <font>
      <sz val="16"/>
      <color indexed="8"/>
      <name val="TH SarabunIT๙"/>
      <family val="2"/>
    </font>
    <font>
      <sz val="16"/>
      <color indexed="8"/>
      <name val="TH SarabunPSK"/>
      <family val="2"/>
    </font>
    <font>
      <sz val="16"/>
      <name val="TH SarabunIT๙"/>
      <family val="2"/>
    </font>
    <font>
      <sz val="16"/>
      <name val="TH SarabunPSK"/>
      <family val="2"/>
      <charset val="222"/>
    </font>
    <font>
      <b/>
      <sz val="16"/>
      <name val="TH SarabunIT๙"/>
      <family val="2"/>
    </font>
    <font>
      <sz val="11"/>
      <color theme="1"/>
      <name val="TH SarabunIT๙"/>
      <family val="2"/>
    </font>
    <font>
      <b/>
      <sz val="16"/>
      <color theme="1"/>
      <name val="TH SarabunIT๙"/>
      <family val="2"/>
    </font>
    <font>
      <sz val="16"/>
      <color theme="1"/>
      <name val="TH SarabunIT๙"/>
      <family val="2"/>
      <charset val="222"/>
    </font>
    <font>
      <b/>
      <sz val="16"/>
      <color theme="1"/>
      <name val="TH SarabunIT๙"/>
      <family val="2"/>
      <charset val="222"/>
    </font>
    <font>
      <sz val="16"/>
      <name val="TH SarabunIT๙"/>
      <family val="2"/>
      <charset val="222"/>
    </font>
    <font>
      <b/>
      <u/>
      <sz val="14"/>
      <name val="TH SarabunPSK"/>
      <family val="2"/>
    </font>
    <font>
      <sz val="14"/>
      <name val="TH SarabunPSK"/>
      <family val="2"/>
      <charset val="222"/>
    </font>
    <font>
      <sz val="14"/>
      <name val="Wingdings"/>
      <charset val="2"/>
    </font>
    <font>
      <b/>
      <sz val="14"/>
      <name val="TH SarabunPSK"/>
      <family val="2"/>
      <charset val="222"/>
    </font>
    <font>
      <sz val="14"/>
      <color indexed="8"/>
      <name val="TH SarabunIT๙"/>
      <family val="2"/>
    </font>
    <font>
      <sz val="14"/>
      <color indexed="8"/>
      <name val="TH SarabunPSK"/>
      <family val="2"/>
    </font>
    <font>
      <sz val="14"/>
      <name val="TH SarabunIT๙"/>
      <family val="2"/>
    </font>
    <font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3" fillId="0" borderId="0" xfId="0" applyFont="1"/>
    <xf numFmtId="187" fontId="2" fillId="0" borderId="0" xfId="1" applyNumberFormat="1" applyFont="1" applyBorder="1"/>
    <xf numFmtId="187" fontId="2" fillId="0" borderId="0" xfId="1" applyNumberFormat="1" applyFont="1"/>
    <xf numFmtId="0" fontId="1" fillId="0" borderId="5" xfId="0" applyFont="1" applyBorder="1" applyAlignment="1">
      <alignment horizontal="center"/>
    </xf>
    <xf numFmtId="187" fontId="6" fillId="0" borderId="2" xfId="1" applyNumberFormat="1" applyFont="1" applyBorder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187" fontId="6" fillId="0" borderId="6" xfId="1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87" fontId="6" fillId="0" borderId="1" xfId="1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0" borderId="14" xfId="0" applyFont="1" applyBorder="1"/>
    <xf numFmtId="0" fontId="9" fillId="0" borderId="14" xfId="0" applyFont="1" applyBorder="1" applyAlignment="1">
      <alignment horizontal="center"/>
    </xf>
    <xf numFmtId="0" fontId="10" fillId="0" borderId="14" xfId="0" applyFont="1" applyBorder="1"/>
    <xf numFmtId="0" fontId="7" fillId="0" borderId="21" xfId="0" applyFont="1" applyBorder="1" applyAlignment="1">
      <alignment horizontal="center"/>
    </xf>
    <xf numFmtId="0" fontId="7" fillId="0" borderId="21" xfId="0" applyFont="1" applyBorder="1"/>
    <xf numFmtId="187" fontId="6" fillId="0" borderId="1" xfId="0" applyNumberFormat="1" applyFont="1" applyBorder="1" applyAlignment="1">
      <alignment horizontal="right"/>
    </xf>
    <xf numFmtId="187" fontId="7" fillId="0" borderId="21" xfId="1" applyNumberFormat="1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87" fontId="9" fillId="0" borderId="0" xfId="1" applyNumberFormat="1" applyFont="1" applyBorder="1"/>
    <xf numFmtId="49" fontId="6" fillId="0" borderId="0" xfId="0" applyNumberFormat="1" applyFont="1" applyAlignment="1">
      <alignment horizontal="center"/>
    </xf>
    <xf numFmtId="187" fontId="6" fillId="0" borderId="0" xfId="1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4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2" fillId="0" borderId="5" xfId="0" applyFont="1" applyBorder="1" applyAlignment="1">
      <alignment horizontal="center"/>
    </xf>
    <xf numFmtId="0" fontId="15" fillId="0" borderId="0" xfId="0" applyFont="1"/>
    <xf numFmtId="0" fontId="13" fillId="0" borderId="0" xfId="0" applyFont="1" applyAlignment="1">
      <alignment horizontal="center"/>
    </xf>
    <xf numFmtId="0" fontId="16" fillId="0" borderId="2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4" xfId="0" applyFont="1" applyBorder="1"/>
    <xf numFmtId="0" fontId="15" fillId="0" borderId="0" xfId="0" applyFont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0" xfId="0" applyFont="1" applyBorder="1"/>
    <xf numFmtId="0" fontId="15" fillId="0" borderId="20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5" fillId="0" borderId="14" xfId="0" applyFont="1" applyBorder="1"/>
    <xf numFmtId="0" fontId="7" fillId="0" borderId="0" xfId="0" applyFont="1" applyAlignment="1">
      <alignment horizontal="center"/>
    </xf>
    <xf numFmtId="187" fontId="6" fillId="0" borderId="0" xfId="1" applyNumberFormat="1" applyFont="1" applyBorder="1" applyAlignment="1">
      <alignment horizontal="center"/>
    </xf>
    <xf numFmtId="187" fontId="6" fillId="0" borderId="0" xfId="0" applyNumberFormat="1" applyFont="1" applyAlignment="1">
      <alignment horizontal="right"/>
    </xf>
    <xf numFmtId="187" fontId="7" fillId="0" borderId="0" xfId="1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2" fillId="0" borderId="20" xfId="0" applyFont="1" applyBorder="1"/>
    <xf numFmtId="0" fontId="2" fillId="0" borderId="14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87" fontId="1" fillId="0" borderId="20" xfId="1" applyNumberFormat="1" applyFont="1" applyBorder="1" applyAlignment="1">
      <alignment horizontal="center"/>
    </xf>
    <xf numFmtId="187" fontId="1" fillId="0" borderId="20" xfId="1" applyNumberFormat="1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87" fontId="1" fillId="0" borderId="12" xfId="1" applyNumberFormat="1" applyFont="1" applyBorder="1" applyAlignment="1">
      <alignment horizontal="center"/>
    </xf>
    <xf numFmtId="187" fontId="1" fillId="0" borderId="12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/>
    </xf>
    <xf numFmtId="187" fontId="2" fillId="0" borderId="23" xfId="1" applyNumberFormat="1" applyFont="1" applyBorder="1" applyAlignment="1"/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49" fontId="19" fillId="0" borderId="13" xfId="0" applyNumberFormat="1" applyFont="1" applyBorder="1" applyAlignment="1">
      <alignment horizontal="center"/>
    </xf>
    <xf numFmtId="187" fontId="19" fillId="0" borderId="13" xfId="1" applyNumberFormat="1" applyFont="1" applyBorder="1" applyAlignment="1"/>
    <xf numFmtId="0" fontId="19" fillId="0" borderId="16" xfId="0" applyFont="1" applyBorder="1" applyAlignment="1">
      <alignment horizontal="center" vertical="center"/>
    </xf>
    <xf numFmtId="0" fontId="19" fillId="0" borderId="14" xfId="0" applyFont="1" applyBorder="1"/>
    <xf numFmtId="49" fontId="19" fillId="0" borderId="15" xfId="0" applyNumberFormat="1" applyFont="1" applyBorder="1" applyAlignment="1">
      <alignment horizontal="center"/>
    </xf>
    <xf numFmtId="187" fontId="19" fillId="0" borderId="14" xfId="1" applyNumberFormat="1" applyFont="1" applyBorder="1" applyAlignment="1">
      <alignment horizontal="center" vertical="center"/>
    </xf>
    <xf numFmtId="187" fontId="21" fillId="0" borderId="12" xfId="1" applyNumberFormat="1" applyFont="1" applyBorder="1" applyAlignment="1">
      <alignment horizontal="center"/>
    </xf>
    <xf numFmtId="187" fontId="21" fillId="0" borderId="12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187" fontId="2" fillId="0" borderId="11" xfId="1" applyNumberFormat="1" applyFont="1" applyBorder="1" applyAlignment="1"/>
    <xf numFmtId="0" fontId="1" fillId="0" borderId="14" xfId="0" applyFont="1" applyBorder="1"/>
    <xf numFmtId="187" fontId="2" fillId="0" borderId="14" xfId="1" applyNumberFormat="1" applyFont="1" applyBorder="1"/>
    <xf numFmtId="0" fontId="2" fillId="0" borderId="14" xfId="0" applyFont="1" applyBorder="1" applyAlignment="1">
      <alignment horizontal="left"/>
    </xf>
    <xf numFmtId="187" fontId="2" fillId="0" borderId="14" xfId="1" applyNumberFormat="1" applyFont="1" applyBorder="1" applyAlignment="1">
      <alignment horizontal="right"/>
    </xf>
    <xf numFmtId="15" fontId="2" fillId="0" borderId="14" xfId="0" applyNumberFormat="1" applyFont="1" applyBorder="1" applyAlignment="1">
      <alignment horizontal="center"/>
    </xf>
    <xf numFmtId="187" fontId="1" fillId="0" borderId="12" xfId="0" applyNumberFormat="1" applyFont="1" applyBorder="1" applyAlignment="1">
      <alignment horizontal="right"/>
    </xf>
    <xf numFmtId="187" fontId="2" fillId="0" borderId="14" xfId="1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187" fontId="1" fillId="0" borderId="11" xfId="1" applyNumberFormat="1" applyFont="1" applyBorder="1" applyAlignment="1">
      <alignment horizontal="center"/>
    </xf>
    <xf numFmtId="187" fontId="1" fillId="0" borderId="11" xfId="0" applyNumberFormat="1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22" fillId="0" borderId="14" xfId="0" applyFont="1" applyBorder="1" applyAlignment="1">
      <alignment wrapText="1"/>
    </xf>
    <xf numFmtId="0" fontId="23" fillId="0" borderId="14" xfId="0" applyFont="1" applyBorder="1" applyAlignment="1">
      <alignment horizontal="center"/>
    </xf>
    <xf numFmtId="187" fontId="23" fillId="0" borderId="14" xfId="1" applyNumberFormat="1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4" fillId="0" borderId="14" xfId="0" applyFont="1" applyBorder="1" applyAlignment="1">
      <alignment vertical="top"/>
    </xf>
    <xf numFmtId="49" fontId="2" fillId="0" borderId="14" xfId="0" applyNumberFormat="1" applyFont="1" applyBorder="1" applyAlignment="1">
      <alignment horizontal="center" vertical="top"/>
    </xf>
    <xf numFmtId="187" fontId="2" fillId="0" borderId="14" xfId="1" applyNumberFormat="1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 wrapText="1"/>
    </xf>
    <xf numFmtId="0" fontId="20" fillId="0" borderId="14" xfId="0" applyFont="1" applyBorder="1" applyAlignment="1">
      <alignment horizontal="center" vertical="top"/>
    </xf>
    <xf numFmtId="0" fontId="22" fillId="0" borderId="14" xfId="0" applyFont="1" applyBorder="1" applyAlignment="1">
      <alignment vertical="top"/>
    </xf>
    <xf numFmtId="0" fontId="23" fillId="0" borderId="14" xfId="0" applyFont="1" applyBorder="1" applyAlignment="1">
      <alignment horizontal="center" vertical="top"/>
    </xf>
    <xf numFmtId="49" fontId="23" fillId="0" borderId="14" xfId="0" applyNumberFormat="1" applyFont="1" applyBorder="1" applyAlignment="1">
      <alignment horizontal="center" vertical="top"/>
    </xf>
    <xf numFmtId="187" fontId="23" fillId="0" borderId="14" xfId="1" applyNumberFormat="1" applyFont="1" applyBorder="1" applyAlignment="1">
      <alignment horizontal="center" vertical="top"/>
    </xf>
    <xf numFmtId="0" fontId="23" fillId="0" borderId="14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/>
    </xf>
    <xf numFmtId="0" fontId="22" fillId="0" borderId="14" xfId="0" applyFont="1" applyBorder="1"/>
    <xf numFmtId="0" fontId="22" fillId="0" borderId="14" xfId="0" applyFont="1" applyBorder="1" applyAlignment="1">
      <alignment horizontal="center"/>
    </xf>
    <xf numFmtId="0" fontId="24" fillId="0" borderId="14" xfId="0" applyFont="1" applyBorder="1"/>
    <xf numFmtId="0" fontId="23" fillId="0" borderId="14" xfId="0" applyFont="1" applyBorder="1"/>
    <xf numFmtId="0" fontId="25" fillId="0" borderId="14" xfId="0" applyFont="1" applyBorder="1" applyAlignment="1">
      <alignment horizontal="center"/>
    </xf>
    <xf numFmtId="187" fontId="1" fillId="0" borderId="12" xfId="1" applyNumberFormat="1" applyFont="1" applyBorder="1" applyAlignment="1">
      <alignment horizontal="center" vertical="center"/>
    </xf>
    <xf numFmtId="0" fontId="20" fillId="0" borderId="14" xfId="0" applyFont="1" applyBorder="1"/>
    <xf numFmtId="0" fontId="19" fillId="0" borderId="14" xfId="0" applyFont="1" applyBorder="1" applyAlignment="1">
      <alignment horizontal="left"/>
    </xf>
    <xf numFmtId="43" fontId="19" fillId="0" borderId="14" xfId="1" applyFont="1" applyBorder="1" applyAlignment="1">
      <alignment horizontal="left"/>
    </xf>
    <xf numFmtId="0" fontId="2" fillId="0" borderId="14" xfId="0" applyFont="1" applyBorder="1" applyAlignment="1">
      <alignment vertical="top"/>
    </xf>
    <xf numFmtId="49" fontId="2" fillId="0" borderId="6" xfId="0" applyNumberFormat="1" applyFont="1" applyBorder="1" applyAlignment="1">
      <alignment horizontal="center" vertical="top"/>
    </xf>
    <xf numFmtId="187" fontId="2" fillId="0" borderId="6" xfId="1" applyNumberFormat="1" applyFont="1" applyBorder="1" applyAlignment="1">
      <alignment vertical="top"/>
    </xf>
    <xf numFmtId="0" fontId="2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8" fillId="2" borderId="0" xfId="0" applyFont="1" applyFill="1"/>
    <xf numFmtId="0" fontId="2" fillId="3" borderId="14" xfId="0" applyFont="1" applyFill="1" applyBorder="1" applyAlignment="1">
      <alignment horizontal="center"/>
    </xf>
    <xf numFmtId="0" fontId="22" fillId="3" borderId="14" xfId="0" applyFont="1" applyFill="1" applyBorder="1"/>
    <xf numFmtId="0" fontId="23" fillId="3" borderId="14" xfId="0" applyFont="1" applyFill="1" applyBorder="1" applyAlignment="1">
      <alignment horizontal="center"/>
    </xf>
    <xf numFmtId="49" fontId="2" fillId="3" borderId="14" xfId="0" applyNumberFormat="1" applyFont="1" applyFill="1" applyBorder="1" applyAlignment="1">
      <alignment horizontal="center"/>
    </xf>
    <xf numFmtId="187" fontId="23" fillId="3" borderId="14" xfId="1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top" wrapText="1"/>
    </xf>
    <xf numFmtId="0" fontId="20" fillId="3" borderId="14" xfId="0" applyFont="1" applyFill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top"/>
    </xf>
    <xf numFmtId="0" fontId="24" fillId="3" borderId="14" xfId="0" applyFont="1" applyFill="1" applyBorder="1" applyAlignment="1">
      <alignment vertical="top"/>
    </xf>
    <xf numFmtId="49" fontId="2" fillId="3" borderId="14" xfId="0" applyNumberFormat="1" applyFont="1" applyFill="1" applyBorder="1" applyAlignment="1">
      <alignment horizontal="center" vertical="top"/>
    </xf>
    <xf numFmtId="187" fontId="2" fillId="3" borderId="14" xfId="1" applyNumberFormat="1" applyFont="1" applyFill="1" applyBorder="1" applyAlignment="1">
      <alignment horizontal="center" vertical="top"/>
    </xf>
    <xf numFmtId="0" fontId="20" fillId="3" borderId="14" xfId="0" applyFont="1" applyFill="1" applyBorder="1" applyAlignment="1">
      <alignment horizontal="center" vertical="top"/>
    </xf>
    <xf numFmtId="0" fontId="23" fillId="3" borderId="14" xfId="0" applyFont="1" applyFill="1" applyBorder="1" applyAlignment="1">
      <alignment horizontal="center" vertical="top"/>
    </xf>
    <xf numFmtId="0" fontId="22" fillId="3" borderId="14" xfId="0" applyFont="1" applyFill="1" applyBorder="1" applyAlignment="1">
      <alignment vertical="top"/>
    </xf>
    <xf numFmtId="0" fontId="22" fillId="3" borderId="14" xfId="0" applyFont="1" applyFill="1" applyBorder="1" applyAlignment="1">
      <alignment horizontal="center" vertical="top"/>
    </xf>
    <xf numFmtId="0" fontId="8" fillId="3" borderId="0" xfId="0" applyFont="1" applyFill="1" applyAlignment="1">
      <alignment vertical="top"/>
    </xf>
    <xf numFmtId="187" fontId="2" fillId="0" borderId="6" xfId="1" applyNumberFormat="1" applyFont="1" applyBorder="1" applyAlignment="1">
      <alignment horizontal="center"/>
    </xf>
    <xf numFmtId="0" fontId="8" fillId="0" borderId="0" xfId="0" applyFont="1" applyAlignment="1">
      <alignment vertical="top" wrapText="1"/>
    </xf>
    <xf numFmtId="0" fontId="2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2" fillId="0" borderId="11" xfId="0" applyFont="1" applyBorder="1"/>
    <xf numFmtId="0" fontId="2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top" wrapText="1"/>
    </xf>
    <xf numFmtId="49" fontId="2" fillId="0" borderId="13" xfId="0" applyNumberFormat="1" applyFont="1" applyBorder="1" applyAlignment="1">
      <alignment horizontal="center" vertical="top" wrapText="1"/>
    </xf>
    <xf numFmtId="187" fontId="2" fillId="0" borderId="13" xfId="1" applyNumberFormat="1" applyFont="1" applyBorder="1" applyAlignment="1">
      <alignment horizontal="center" vertical="top" wrapText="1"/>
    </xf>
    <xf numFmtId="0" fontId="20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vertical="top" wrapText="1"/>
    </xf>
    <xf numFmtId="0" fontId="2" fillId="0" borderId="11" xfId="0" applyFont="1" applyBorder="1"/>
    <xf numFmtId="0" fontId="20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87" fontId="6" fillId="0" borderId="2" xfId="1" applyNumberFormat="1" applyFont="1" applyBorder="1" applyAlignment="1">
      <alignment horizontal="center" vertical="center"/>
    </xf>
    <xf numFmtId="187" fontId="6" fillId="0" borderId="6" xfId="1" applyNumberFormat="1" applyFont="1" applyBorder="1" applyAlignment="1">
      <alignment horizontal="center" vertical="center"/>
    </xf>
    <xf numFmtId="187" fontId="6" fillId="0" borderId="1" xfId="1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view="pageBreakPreview" zoomScale="106" zoomScaleNormal="106" zoomScaleSheetLayoutView="106" workbookViewId="0">
      <selection activeCell="N12" sqref="N12"/>
    </sheetView>
  </sheetViews>
  <sheetFormatPr defaultColWidth="9" defaultRowHeight="18.75" x14ac:dyDescent="0.3"/>
  <cols>
    <col min="1" max="1" width="5.375" style="1" customWidth="1"/>
    <col min="2" max="2" width="27.125" style="2" customWidth="1"/>
    <col min="3" max="3" width="13.625" style="1" customWidth="1"/>
    <col min="4" max="4" width="12.125" style="7" customWidth="1"/>
    <col min="5" max="5" width="12.125" style="1" customWidth="1"/>
    <col min="6" max="6" width="19.625" style="2" customWidth="1"/>
    <col min="7" max="7" width="5.375" style="2" customWidth="1"/>
    <col min="8" max="8" width="5.5" style="5" customWidth="1"/>
    <col min="9" max="9" width="5.875" style="2" customWidth="1"/>
    <col min="10" max="10" width="6.375" style="2" customWidth="1"/>
    <col min="11" max="11" width="6" style="2" customWidth="1"/>
    <col min="12" max="12" width="7.75" style="2" customWidth="1"/>
    <col min="13" max="13" width="12.25" style="2" customWidth="1"/>
    <col min="14" max="16384" width="9" style="2"/>
  </cols>
  <sheetData>
    <row r="1" spans="1:13" ht="21" x14ac:dyDescent="0.35">
      <c r="A1" s="164" t="s">
        <v>68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3" ht="21" x14ac:dyDescent="0.35">
      <c r="A2" s="164" t="s">
        <v>81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</row>
    <row r="3" spans="1:13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10" customFormat="1" ht="21" x14ac:dyDescent="0.35">
      <c r="A4" s="165" t="s">
        <v>1</v>
      </c>
      <c r="B4" s="168" t="s">
        <v>2</v>
      </c>
      <c r="C4" s="171" t="s">
        <v>14</v>
      </c>
      <c r="D4" s="9"/>
      <c r="E4" s="174" t="s">
        <v>0</v>
      </c>
      <c r="F4" s="168" t="s">
        <v>19</v>
      </c>
      <c r="G4" s="177" t="s">
        <v>20</v>
      </c>
      <c r="H4" s="178"/>
      <c r="I4" s="178"/>
      <c r="J4" s="178"/>
      <c r="K4" s="178"/>
      <c r="L4" s="179"/>
      <c r="M4" s="168" t="s">
        <v>3</v>
      </c>
    </row>
    <row r="5" spans="1:13" s="10" customFormat="1" ht="21" x14ac:dyDescent="0.35">
      <c r="A5" s="166"/>
      <c r="B5" s="169"/>
      <c r="C5" s="172"/>
      <c r="D5" s="12" t="s">
        <v>4</v>
      </c>
      <c r="E5" s="175"/>
      <c r="F5" s="169"/>
      <c r="G5" s="165" t="s">
        <v>21</v>
      </c>
      <c r="H5" s="168" t="s">
        <v>22</v>
      </c>
      <c r="I5" s="13" t="s">
        <v>23</v>
      </c>
      <c r="J5" s="168" t="s">
        <v>24</v>
      </c>
      <c r="K5" s="13" t="s">
        <v>25</v>
      </c>
      <c r="L5" s="14" t="s">
        <v>26</v>
      </c>
      <c r="M5" s="169"/>
    </row>
    <row r="6" spans="1:13" s="10" customFormat="1" ht="21" x14ac:dyDescent="0.35">
      <c r="A6" s="167"/>
      <c r="B6" s="170"/>
      <c r="C6" s="173"/>
      <c r="D6" s="15" t="s">
        <v>5</v>
      </c>
      <c r="E6" s="176"/>
      <c r="F6" s="170"/>
      <c r="G6" s="167"/>
      <c r="H6" s="170"/>
      <c r="I6" s="16" t="s">
        <v>27</v>
      </c>
      <c r="J6" s="170"/>
      <c r="K6" s="16" t="s">
        <v>28</v>
      </c>
      <c r="L6" s="17" t="s">
        <v>29</v>
      </c>
      <c r="M6" s="170"/>
    </row>
    <row r="7" spans="1:13" s="10" customFormat="1" ht="21" x14ac:dyDescent="0.35">
      <c r="A7" s="62"/>
      <c r="B7" s="63" t="s">
        <v>76</v>
      </c>
      <c r="C7" s="64"/>
      <c r="D7" s="65"/>
      <c r="E7" s="66"/>
      <c r="F7" s="64"/>
      <c r="G7" s="67"/>
      <c r="H7" s="68"/>
      <c r="I7" s="58"/>
      <c r="J7" s="58"/>
      <c r="K7" s="58"/>
      <c r="L7" s="58"/>
      <c r="M7" s="58"/>
    </row>
    <row r="8" spans="1:13" s="131" customFormat="1" ht="56.25" x14ac:dyDescent="0.2">
      <c r="A8" s="59">
        <v>1</v>
      </c>
      <c r="B8" s="126" t="s">
        <v>42</v>
      </c>
      <c r="C8" s="59" t="s">
        <v>33</v>
      </c>
      <c r="D8" s="127" t="s">
        <v>34</v>
      </c>
      <c r="E8" s="128">
        <v>5750</v>
      </c>
      <c r="F8" s="129" t="s">
        <v>69</v>
      </c>
      <c r="G8" s="110" t="s">
        <v>30</v>
      </c>
      <c r="H8" s="130"/>
      <c r="I8" s="126"/>
      <c r="J8" s="126"/>
      <c r="K8" s="126"/>
      <c r="L8" s="126"/>
      <c r="M8" s="109" t="s">
        <v>89</v>
      </c>
    </row>
    <row r="9" spans="1:13" s="10" customFormat="1" ht="21.75" thickBot="1" x14ac:dyDescent="0.4">
      <c r="A9" s="4"/>
      <c r="B9" s="3"/>
      <c r="C9" s="4"/>
      <c r="D9" s="73" t="s">
        <v>15</v>
      </c>
      <c r="E9" s="74">
        <f>SUM(E8:E8)</f>
        <v>5750</v>
      </c>
      <c r="F9" s="92"/>
      <c r="G9" s="75"/>
      <c r="H9" s="72"/>
      <c r="I9" s="3"/>
      <c r="J9" s="3"/>
      <c r="K9" s="3"/>
      <c r="L9" s="3"/>
      <c r="M9" s="4"/>
    </row>
    <row r="10" spans="1:13" s="10" customFormat="1" ht="21.75" thickTop="1" x14ac:dyDescent="0.35">
      <c r="A10" s="4"/>
      <c r="B10" s="3"/>
      <c r="C10" s="4"/>
      <c r="D10" s="76"/>
      <c r="E10" s="77"/>
      <c r="F10" s="92"/>
      <c r="G10" s="75"/>
      <c r="H10" s="72"/>
      <c r="I10" s="3"/>
      <c r="J10" s="3"/>
      <c r="K10" s="3"/>
      <c r="L10" s="3"/>
      <c r="M10" s="4"/>
    </row>
    <row r="11" spans="1:13" s="10" customFormat="1" ht="21" x14ac:dyDescent="0.35">
      <c r="A11" s="78"/>
      <c r="B11" s="79" t="s">
        <v>77</v>
      </c>
      <c r="C11" s="78"/>
      <c r="D11" s="80"/>
      <c r="E11" s="81"/>
      <c r="F11" s="124"/>
      <c r="G11" s="75"/>
      <c r="H11" s="72"/>
      <c r="I11" s="3"/>
      <c r="J11" s="3"/>
      <c r="K11" s="3"/>
      <c r="L11" s="3"/>
      <c r="M11" s="4"/>
    </row>
    <row r="12" spans="1:13" s="10" customFormat="1" ht="21" x14ac:dyDescent="0.35">
      <c r="A12" s="82">
        <v>1</v>
      </c>
      <c r="B12" s="83" t="s">
        <v>35</v>
      </c>
      <c r="C12" s="70" t="s">
        <v>36</v>
      </c>
      <c r="D12" s="84" t="s">
        <v>34</v>
      </c>
      <c r="E12" s="85">
        <v>3300</v>
      </c>
      <c r="F12" s="124" t="s">
        <v>70</v>
      </c>
      <c r="G12" s="71" t="s">
        <v>30</v>
      </c>
      <c r="H12" s="72"/>
      <c r="I12" s="3"/>
      <c r="J12" s="3"/>
      <c r="K12" s="3"/>
      <c r="L12" s="3"/>
      <c r="M12" s="4"/>
    </row>
    <row r="13" spans="1:13" s="10" customFormat="1" ht="21.75" thickBot="1" x14ac:dyDescent="0.4">
      <c r="A13" s="75"/>
      <c r="B13" s="83"/>
      <c r="C13" s="70"/>
      <c r="D13" s="86" t="s">
        <v>15</v>
      </c>
      <c r="E13" s="87">
        <f>SUM(E12)</f>
        <v>3300</v>
      </c>
      <c r="F13" s="125"/>
      <c r="G13" s="83"/>
      <c r="H13" s="72"/>
      <c r="I13" s="3"/>
      <c r="J13" s="3"/>
      <c r="K13" s="3"/>
      <c r="L13" s="3"/>
      <c r="M13" s="3"/>
    </row>
    <row r="14" spans="1:13" s="10" customFormat="1" ht="21.75" thickTop="1" x14ac:dyDescent="0.35">
      <c r="A14" s="4"/>
      <c r="B14" s="3"/>
      <c r="C14" s="4"/>
      <c r="D14" s="88"/>
      <c r="E14" s="89"/>
      <c r="F14" s="92"/>
      <c r="G14" s="75"/>
      <c r="H14" s="72"/>
      <c r="I14" s="3"/>
      <c r="J14" s="3"/>
      <c r="K14" s="3"/>
      <c r="L14" s="3"/>
      <c r="M14" s="3"/>
    </row>
    <row r="15" spans="1:13" s="10" customFormat="1" ht="21" x14ac:dyDescent="0.35">
      <c r="A15" s="4"/>
      <c r="B15" s="90" t="s">
        <v>78</v>
      </c>
      <c r="C15" s="4"/>
      <c r="D15" s="91"/>
      <c r="E15" s="4"/>
      <c r="F15" s="92"/>
      <c r="G15" s="83"/>
      <c r="H15" s="92"/>
      <c r="I15" s="3"/>
      <c r="J15" s="3"/>
      <c r="K15" s="3"/>
      <c r="L15" s="3"/>
      <c r="M15" s="3"/>
    </row>
    <row r="16" spans="1:13" s="10" customFormat="1" ht="21" x14ac:dyDescent="0.35">
      <c r="A16" s="4">
        <v>1</v>
      </c>
      <c r="B16" s="3" t="s">
        <v>31</v>
      </c>
      <c r="C16" s="4" t="s">
        <v>8</v>
      </c>
      <c r="D16" s="69" t="s">
        <v>6</v>
      </c>
      <c r="E16" s="93">
        <v>4500</v>
      </c>
      <c r="F16" s="124" t="s">
        <v>70</v>
      </c>
      <c r="G16" s="71" t="s">
        <v>30</v>
      </c>
      <c r="H16" s="92"/>
      <c r="I16" s="3"/>
      <c r="J16" s="94"/>
      <c r="K16" s="3"/>
      <c r="L16" s="3"/>
      <c r="M16" s="4" t="s">
        <v>43</v>
      </c>
    </row>
    <row r="17" spans="1:13" s="10" customFormat="1" ht="21.75" thickBot="1" x14ac:dyDescent="0.4">
      <c r="A17" s="4"/>
      <c r="B17" s="3"/>
      <c r="C17" s="4"/>
      <c r="D17" s="73" t="s">
        <v>15</v>
      </c>
      <c r="E17" s="95">
        <f>SUM(E16:E16)</f>
        <v>4500</v>
      </c>
      <c r="F17" s="96"/>
      <c r="G17" s="3"/>
      <c r="H17" s="92"/>
      <c r="I17" s="3"/>
      <c r="J17" s="3"/>
      <c r="K17" s="3"/>
      <c r="L17" s="3"/>
      <c r="M17" s="3"/>
    </row>
    <row r="18" spans="1:13" s="10" customFormat="1" ht="21.75" thickTop="1" x14ac:dyDescent="0.35">
      <c r="A18" s="97"/>
      <c r="B18" s="98"/>
      <c r="C18" s="4"/>
      <c r="D18" s="99"/>
      <c r="E18" s="100"/>
      <c r="F18" s="96"/>
      <c r="G18" s="98"/>
      <c r="H18" s="101"/>
      <c r="I18" s="98"/>
      <c r="J18" s="98"/>
      <c r="K18" s="98"/>
      <c r="L18" s="98"/>
      <c r="M18" s="98"/>
    </row>
    <row r="19" spans="1:13" s="10" customFormat="1" ht="21" x14ac:dyDescent="0.35">
      <c r="A19" s="22"/>
      <c r="B19" s="23"/>
      <c r="C19" s="22"/>
      <c r="D19" s="15"/>
      <c r="E19" s="24"/>
      <c r="F19" s="25"/>
      <c r="G19" s="23"/>
      <c r="H19" s="26"/>
      <c r="I19" s="23"/>
      <c r="J19" s="23"/>
      <c r="K19" s="23"/>
      <c r="L19" s="23"/>
      <c r="M19" s="23"/>
    </row>
    <row r="20" spans="1:13" s="10" customFormat="1" ht="21" x14ac:dyDescent="0.35">
      <c r="A20" s="53"/>
      <c r="C20" s="53"/>
      <c r="D20" s="54"/>
      <c r="E20" s="55"/>
      <c r="F20" s="56"/>
      <c r="H20" s="57"/>
    </row>
    <row r="21" spans="1:13" s="10" customFormat="1" ht="21" x14ac:dyDescent="0.35">
      <c r="A21" s="53"/>
      <c r="C21" s="53"/>
      <c r="D21" s="54"/>
      <c r="E21" s="55"/>
      <c r="F21" s="56"/>
      <c r="H21" s="57"/>
    </row>
    <row r="22" spans="1:13" s="10" customFormat="1" ht="21" x14ac:dyDescent="0.35">
      <c r="A22" s="53"/>
      <c r="C22" s="53"/>
      <c r="D22" s="54"/>
      <c r="E22" s="55"/>
      <c r="F22" s="56"/>
      <c r="H22" s="57"/>
    </row>
    <row r="23" spans="1:13" s="10" customFormat="1" ht="21" x14ac:dyDescent="0.35">
      <c r="A23" s="53"/>
      <c r="C23" s="53"/>
      <c r="D23" s="54"/>
      <c r="E23" s="55"/>
      <c r="F23" s="56"/>
      <c r="H23" s="57"/>
    </row>
    <row r="24" spans="1:13" s="10" customFormat="1" ht="21" x14ac:dyDescent="0.35">
      <c r="A24" s="53"/>
      <c r="C24" s="53"/>
      <c r="D24" s="54"/>
      <c r="E24" s="55"/>
      <c r="F24" s="56"/>
      <c r="H24" s="57"/>
    </row>
    <row r="25" spans="1:13" s="10" customFormat="1" ht="21" x14ac:dyDescent="0.35">
      <c r="A25" s="164" t="s">
        <v>57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</row>
    <row r="26" spans="1:13" s="10" customFormat="1" ht="21" x14ac:dyDescent="0.35">
      <c r="A26" s="164" t="s">
        <v>81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</row>
    <row r="27" spans="1:13" s="10" customFormat="1" ht="21" x14ac:dyDescent="0.35">
      <c r="A27" s="165" t="s">
        <v>1</v>
      </c>
      <c r="B27" s="168" t="s">
        <v>2</v>
      </c>
      <c r="C27" s="171" t="s">
        <v>14</v>
      </c>
      <c r="D27" s="9"/>
      <c r="E27" s="174" t="s">
        <v>0</v>
      </c>
      <c r="F27" s="168" t="s">
        <v>19</v>
      </c>
      <c r="G27" s="177" t="s">
        <v>20</v>
      </c>
      <c r="H27" s="178"/>
      <c r="I27" s="178"/>
      <c r="J27" s="178"/>
      <c r="K27" s="178"/>
      <c r="L27" s="179"/>
      <c r="M27" s="168" t="s">
        <v>3</v>
      </c>
    </row>
    <row r="28" spans="1:13" s="10" customFormat="1" ht="21" x14ac:dyDescent="0.35">
      <c r="A28" s="166"/>
      <c r="B28" s="169"/>
      <c r="C28" s="172"/>
      <c r="D28" s="12" t="s">
        <v>4</v>
      </c>
      <c r="E28" s="175"/>
      <c r="F28" s="169"/>
      <c r="G28" s="165" t="s">
        <v>21</v>
      </c>
      <c r="H28" s="168" t="s">
        <v>22</v>
      </c>
      <c r="I28" s="13" t="s">
        <v>23</v>
      </c>
      <c r="J28" s="168" t="s">
        <v>24</v>
      </c>
      <c r="K28" s="13" t="s">
        <v>25</v>
      </c>
      <c r="L28" s="14" t="s">
        <v>26</v>
      </c>
      <c r="M28" s="169"/>
    </row>
    <row r="29" spans="1:13" s="10" customFormat="1" ht="21" x14ac:dyDescent="0.35">
      <c r="A29" s="167"/>
      <c r="B29" s="170"/>
      <c r="C29" s="173"/>
      <c r="D29" s="15" t="s">
        <v>5</v>
      </c>
      <c r="E29" s="176"/>
      <c r="F29" s="170"/>
      <c r="G29" s="167"/>
      <c r="H29" s="170"/>
      <c r="I29" s="16" t="s">
        <v>27</v>
      </c>
      <c r="J29" s="170"/>
      <c r="K29" s="16" t="s">
        <v>28</v>
      </c>
      <c r="L29" s="17" t="s">
        <v>29</v>
      </c>
      <c r="M29" s="170"/>
    </row>
    <row r="30" spans="1:13" s="10" customFormat="1" ht="18.75" customHeight="1" x14ac:dyDescent="0.35">
      <c r="A30" s="4">
        <v>1</v>
      </c>
      <c r="B30" s="102" t="s">
        <v>10</v>
      </c>
      <c r="C30" s="103" t="s">
        <v>11</v>
      </c>
      <c r="D30" s="69" t="s">
        <v>17</v>
      </c>
      <c r="E30" s="104">
        <v>25950</v>
      </c>
      <c r="F30" s="103" t="s">
        <v>79</v>
      </c>
      <c r="G30" s="105" t="s">
        <v>30</v>
      </c>
      <c r="H30" s="103"/>
      <c r="I30" s="3"/>
      <c r="J30" s="3"/>
      <c r="K30" s="3"/>
      <c r="L30" s="3"/>
      <c r="M30" s="4" t="s">
        <v>80</v>
      </c>
    </row>
    <row r="31" spans="1:13" s="60" customFormat="1" ht="37.5" x14ac:dyDescent="0.2">
      <c r="A31" s="59">
        <v>2</v>
      </c>
      <c r="B31" s="106" t="s">
        <v>18</v>
      </c>
      <c r="C31" s="59" t="s">
        <v>9</v>
      </c>
      <c r="D31" s="107" t="s">
        <v>17</v>
      </c>
      <c r="E31" s="108">
        <v>5000</v>
      </c>
      <c r="F31" s="109" t="s">
        <v>73</v>
      </c>
      <c r="G31" s="110" t="s">
        <v>30</v>
      </c>
      <c r="H31" s="59"/>
      <c r="I31" s="106"/>
      <c r="J31" s="106"/>
      <c r="K31" s="106"/>
      <c r="L31" s="106"/>
      <c r="M31" s="59"/>
    </row>
    <row r="32" spans="1:13" s="61" customFormat="1" ht="43.15" customHeight="1" x14ac:dyDescent="0.2">
      <c r="A32" s="59">
        <v>3</v>
      </c>
      <c r="B32" s="111" t="s">
        <v>12</v>
      </c>
      <c r="C32" s="112" t="s">
        <v>13</v>
      </c>
      <c r="D32" s="113" t="s">
        <v>32</v>
      </c>
      <c r="E32" s="114">
        <v>2090</v>
      </c>
      <c r="F32" s="115" t="s">
        <v>72</v>
      </c>
      <c r="G32" s="110" t="s">
        <v>30</v>
      </c>
      <c r="H32" s="112"/>
      <c r="I32" s="111"/>
      <c r="J32" s="111"/>
      <c r="K32" s="111"/>
      <c r="L32" s="111"/>
      <c r="M32" s="116"/>
    </row>
    <row r="33" spans="1:13" s="132" customFormat="1" ht="37.5" x14ac:dyDescent="0.3">
      <c r="A33" s="133">
        <v>4</v>
      </c>
      <c r="B33" s="134" t="s">
        <v>37</v>
      </c>
      <c r="C33" s="135" t="s">
        <v>38</v>
      </c>
      <c r="D33" s="136" t="s">
        <v>39</v>
      </c>
      <c r="E33" s="137">
        <v>9200</v>
      </c>
      <c r="F33" s="138" t="s">
        <v>82</v>
      </c>
      <c r="G33" s="139" t="s">
        <v>30</v>
      </c>
      <c r="H33" s="135"/>
      <c r="I33" s="134"/>
      <c r="J33" s="134"/>
      <c r="K33" s="134"/>
      <c r="L33" s="134"/>
      <c r="M33" s="140"/>
    </row>
    <row r="34" spans="1:13" s="149" customFormat="1" ht="20.25" x14ac:dyDescent="0.2">
      <c r="A34" s="141">
        <v>5</v>
      </c>
      <c r="B34" s="142" t="s">
        <v>40</v>
      </c>
      <c r="C34" s="141" t="s">
        <v>41</v>
      </c>
      <c r="D34" s="143" t="s">
        <v>39</v>
      </c>
      <c r="E34" s="144">
        <v>2900</v>
      </c>
      <c r="F34" s="138" t="s">
        <v>83</v>
      </c>
      <c r="G34" s="145" t="s">
        <v>30</v>
      </c>
      <c r="H34" s="146"/>
      <c r="I34" s="147"/>
      <c r="J34" s="147"/>
      <c r="K34" s="147"/>
      <c r="L34" s="147"/>
      <c r="M34" s="148"/>
    </row>
    <row r="35" spans="1:13" s="27" customFormat="1" ht="20.25" x14ac:dyDescent="0.3">
      <c r="A35" s="4">
        <v>6</v>
      </c>
      <c r="B35" s="119" t="s">
        <v>44</v>
      </c>
      <c r="C35" s="4" t="s">
        <v>45</v>
      </c>
      <c r="D35" s="69" t="s">
        <v>39</v>
      </c>
      <c r="E35" s="96">
        <v>2350</v>
      </c>
      <c r="F35" s="109" t="s">
        <v>74</v>
      </c>
      <c r="G35" s="105" t="s">
        <v>30</v>
      </c>
      <c r="H35" s="103"/>
      <c r="I35" s="117"/>
      <c r="J35" s="117"/>
      <c r="K35" s="117"/>
      <c r="L35" s="117"/>
      <c r="M35" s="118"/>
    </row>
    <row r="36" spans="1:13" s="27" customFormat="1" ht="20.25" x14ac:dyDescent="0.3">
      <c r="A36" s="4">
        <v>7</v>
      </c>
      <c r="B36" s="119" t="s">
        <v>46</v>
      </c>
      <c r="C36" s="4" t="s">
        <v>47</v>
      </c>
      <c r="D36" s="69" t="s">
        <v>63</v>
      </c>
      <c r="E36" s="96">
        <v>15000</v>
      </c>
      <c r="F36" s="4" t="s">
        <v>75</v>
      </c>
      <c r="G36" s="105" t="s">
        <v>30</v>
      </c>
      <c r="H36" s="103"/>
      <c r="I36" s="117"/>
      <c r="J36" s="117"/>
      <c r="K36" s="117"/>
      <c r="L36" s="117"/>
      <c r="M36" s="118"/>
    </row>
    <row r="37" spans="1:13" s="27" customFormat="1" ht="20.25" x14ac:dyDescent="0.3">
      <c r="A37" s="4">
        <v>8</v>
      </c>
      <c r="B37" s="120" t="s">
        <v>56</v>
      </c>
      <c r="C37" s="121" t="s">
        <v>58</v>
      </c>
      <c r="D37" s="69" t="s">
        <v>64</v>
      </c>
      <c r="E37" s="96">
        <v>17710</v>
      </c>
      <c r="F37" s="103" t="s">
        <v>71</v>
      </c>
      <c r="G37" s="105" t="s">
        <v>30</v>
      </c>
      <c r="H37" s="103"/>
      <c r="I37" s="117"/>
      <c r="J37" s="117"/>
      <c r="K37" s="117"/>
      <c r="L37" s="117"/>
      <c r="M37" s="118"/>
    </row>
    <row r="38" spans="1:13" s="27" customFormat="1" ht="20.25" x14ac:dyDescent="0.3">
      <c r="A38" s="4">
        <v>9</v>
      </c>
      <c r="B38" s="3" t="s">
        <v>55</v>
      </c>
      <c r="C38" s="121" t="s">
        <v>59</v>
      </c>
      <c r="D38" s="69" t="s">
        <v>64</v>
      </c>
      <c r="E38" s="96">
        <v>3790</v>
      </c>
      <c r="F38" s="103" t="s">
        <v>71</v>
      </c>
      <c r="G38" s="105" t="s">
        <v>30</v>
      </c>
      <c r="H38" s="103"/>
      <c r="I38" s="117"/>
      <c r="J38" s="117"/>
      <c r="K38" s="117"/>
      <c r="L38" s="117"/>
      <c r="M38" s="118"/>
    </row>
    <row r="39" spans="1:13" s="27" customFormat="1" ht="20.25" x14ac:dyDescent="0.3">
      <c r="A39" s="4">
        <v>10</v>
      </c>
      <c r="B39" s="3" t="s">
        <v>44</v>
      </c>
      <c r="C39" s="121" t="s">
        <v>60</v>
      </c>
      <c r="D39" s="69" t="s">
        <v>64</v>
      </c>
      <c r="E39" s="96">
        <v>3000</v>
      </c>
      <c r="F39" s="103" t="s">
        <v>71</v>
      </c>
      <c r="G39" s="105" t="s">
        <v>30</v>
      </c>
      <c r="H39" s="103"/>
      <c r="I39" s="117"/>
      <c r="J39" s="117"/>
      <c r="K39" s="117"/>
      <c r="L39" s="117"/>
      <c r="M39" s="118"/>
    </row>
    <row r="40" spans="1:13" s="27" customFormat="1" ht="20.25" x14ac:dyDescent="0.3">
      <c r="A40" s="4">
        <v>11</v>
      </c>
      <c r="B40" s="3" t="s">
        <v>61</v>
      </c>
      <c r="C40" s="121" t="s">
        <v>62</v>
      </c>
      <c r="D40" s="69" t="s">
        <v>64</v>
      </c>
      <c r="E40" s="96">
        <v>4000</v>
      </c>
      <c r="F40" s="103" t="s">
        <v>71</v>
      </c>
      <c r="G40" s="105" t="s">
        <v>30</v>
      </c>
      <c r="H40" s="103"/>
      <c r="I40" s="117"/>
      <c r="J40" s="117"/>
      <c r="K40" s="117"/>
      <c r="L40" s="117"/>
      <c r="M40" s="118"/>
    </row>
    <row r="41" spans="1:13" s="27" customFormat="1" ht="20.25" x14ac:dyDescent="0.3">
      <c r="A41" s="4">
        <v>12</v>
      </c>
      <c r="B41" s="120" t="s">
        <v>56</v>
      </c>
      <c r="C41" s="4" t="s">
        <v>65</v>
      </c>
      <c r="D41" s="69" t="s">
        <v>64</v>
      </c>
      <c r="E41" s="96">
        <v>12710</v>
      </c>
      <c r="F41" s="4" t="s">
        <v>75</v>
      </c>
      <c r="G41" s="105" t="s">
        <v>30</v>
      </c>
      <c r="H41" s="103"/>
      <c r="I41" s="117"/>
      <c r="J41" s="117"/>
      <c r="K41" s="117"/>
      <c r="L41" s="117"/>
      <c r="M41" s="117"/>
    </row>
    <row r="42" spans="1:13" s="27" customFormat="1" ht="20.25" x14ac:dyDescent="0.3">
      <c r="A42" s="4">
        <v>13</v>
      </c>
      <c r="B42" s="3" t="s">
        <v>55</v>
      </c>
      <c r="C42" s="4" t="s">
        <v>66</v>
      </c>
      <c r="D42" s="69" t="s">
        <v>64</v>
      </c>
      <c r="E42" s="96">
        <v>3790</v>
      </c>
      <c r="F42" s="4" t="s">
        <v>75</v>
      </c>
      <c r="G42" s="105" t="s">
        <v>30</v>
      </c>
      <c r="H42" s="103"/>
      <c r="I42" s="117"/>
      <c r="J42" s="117"/>
      <c r="K42" s="117"/>
      <c r="L42" s="117"/>
      <c r="M42" s="117"/>
    </row>
    <row r="43" spans="1:13" s="27" customFormat="1" ht="20.25" x14ac:dyDescent="0.3">
      <c r="A43" s="4">
        <v>14</v>
      </c>
      <c r="B43" s="3" t="s">
        <v>44</v>
      </c>
      <c r="C43" s="4" t="s">
        <v>67</v>
      </c>
      <c r="D43" s="69" t="s">
        <v>64</v>
      </c>
      <c r="E43" s="96">
        <v>3000</v>
      </c>
      <c r="F43" s="4" t="s">
        <v>75</v>
      </c>
      <c r="G43" s="105" t="s">
        <v>30</v>
      </c>
      <c r="H43" s="103"/>
      <c r="I43" s="117"/>
      <c r="J43" s="117"/>
      <c r="K43" s="117"/>
      <c r="L43" s="117"/>
      <c r="M43" s="117"/>
    </row>
    <row r="44" spans="1:13" s="151" customFormat="1" ht="37.5" x14ac:dyDescent="0.2">
      <c r="A44" s="155">
        <v>15</v>
      </c>
      <c r="B44" s="156" t="s">
        <v>84</v>
      </c>
      <c r="C44" s="155" t="s">
        <v>86</v>
      </c>
      <c r="D44" s="157" t="s">
        <v>87</v>
      </c>
      <c r="E44" s="158">
        <v>400000</v>
      </c>
      <c r="F44" s="155" t="s">
        <v>88</v>
      </c>
      <c r="G44" s="159" t="s">
        <v>30</v>
      </c>
      <c r="H44" s="160"/>
      <c r="I44" s="161"/>
      <c r="J44" s="161"/>
      <c r="K44" s="161"/>
      <c r="L44" s="161"/>
      <c r="M44" s="161"/>
    </row>
    <row r="45" spans="1:13" s="27" customFormat="1" ht="20.25" x14ac:dyDescent="0.3">
      <c r="A45" s="152"/>
      <c r="B45" s="162" t="s">
        <v>85</v>
      </c>
      <c r="C45" s="152"/>
      <c r="D45" s="88"/>
      <c r="E45" s="150"/>
      <c r="F45" s="152"/>
      <c r="G45" s="163"/>
      <c r="H45" s="153"/>
      <c r="I45" s="154"/>
      <c r="J45" s="154"/>
      <c r="K45" s="154"/>
      <c r="L45" s="154"/>
      <c r="M45" s="154"/>
    </row>
    <row r="46" spans="1:13" s="27" customFormat="1" ht="21" thickBot="1" x14ac:dyDescent="0.35">
      <c r="A46" s="4"/>
      <c r="B46" s="119"/>
      <c r="C46" s="4"/>
      <c r="D46" s="69" t="s">
        <v>15</v>
      </c>
      <c r="E46" s="122">
        <f>SUM(E30:E44)</f>
        <v>510490</v>
      </c>
      <c r="F46" s="103"/>
      <c r="G46" s="123"/>
      <c r="H46" s="103"/>
      <c r="I46" s="117"/>
      <c r="J46" s="117"/>
      <c r="K46" s="117"/>
      <c r="L46" s="117"/>
      <c r="M46" s="117"/>
    </row>
    <row r="47" spans="1:13" s="28" customFormat="1" ht="21.75" thickTop="1" x14ac:dyDescent="0.35">
      <c r="A47" s="11"/>
      <c r="B47" s="29"/>
      <c r="C47" s="30"/>
      <c r="D47" s="33"/>
      <c r="E47" s="34"/>
      <c r="F47" s="30"/>
      <c r="G47" s="31"/>
      <c r="H47" s="30"/>
      <c r="I47" s="32"/>
    </row>
    <row r="48" spans="1:13" s="28" customFormat="1" ht="21" x14ac:dyDescent="0.35">
      <c r="A48" s="11"/>
      <c r="B48" s="29"/>
      <c r="C48" s="30"/>
      <c r="D48" s="33"/>
      <c r="E48" s="34"/>
      <c r="F48" s="30"/>
      <c r="G48" s="31"/>
      <c r="H48" s="30"/>
      <c r="I48" s="32"/>
    </row>
    <row r="49" spans="4:4" x14ac:dyDescent="0.3">
      <c r="D49" s="6"/>
    </row>
    <row r="50" spans="4:4" x14ac:dyDescent="0.3">
      <c r="D50" s="6"/>
    </row>
    <row r="51" spans="4:4" x14ac:dyDescent="0.3">
      <c r="D51" s="6"/>
    </row>
    <row r="52" spans="4:4" x14ac:dyDescent="0.3">
      <c r="D52" s="6"/>
    </row>
    <row r="53" spans="4:4" x14ac:dyDescent="0.3">
      <c r="D53" s="6"/>
    </row>
    <row r="54" spans="4:4" x14ac:dyDescent="0.3">
      <c r="D54" s="6"/>
    </row>
    <row r="55" spans="4:4" x14ac:dyDescent="0.3">
      <c r="D55" s="6"/>
    </row>
    <row r="56" spans="4:4" x14ac:dyDescent="0.3">
      <c r="D56" s="6"/>
    </row>
    <row r="57" spans="4:4" x14ac:dyDescent="0.3">
      <c r="D57" s="6"/>
    </row>
    <row r="58" spans="4:4" x14ac:dyDescent="0.3">
      <c r="D58" s="6"/>
    </row>
    <row r="59" spans="4:4" x14ac:dyDescent="0.3">
      <c r="D59" s="6"/>
    </row>
    <row r="60" spans="4:4" x14ac:dyDescent="0.3">
      <c r="D60" s="6"/>
    </row>
    <row r="61" spans="4:4" x14ac:dyDescent="0.3">
      <c r="D61" s="6"/>
    </row>
    <row r="62" spans="4:4" x14ac:dyDescent="0.3">
      <c r="D62" s="6"/>
    </row>
    <row r="63" spans="4:4" x14ac:dyDescent="0.3">
      <c r="D63" s="6"/>
    </row>
    <row r="64" spans="4:4" x14ac:dyDescent="0.3">
      <c r="D64" s="6"/>
    </row>
    <row r="65" spans="4:4" x14ac:dyDescent="0.3">
      <c r="D65" s="6"/>
    </row>
    <row r="66" spans="4:4" x14ac:dyDescent="0.3">
      <c r="D66" s="6"/>
    </row>
    <row r="67" spans="4:4" x14ac:dyDescent="0.3">
      <c r="D67" s="6"/>
    </row>
    <row r="68" spans="4:4" x14ac:dyDescent="0.3">
      <c r="D68" s="6"/>
    </row>
    <row r="69" spans="4:4" x14ac:dyDescent="0.3">
      <c r="D69" s="6"/>
    </row>
    <row r="70" spans="4:4" x14ac:dyDescent="0.3">
      <c r="D70" s="6"/>
    </row>
    <row r="71" spans="4:4" x14ac:dyDescent="0.3">
      <c r="D71" s="6"/>
    </row>
    <row r="72" spans="4:4" x14ac:dyDescent="0.3">
      <c r="D72" s="6"/>
    </row>
    <row r="73" spans="4:4" x14ac:dyDescent="0.3">
      <c r="D73" s="6"/>
    </row>
    <row r="74" spans="4:4" x14ac:dyDescent="0.3">
      <c r="D74" s="6"/>
    </row>
    <row r="75" spans="4:4" x14ac:dyDescent="0.3">
      <c r="D75" s="6"/>
    </row>
    <row r="76" spans="4:4" x14ac:dyDescent="0.3">
      <c r="D76" s="6"/>
    </row>
  </sheetData>
  <mergeCells count="24">
    <mergeCell ref="A25:M25"/>
    <mergeCell ref="A26:M26"/>
    <mergeCell ref="A27:A29"/>
    <mergeCell ref="B27:B29"/>
    <mergeCell ref="C27:C29"/>
    <mergeCell ref="E27:E29"/>
    <mergeCell ref="F27:F29"/>
    <mergeCell ref="G27:L27"/>
    <mergeCell ref="M27:M29"/>
    <mergeCell ref="G28:G29"/>
    <mergeCell ref="H28:H29"/>
    <mergeCell ref="J28:J29"/>
    <mergeCell ref="A1:M1"/>
    <mergeCell ref="A2:M2"/>
    <mergeCell ref="A4:A6"/>
    <mergeCell ref="B4:B6"/>
    <mergeCell ref="C4:C6"/>
    <mergeCell ref="E4:E6"/>
    <mergeCell ref="F4:F6"/>
    <mergeCell ref="G4:L4"/>
    <mergeCell ref="M4:M6"/>
    <mergeCell ref="G5:G6"/>
    <mergeCell ref="H5:H6"/>
    <mergeCell ref="J5:J6"/>
  </mergeCells>
  <phoneticPr fontId="5" type="noConversion"/>
  <pageMargins left="0.23622047244094491" right="0.19685039370078741" top="0.55118110236220474" bottom="0.55118110236220474" header="0.31496062992125984" footer="0.31496062992125984"/>
  <pageSetup paperSize="9" scale="96" orientation="landscape" r:id="rId1"/>
  <headerFooter differentFirst="1" scaleWithDoc="0" alignWithMargins="0"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B28" sqref="B28"/>
    </sheetView>
  </sheetViews>
  <sheetFormatPr defaultColWidth="9" defaultRowHeight="15" x14ac:dyDescent="0.25"/>
  <cols>
    <col min="1" max="1" width="7" style="42" customWidth="1"/>
    <col min="2" max="2" width="37.625" style="38" bestFit="1" customWidth="1"/>
    <col min="3" max="3" width="13.75" style="38" bestFit="1" customWidth="1"/>
    <col min="4" max="4" width="20" style="42" customWidth="1"/>
    <col min="5" max="16384" width="9" style="38"/>
  </cols>
  <sheetData>
    <row r="1" spans="1:13" ht="20.25" x14ac:dyDescent="0.3">
      <c r="A1" s="180" t="s">
        <v>49</v>
      </c>
      <c r="B1" s="180"/>
      <c r="C1" s="180"/>
      <c r="D1" s="180"/>
      <c r="E1" s="37"/>
      <c r="F1" s="37"/>
      <c r="G1" s="37"/>
      <c r="H1" s="37"/>
      <c r="I1" s="37"/>
      <c r="J1" s="37"/>
      <c r="K1" s="37"/>
      <c r="L1" s="37"/>
      <c r="M1" s="37"/>
    </row>
    <row r="2" spans="1:13" ht="20.25" x14ac:dyDescent="0.3">
      <c r="A2" s="40"/>
      <c r="B2" s="40"/>
      <c r="C2" s="40"/>
      <c r="D2" s="40"/>
      <c r="E2" s="37"/>
      <c r="F2" s="37"/>
      <c r="G2" s="37"/>
      <c r="H2" s="37"/>
      <c r="I2" s="37"/>
      <c r="J2" s="37"/>
      <c r="K2" s="37"/>
      <c r="L2" s="37"/>
      <c r="M2" s="37"/>
    </row>
    <row r="3" spans="1:13" s="39" customFormat="1" ht="20.25" x14ac:dyDescent="0.3">
      <c r="A3" s="43" t="s">
        <v>50</v>
      </c>
      <c r="B3" s="43" t="s">
        <v>2</v>
      </c>
      <c r="C3" s="43" t="s">
        <v>51</v>
      </c>
      <c r="D3" s="43" t="s">
        <v>19</v>
      </c>
    </row>
    <row r="4" spans="1:13" s="41" customFormat="1" ht="20.25" x14ac:dyDescent="0.3">
      <c r="A4" s="47">
        <v>1</v>
      </c>
      <c r="B4" s="48" t="s">
        <v>16</v>
      </c>
      <c r="C4" s="47" t="s">
        <v>7</v>
      </c>
      <c r="D4" s="49" t="s">
        <v>52</v>
      </c>
    </row>
    <row r="5" spans="1:13" s="41" customFormat="1" ht="20.25" x14ac:dyDescent="0.3">
      <c r="A5" s="44">
        <v>2</v>
      </c>
      <c r="B5" s="45" t="s">
        <v>42</v>
      </c>
      <c r="C5" s="44" t="s">
        <v>33</v>
      </c>
      <c r="D5" s="50" t="s">
        <v>48</v>
      </c>
    </row>
    <row r="6" spans="1:13" s="41" customFormat="1" ht="20.25" x14ac:dyDescent="0.3">
      <c r="A6" s="51">
        <v>3</v>
      </c>
      <c r="B6" s="45" t="s">
        <v>35</v>
      </c>
      <c r="C6" s="44" t="s">
        <v>36</v>
      </c>
      <c r="D6" s="50" t="s">
        <v>52</v>
      </c>
    </row>
    <row r="7" spans="1:13" s="41" customFormat="1" ht="20.25" x14ac:dyDescent="0.3">
      <c r="A7" s="51"/>
      <c r="B7" s="45"/>
      <c r="C7" s="44"/>
      <c r="D7" s="50"/>
    </row>
    <row r="8" spans="1:13" s="41" customFormat="1" ht="20.25" x14ac:dyDescent="0.3">
      <c r="A8" s="51"/>
      <c r="B8" s="45"/>
      <c r="C8" s="44"/>
      <c r="D8" s="50"/>
    </row>
    <row r="9" spans="1:13" ht="21" x14ac:dyDescent="0.35">
      <c r="A9" s="50">
        <v>4</v>
      </c>
      <c r="B9" s="36" t="s">
        <v>31</v>
      </c>
      <c r="C9" s="35" t="s">
        <v>8</v>
      </c>
      <c r="D9" s="50" t="s">
        <v>53</v>
      </c>
    </row>
    <row r="10" spans="1:13" ht="21" x14ac:dyDescent="0.35">
      <c r="A10" s="50">
        <v>5</v>
      </c>
      <c r="B10" s="19" t="s">
        <v>10</v>
      </c>
      <c r="C10" s="20" t="s">
        <v>11</v>
      </c>
      <c r="D10" s="50"/>
    </row>
    <row r="11" spans="1:13" ht="21" x14ac:dyDescent="0.35">
      <c r="A11" s="50">
        <v>6</v>
      </c>
      <c r="B11" s="21" t="s">
        <v>18</v>
      </c>
      <c r="C11" s="18" t="s">
        <v>9</v>
      </c>
      <c r="D11" s="50"/>
    </row>
    <row r="12" spans="1:13" ht="21" x14ac:dyDescent="0.35">
      <c r="A12" s="50">
        <v>7</v>
      </c>
      <c r="B12" s="19" t="s">
        <v>12</v>
      </c>
      <c r="C12" s="20" t="s">
        <v>13</v>
      </c>
      <c r="D12" s="50" t="s">
        <v>48</v>
      </c>
    </row>
    <row r="13" spans="1:13" ht="21" x14ac:dyDescent="0.35">
      <c r="A13" s="50">
        <v>8</v>
      </c>
      <c r="B13" s="19" t="s">
        <v>37</v>
      </c>
      <c r="C13" s="20" t="s">
        <v>38</v>
      </c>
      <c r="D13" s="50" t="s">
        <v>52</v>
      </c>
    </row>
    <row r="14" spans="1:13" ht="21" x14ac:dyDescent="0.35">
      <c r="A14" s="50">
        <v>9</v>
      </c>
      <c r="B14" s="21" t="s">
        <v>54</v>
      </c>
      <c r="C14" s="18" t="s">
        <v>41</v>
      </c>
      <c r="D14" s="50" t="s">
        <v>52</v>
      </c>
    </row>
    <row r="15" spans="1:13" ht="21" x14ac:dyDescent="0.35">
      <c r="A15" s="50">
        <v>10</v>
      </c>
      <c r="B15" s="21" t="s">
        <v>44</v>
      </c>
      <c r="C15" s="18" t="s">
        <v>45</v>
      </c>
      <c r="D15" s="50" t="s">
        <v>52</v>
      </c>
    </row>
    <row r="16" spans="1:13" ht="21" x14ac:dyDescent="0.35">
      <c r="A16" s="50">
        <v>11</v>
      </c>
      <c r="B16" s="21" t="s">
        <v>46</v>
      </c>
      <c r="C16" s="18" t="s">
        <v>47</v>
      </c>
      <c r="D16" s="50" t="s">
        <v>52</v>
      </c>
    </row>
    <row r="17" spans="1:4" ht="20.25" x14ac:dyDescent="0.3">
      <c r="A17" s="50">
        <v>12</v>
      </c>
      <c r="B17" s="19" t="s">
        <v>56</v>
      </c>
      <c r="C17" s="52"/>
      <c r="D17" s="50" t="s">
        <v>48</v>
      </c>
    </row>
    <row r="18" spans="1:4" ht="20.25" x14ac:dyDescent="0.3">
      <c r="A18" s="50">
        <v>13</v>
      </c>
      <c r="B18" s="21" t="s">
        <v>55</v>
      </c>
      <c r="C18" s="52"/>
      <c r="D18" s="50" t="s">
        <v>48</v>
      </c>
    </row>
    <row r="19" spans="1:4" ht="20.25" x14ac:dyDescent="0.3">
      <c r="A19" s="50">
        <v>14</v>
      </c>
      <c r="B19" s="21" t="s">
        <v>44</v>
      </c>
      <c r="C19" s="52"/>
      <c r="D19" s="50" t="s">
        <v>48</v>
      </c>
    </row>
    <row r="20" spans="1:4" ht="20.25" x14ac:dyDescent="0.3">
      <c r="A20" s="50">
        <v>15</v>
      </c>
      <c r="B20" s="21" t="s">
        <v>46</v>
      </c>
      <c r="C20" s="52"/>
      <c r="D20" s="50" t="s">
        <v>48</v>
      </c>
    </row>
    <row r="21" spans="1:4" ht="20.25" x14ac:dyDescent="0.3">
      <c r="A21" s="46"/>
      <c r="B21" s="41"/>
      <c r="C21" s="41"/>
      <c r="D21" s="46"/>
    </row>
    <row r="22" spans="1:4" ht="20.25" x14ac:dyDescent="0.3">
      <c r="A22" s="46"/>
      <c r="B22" s="41"/>
      <c r="C22" s="41"/>
      <c r="D22" s="46"/>
    </row>
    <row r="23" spans="1:4" ht="20.25" x14ac:dyDescent="0.3">
      <c r="A23" s="46"/>
      <c r="B23" s="41"/>
      <c r="C23" s="41"/>
      <c r="D23" s="46"/>
    </row>
    <row r="24" spans="1:4" ht="20.25" x14ac:dyDescent="0.3">
      <c r="A24" s="46"/>
      <c r="B24" s="41"/>
      <c r="C24" s="41"/>
      <c r="D24" s="46"/>
    </row>
    <row r="25" spans="1:4" ht="20.25" x14ac:dyDescent="0.3">
      <c r="A25" s="46"/>
      <c r="B25" s="41"/>
      <c r="C25" s="41"/>
      <c r="D25" s="46"/>
    </row>
    <row r="26" spans="1:4" ht="20.25" x14ac:dyDescent="0.3">
      <c r="A26" s="46"/>
      <c r="B26" s="41"/>
      <c r="C26" s="41"/>
      <c r="D26" s="46"/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ครุภัณฑ์งานวิจัย2566</vt:lpstr>
      <vt:lpstr>Sheet1</vt:lpstr>
      <vt:lpstr>ครุภัณฑ์งานวิจัย2566!Print_Titles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Lampangcity003</cp:lastModifiedBy>
  <cp:lastPrinted>2024-10-24T07:42:05Z</cp:lastPrinted>
  <dcterms:created xsi:type="dcterms:W3CDTF">2015-07-09T01:24:36Z</dcterms:created>
  <dcterms:modified xsi:type="dcterms:W3CDTF">2024-12-19T04:15:01Z</dcterms:modified>
</cp:coreProperties>
</file>